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7283" documentId="13_ncr:1_{D9F1D83B-C967-429B-B0B6-76111A297B91}" xr6:coauthVersionLast="47" xr6:coauthVersionMax="47" xr10:uidLastSave="{CCFD01EB-2B34-47D3-B521-E066F82559C4}"/>
  <bookViews>
    <workbookView xWindow="-108" yWindow="-108" windowWidth="23256" windowHeight="12456" firstSheet="19" activeTab="22" xr2:uid="{00000000-000D-0000-FFFF-FFFF00000000}"/>
  </bookViews>
  <sheets>
    <sheet name="data" sheetId="1" r:id="rId1"/>
    <sheet name="Imputation" sheetId="7" r:id="rId2"/>
    <sheet name="STDPartition3" sheetId="23" r:id="rId3"/>
    <sheet name="NB_Output3" sheetId="27" r:id="rId4"/>
    <sheet name="NB_TrainingScore3" sheetId="26" r:id="rId5"/>
    <sheet name="NB_ValidationScore3" sheetId="25" r:id="rId6"/>
    <sheet name="NB_Stored3" sheetId="24" r:id="rId7"/>
    <sheet name="STDPartition2" sheetId="18" r:id="rId8"/>
    <sheet name="NB_Output2" sheetId="22" r:id="rId9"/>
    <sheet name="NB_TrainingScore2" sheetId="21" r:id="rId10"/>
    <sheet name="NB_ValidationScore2" sheetId="20" r:id="rId11"/>
    <sheet name="NB_Stored2" sheetId="19" r:id="rId12"/>
    <sheet name="STDPartition1" sheetId="13" r:id="rId13"/>
    <sheet name="NB_Output1" sheetId="17" r:id="rId14"/>
    <sheet name="NB_TrainingScore1" sheetId="16" r:id="rId15"/>
    <sheet name="NB_ValidationScore1" sheetId="15" r:id="rId16"/>
    <sheet name="NB_Stored1" sheetId="14" r:id="rId17"/>
    <sheet name="STDPartition" sheetId="8" r:id="rId18"/>
    <sheet name="NB_Output" sheetId="12" r:id="rId19"/>
    <sheet name="NB_TrainingScore" sheetId="11" r:id="rId20"/>
    <sheet name="NB_ValidationScore" sheetId="10" r:id="rId21"/>
    <sheet name="NB_Stored" sheetId="9" r:id="rId22"/>
    <sheet name="new data" sheetId="6" r:id="rId23"/>
    <sheet name="Imputation1" sheetId="28" r:id="rId24"/>
    <sheet name="Scoring_NaiveBayes" sheetId="29" r:id="rId25"/>
  </sheets>
  <definedNames>
    <definedName name="xlm_10_1" localSheetId="0" hidden="1">"'{""wksheet"":""data"",""wkbk"":""Class Assignment 4 - Animals - Student Use Dataset -1.xlsx"",""data_range"":""A1:T94"",""firstRow"":""1"",""rows"":93,""overwriteExistingWorksheet"":false,""has_header"":true,""input_cols"":["</definedName>
    <definedName name="xlm_10_1" localSheetId="22" hidden="1">"'{""wksheet"":""new data"",""wkbk"":""Class Assignment 4 - Animals - Student Use Dataset -1.xlsx"",""data_range"":""A1:R9"",""firstRow"":""1"",""rows"":8,""overwriteExistingWorksheet"":false,""has_header"":true,""input_cols"""</definedName>
    <definedName name="xlm_10_2" localSheetId="0" hidden="1">"'{""varName"":""No."",""treatmentCode"":0},{""varName"":""animal name"",""treatmentCode"":0},{""varName"":"" hair"",""treatmentCode"":2},{""varName"":"" feathers"",""treatmentCode"":2},{""varName"":"" eggs"",""treatmentCode"":2},{"""</definedName>
    <definedName name="xlm_10_2" localSheetId="22" hidden="1">"':[{""varName"":""animal name"",""treatmentCode"":0},{""varName"":"" hair"",""treatmentCode"":2},{""varName"":"" feathers"",""treatmentCode"":2},{""varName"":"" eggs"",""treatmentCode"":2},{""varName"":"" milk"",""treatmentCode"":2"</definedName>
    <definedName name="xlm_10_3" localSheetId="0" hidden="1">"'varName"":"" milk"",""treatmentCode"":2},{""varName"":"" airborne"",""treatmentCode"":2},{""varName"":"" aquatic"",""treatmentCode"":2},{""varName"":"" predator"",""treatmentCode"":2},{""varName"":"" toothed"",""treatmentCode"":2"</definedName>
    <definedName name="xlm_10_3" localSheetId="22" hidden="1">"'},{""varName"":"" airborne"",""treatmentCode"":2},{""varName"":"" aquatic"",""treatmentCode"":2},{""varName"":"" predator"",""treatmentCode"":2},{""varName"":"" toothed"",""treatmentCode"":2},{""varName"":"" backbone"",""treatmen"</definedName>
    <definedName name="xlm_10_4" localSheetId="0" hidden="1">"'},{""varName"":"" backbone"",""treatmentCode"":2},{""varName"":"" breathes"",""treatmentCode"":2},{""varName"":"" venomous"",""treatmentCode"":2},{""varName"":"" fins"",""treatmentCode"":2},{""varName"":"" legs"",""treatmentCode"""</definedName>
    <definedName name="xlm_10_4" localSheetId="22" hidden="1">"'tCode"":2},{""varName"":"" breathes"",""treatmentCode"":2},{""varName"":"" venomous"",""treatmentCode"":2},{""varName"":"" fins"",""treatmentCode"":2},{""varName"":"" legs"",""treatmentCode"":2},{""varName"":"" tail"",""treatmentC"</definedName>
    <definedName name="xlm_10_5" localSheetId="0" hidden="1">"':2},{""varName"":"" tail"",""treatmentCode"":2},{""varName"":"" domestic"",""treatmentCode"":2},{""varName"":"" catsize"",""treatmentCode"":2},{""varName"":"" class type"",""treatmentCode"":2},{""varName"":""Living"",""treatmentC"</definedName>
    <definedName name="xlm_10_5" localSheetId="22" hidden="1">"'ode"":2},{""varName"":"" domestic"",""treatmentCode"":2},{""varName"":"" catsize"",""treatmentCode"":2},{""varName"":""class type"",""treatmentCode"":1}]}"</definedName>
    <definedName name="xlm_10_6" localSheetId="0" hidden="1">"'ode"":2}]}"</definedName>
    <definedName name="xlm_604_1" localSheetId="17" hidden="1">"'{""wkbk"":""Class Assignment 4 - Animals - Student Use Dataset -1.xlsx"",""wksheet"":""STDPartition"",""data_range"":"""",""header"":[""Record ID"",""Treated_ hair"",""Treated_ feathers"",""Treated_ eggs"",""Treated_ milk"","</definedName>
    <definedName name="xlm_604_1" localSheetId="12" hidden="1">"'{""wkbk"":""Class Assignment 4 - Animals - Student Use Dataset -1.xlsx"",""wksheet"":""STDPartition1"",""data_range"":"""",""header"":[""Record ID"",""Treated_ hair"",""Treated_ feathers"",""Treated_ eggs"",""Treated_ milk"""</definedName>
    <definedName name="xlm_604_1" localSheetId="7" hidden="1">"'{""wkbk"":""Class Assignment 4 - Animals - Student Use Dataset -1.xlsx"",""wksheet"":""STDPartition2"",""data_range"":"""",""header"":[""Record ID"",""Treated_ hair"",""Treated_ feathers"",""Treated_ eggs"",""Treated_ milk"""</definedName>
    <definedName name="xlm_604_1" localSheetId="2" hidden="1">"'{""wkbk"":""Class Assignment 4 - Animals - Student Use Dataset -1.xlsx"",""wksheet"":""STDPartition3"",""data_range"":"""",""header"":[""Record ID"",""Treated_ hair"",""Treated_ feathers"",""Treated_ eggs"",""Treated_ milk"""</definedName>
    <definedName name="xlm_604_2" localSheetId="17" hidden="1">"'""Treated_ airborne"",""Treated_ aquatic"",""Treated_ predator"",""Treated_ toothed"",""Treated_ backbone"",""Treated_ breathes"",""Treated_ venomous"",""Treated_ fins"",""Treated_ legs"",""Treated_ tail"",""Treated_ dome"</definedName>
    <definedName name="xlm_604_2" localSheetId="12" hidden="1">"',""Treated_ airborne"",""Treated_ aquatic"",""Treated_ predator"",""Treated_ toothed"",""Treated_ backbone"",""Treated_ breathes"",""Treated_ venomous"",""Treated_ fins"",""Treated_ legs"",""Treated_ tail"",""Treated_ dom"</definedName>
    <definedName name="xlm_604_2" localSheetId="7" hidden="1">"',""Treated_ airborne"",""Treated_ aquatic"",""Treated_ predator"",""Treated_ toothed"",""Treated_ backbone"",""Treated_ breathes"",""Treated_ venomous"",""Treated_ fins"",""Treated_ legs"",""Treated_ tail"",""Treated_ dom"</definedName>
    <definedName name="xlm_604_2" localSheetId="2" hidden="1">"',""Treated_ airborne"",""Treated_ aquatic"",""Treated_ predator"",""Treated_ toothed"",""Treated_ backbone"",""Treated_ breathes"",""Treated_ venomous"",""Treated_ fins"",""Treated_ legs"",""Treated_ tail"",""Treated_ dom"</definedName>
    <definedName name="xlm_604_3" localSheetId="17" hidden="1">"'stic"",""Treated_ catsize"",""Treated_ class type""],""has_header"":true,""firstRow"":1,""rows"":93,""train_rows"":56,""validation_rows"":37,""test_rows"":0,""trainingDataRange"":""$C$37:$T$92"",""validationDataRange"":""$C$"</definedName>
    <definedName name="xlm_604_3" localSheetId="12" hidden="1">"'estic"",""Treated_ catsize"",""Treated_ class type""],""has_header"":true,""firstRow"":1,""rows"":93,""train_rows"":65,""validation_rows"":28,""test_rows"":0,""trainingDataRange"":""$C$37:$T$101"",""validationDataRange"":""$"</definedName>
    <definedName name="xlm_604_3" localSheetId="7" hidden="1">"'estic"",""Treated_ catsize"",""Treated_ class type""],""has_header"":true,""firstRow"":1,""rows"":93,""train_rows"":74,""validation_rows"":19,""test_rows"":0,""trainingDataRange"":""$C$37:$T$110"",""validationDataRange"":""$"</definedName>
    <definedName name="xlm_604_3" localSheetId="2" hidden="1">"'estic"",""Treated_ catsize"",""Treated_ class type""],""has_header"":true,""firstRow"":1,""rows"":93,""train_rows"":70,""validation_rows"":23,""test_rows"":0,""trainingDataRange"":""$C$37:$T$106"",""validationDataRange"":""$"</definedName>
    <definedName name="xlm_604_4" localSheetId="17" hidden="1">"'93:$T$129"",""allDataRange"":""$C$36:$T$129"",""isPartitionSheet"":true,""partitionData"":false,""trainDetailRpt"":false,""trainSummaryRpt"":true,""trainLiftChart"":false,""trainROCCurve"":false,""trainFreqChart"":false"</definedName>
    <definedName name="xlm_604_4" localSheetId="12" hidden="1">"'C$102:$T$129"",""allDataRange"":""$C$36:$T$129"",""isPartitionSheet"":true,""partitionData"":false,""trainDetailRpt"":false,""trainSummaryRpt"":true,""trainLiftChart"":false,""trainROCCurve"":false,""trainFreqChart"":fa"</definedName>
    <definedName name="xlm_604_4" localSheetId="7" hidden="1">"'C$111:$T$129"",""allDataRange"":""$C$36:$T$129"",""isPartitionSheet"":true,""partitionData"":false,""trainDetailRpt"":false,""trainSummaryRpt"":true,""trainLiftChart"":false,""trainROCCurve"":false,""trainFreqChart"":fa"</definedName>
    <definedName name="xlm_604_4" localSheetId="2" hidden="1">"'C$107:$T$129"",""allDataRange"":""$C$36:$T$129"",""isPartitionSheet"":true,""partitionData"":false,""trainDetailRpt"":false,""trainSummaryRpt"":true,""trainLiftChart"":false,""trainROCCurve"":false,""trainFreqChart"":fa"</definedName>
    <definedName name="xlm_604_5" localSheetId="17" hidden="1">"',""validationDetailRpt"":false,""validationSummaryRpt"":true,""validationLiftChart"":false,""validROCCurve"":false,""validFreqChart"":false,""newDataWorksheet"":false,""newDataDatabase"":false,""priorClassProbabilit"</definedName>
    <definedName name="xlm_604_5" localSheetId="12" hidden="1">"'lse,""validationDetailRpt"":false,""validationSummaryRpt"":true,""validationLiftChart"":false,""validROCCurve"":false,""validFreqChart"":false,""newDataWorksheet"":false,""newDataDatabase"":false,""priorClassProbabi"</definedName>
    <definedName name="xlm_604_5" localSheetId="7" hidden="1">"'lse,""validationDetailRpt"":false,""validationSummaryRpt"":true,""validationLiftChart"":false,""validROCCurve"":false,""validFreqChart"":false,""newDataWorksheet"":false,""newDataDatabase"":false,""priorClassProbabi"</definedName>
    <definedName name="xlm_604_5" localSheetId="2" hidden="1">"'lse,""validationDetailRpt"":false,""validationSummaryRpt"":true,""validationLiftChart"":false,""validROCCurve"":false,""validFreqChart"":false,""newDataWorksheet"":false,""newDataDatabase"":false,""priorClassProbabi"</definedName>
    <definedName name="xlm_604_6" localSheetId="17" hidden="1">"'yCode"":1,""numOutputClasses"":7,""successClass"":null,""successCutoffProb"":0.5,""estimatorParams"":{""laplaceSmoothing"":true,""pseudoCount"":1},""modelParams"":null,""displayParams"":{""showPriorCondProb"":false,""sho"</definedName>
    <definedName name="xlm_604_6" localSheetId="12" hidden="1">"'lityCode"":1,""numOutputClasses"":7,""successClass"":null,""successCutoffProb"":0.5,""estimatorParams"":{""laplaceSmoothing"":true,""pseudoCount"":1},""modelParams"":null,""displayParams"":{""showPriorCondProb"":false,"""</definedName>
    <definedName name="xlm_604_6" localSheetId="7" hidden="1">"'lityCode"":1,""numOutputClasses"":7,""successClass"":null,""successCutoffProb"":0.5,""estimatorParams"":{""laplaceSmoothing"":true,""pseudoCount"":1},""modelParams"":null,""displayParams"":{""showPriorCondProb"":false,"""</definedName>
    <definedName name="xlm_604_6" localSheetId="2" hidden="1">"'lityCode"":1,""numOutputClasses"":7,""successClass"":null,""successCutoffProb"":0.5,""estimatorParams"":{""laplaceSmoothing"":true,""pseudoCount"":1},""modelParams"":null,""displayParams"":{""showPriorCondProb"":false,"""</definedName>
    <definedName name="xlm_604_7" localSheetId="17" hidden="1">"'wLogDensity"":false},""simulation"":false}"</definedName>
    <definedName name="xlm_604_7" localSheetId="12" hidden="1">"'showLogDensity"":false},""simulation"":false}"</definedName>
    <definedName name="xlm_604_7" localSheetId="7" hidden="1">"'showLogDensity"":false},""simulation"":false}"</definedName>
    <definedName name="xlm_604_7" localSheetId="2" hidden="1">"'showLogDensity"":false},""simulation"":false}"</definedName>
    <definedName name="xlm_90_1" localSheetId="1" hidden="1">"'{""wkbk"":""Class Assignment 4 - Animals - Student Use Dataset -1.xlsx"",""wksheet"":""Imputation"",""data_range"":""$C$33:$W$126"",""header"":[""Record ID"",""No."",""animal name"",""Treated_ hair"",""Treated_ feathers"",""T"</definedName>
    <definedName name="xlm_90_2" localSheetId="1" hidden="1">"'reated_ eggs"",""Treated_ milk"",""Treated_ airborne"",""Treated_ aquatic"",""Treated_ predator"",""Treated_ toothed"",""Treated_ backbone"",""Treated_ breathes"",""Treated_ venomous"",""Treated_ fins"",""Treated_ legs"","</definedName>
    <definedName name="xlm_90_3" localSheetId="1" hidden="1">"'""Treated_ tail"",""Treated_ domestic"",""Treated_ catsize"",""Treated_ class type"",""Treated_Living""],""has_header"":true,""input_cols"":[{""varName"":""Treated_ hair""},{""varName"":""Treated_ feathers""},{""varName"":""T"</definedName>
    <definedName name="xlm_90_4" localSheetId="1" hidden="1">"'reated_ eggs""},{""varName"":""Treated_ milk""},{""varName"":""Treated_ airborne""},{""varName"":""Treated_ aquatic""},{""varName"":""Treated_ predator""},{""varName"":""Treated_ toothed""},{""varName"":""Treated_ backbone""}"</definedName>
    <definedName name="xlm_90_5" localSheetId="1" hidden="1">"',{""varName"":""Treated_ breathes""},{""varName"":""Treated_ venomous""},{""varName"":""Treated_ fins""},{""varName"":""Treated_ legs""},{""varName"":""Treated_ tail""},{""varName"":""Treated_ domestic""},{""varName"":""Treated"</definedName>
    <definedName name="xlm_90_6" localSheetId="1" hidden="1">"'_ catsize""},{""varName"":""Treated_ class type""}],""cat_cols"":[],""firstRow"":""33"",""rows"":93,""isPartitionSheet"":false,""type"":1,""usePartitionVar"":false,""partitionVar"":null,""useRandomRows"":true,""partitionCode"</definedName>
    <definedName name="xlm_90_7" localSheetId="1" hidden="1">"'"":1,""setSeed"":true,""seedValue"":12345,""trainPct"":75,""validationPct"":25,""testPct"":0}"</definedName>
    <definedName name="xlm_clnc_1" localSheetId="17" hidden="1">"'{""input_cols"":[{""varName"":""Treated_ hair""},{""varName"":""Treated_ feathers""},{""varName"":""Treated_ eggs""},{""varName"":""Treated_ milk""},{""varName"":""Treated_ airborne""},{""varName"":""Treated_ aquatic""},{""varN"</definedName>
    <definedName name="xlm_clnc_1" localSheetId="12" hidden="1">"'{""input_cols"":[{""varName"":""Treated_ hair""},{""varName"":""Treated_ feathers""},{""varName"":""Treated_ eggs""},{""varName"":""Treated_ milk""},{""varName"":""Treated_ airborne""},{""varName"":""Treated_ aquatic""},{""varN"</definedName>
    <definedName name="xlm_clnc_1" localSheetId="7" hidden="1">"'{""input_cols"":[{""varName"":""Treated_ hair""},{""varName"":""Treated_ feathers""},{""varName"":""Treated_ eggs""},{""varName"":""Treated_ milk""},{""varName"":""Treated_ airborne""},{""varName"":""Treated_ aquatic""},{""varN"</definedName>
    <definedName name="xlm_clnc_1" localSheetId="2" hidden="1">"'{""input_cols"":[{""varName"":""Treated_ hair""},{""varName"":""Treated_ feathers""},{""varName"":""Treated_ eggs""},{""varName"":""Treated_ milk""},{""varName"":""Treated_ airborne""},{""varName"":""Treated_ aquatic""},{""varN"</definedName>
    <definedName name="xlm_clnc_2" localSheetId="17" hidden="1">"'ame"":""Treated_ predator""},{""varName"":""Treated_ toothed""},{""varName"":""Treated_ backbone""},{""varName"":""Treated_ breathes""},{""varName"":""Treated_ venomous""},{""varName"":""Treated_ fins""},{""varName"":""Treated"</definedName>
    <definedName name="xlm_clnc_2" localSheetId="12" hidden="1">"'ame"":""Treated_ predator""},{""varName"":""Treated_ toothed""},{""varName"":""Treated_ backbone""},{""varName"":""Treated_ breathes""},{""varName"":""Treated_ venomous""},{""varName"":""Treated_ fins""},{""varName"":""Treated"</definedName>
    <definedName name="xlm_clnc_2" localSheetId="7" hidden="1">"'ame"":""Treated_ predator""},{""varName"":""Treated_ toothed""},{""varName"":""Treated_ backbone""},{""varName"":""Treated_ breathes""},{""varName"":""Treated_ venomous""},{""varName"":""Treated_ fins""},{""varName"":""Treated"</definedName>
    <definedName name="xlm_clnc_2" localSheetId="2" hidden="1">"'ame"":""Treated_ predator""},{""varName"":""Treated_ toothed""},{""varName"":""Treated_ backbone""},{""varName"":""Treated_ breathes""},{""varName"":""Treated_ venomous""},{""varName"":""Treated_ fins""},{""varName"":""Treated"</definedName>
    <definedName name="xlm_clnc_3" localSheetId="17" hidden="1">"'_ legs""},{""varName"":""Treated_ tail""},{""varName"":""Treated_ domestic""},{""varName"":""Treated_ catsize""}],""cat_cols"":[],""output_var"":{""varName"":""Treated_ class type""}}"</definedName>
    <definedName name="xlm_clnc_3" localSheetId="12" hidden="1">"'_ legs""},{""varName"":""Treated_ tail""},{""varName"":""Treated_ domestic""},{""varName"":""Treated_ catsize""}],""cat_cols"":[],""output_var"":{""varName"":""Treated_ class type""}}"</definedName>
    <definedName name="xlm_clnc_3" localSheetId="7" hidden="1">"'_ legs""},{""varName"":""Treated_ tail""},{""varName"":""Treated_ domestic""},{""varName"":""Treated_ catsize""}],""cat_cols"":[],""output_var"":{""varName"":""Treated_ class type""}}"</definedName>
    <definedName name="xlm_clnc_3" localSheetId="2" hidden="1">"'_ legs""},{""varName"":""Treated_ tail""},{""varName"":""Treated_ domestic""},{""varName"":""Treated_ catsize""}],""cat_cols"":[],""output_var"":{""varName"":""Treated_ class type""}}"</definedName>
    <definedName name="XLMPartitionAllData" localSheetId="17" hidden="1">"$C$36:$T$129"</definedName>
    <definedName name="XLMPartitionAllData" localSheetId="12" hidden="1">"$C$36:$T$129"</definedName>
    <definedName name="XLMPartitionAllData" localSheetId="7" hidden="1">"$C$36:$T$129"</definedName>
    <definedName name="XLMPartitionAllData" localSheetId="2" hidden="1">"$C$36:$T$129"</definedName>
    <definedName name="XLMPartitionTrainingData" localSheetId="17" hidden="1">"$C$37:$T$92"</definedName>
    <definedName name="XLMPartitionTrainingData" localSheetId="12" hidden="1">"$C$37:$T$101"</definedName>
    <definedName name="XLMPartitionTrainingData" localSheetId="7" hidden="1">"$C$37:$T$110"</definedName>
    <definedName name="XLMPartitionTrainingData" localSheetId="2" hidden="1">"$C$37:$T$106"</definedName>
    <definedName name="XLMPartitionType" localSheetId="17" hidden="1">0</definedName>
    <definedName name="XLMPartitionType" localSheetId="12" hidden="1">0</definedName>
    <definedName name="XLMPartitionType" localSheetId="7" hidden="1">0</definedName>
    <definedName name="XLMPartitionType" localSheetId="2" hidden="1">0</definedName>
    <definedName name="XLMPartitionValidationData" localSheetId="17" hidden="1">"$C$93:$T$129"</definedName>
    <definedName name="XLMPartitionValidationData" localSheetId="12" hidden="1">"$C$102:$T$129"</definedName>
    <definedName name="XLMPartitionValidationData" localSheetId="7" hidden="1">"$C$111:$T$129"</definedName>
    <definedName name="XLMPartitionValidationData" localSheetId="2" hidden="1">"$C$107:$T$129"</definedName>
    <definedName name="XLMPartitionVariableNames" localSheetId="17" hidden="1">"$C$36:$T$36"</definedName>
    <definedName name="XLMPartitionVariableNames" localSheetId="12" hidden="1">"$C$36:$T$36"</definedName>
    <definedName name="XLMPartitionVariableNames" localSheetId="7" hidden="1">"$C$36:$T$36"</definedName>
    <definedName name="XLMPartitionVariableNames" localSheetId="2" hidden="1">"$C$36:$T$36"</definedName>
    <definedName name="XLMPMMLModelRange" localSheetId="21" hidden="1">"$B$12:$B$508"</definedName>
    <definedName name="XLMPMMLModelRange" localSheetId="16" hidden="1">"$B$12:$B$508"</definedName>
    <definedName name="XLMPMMLModelRange" localSheetId="11" hidden="1">"$B$12:$B$508"</definedName>
    <definedName name="XLMPMMLModelRange" localSheetId="6" hidden="1">"$B$12:$B$508"</definedName>
    <definedName name="XLMRasonModelRange" localSheetId="1" hidden="1">"CV1:CV1"</definedName>
    <definedName name="XLMRasonModelRange" localSheetId="23" hidden="1">"CV1:CV1"</definedName>
    <definedName name="XLMRasonModelRange" localSheetId="18" hidden="1">"CV1:CV1"</definedName>
    <definedName name="XLMRasonModelRange" localSheetId="13" hidden="1">"CV1:CV1"</definedName>
    <definedName name="XLMRasonModelRange" localSheetId="8" hidden="1">"CV1:CV1"</definedName>
    <definedName name="XLMRasonModelRange" localSheetId="3" hidden="1">"CV1:CV1"</definedName>
    <definedName name="XLMRasonModelRange" localSheetId="17" hidden="1">"CV1:CV1"</definedName>
    <definedName name="XLMRasonModelRange" localSheetId="12" hidden="1">"CV1:CV1"</definedName>
    <definedName name="XLMRasonModelRange" localSheetId="7" hidden="1">"CV1:CV1"</definedName>
    <definedName name="XLMRasonModelRange" localSheetId="2" hidden="1">"CV1:CV1"</definedName>
    <definedName name="XLMReportData" localSheetId="1" hidden="1">"$C$33:$W$126"</definedName>
    <definedName name="XLMReportData" localSheetId="23" hidden="1">"$C$33:$U$41"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D28" i="29"/>
  <c r="E28" i="29"/>
  <c r="F28" i="29"/>
  <c r="G28" i="29"/>
  <c r="H28" i="29"/>
  <c r="I28" i="29"/>
  <c r="J28" i="29"/>
  <c r="K28" i="29"/>
  <c r="E30" i="26"/>
  <c r="D30" i="26"/>
  <c r="F30" i="26" s="1"/>
  <c r="E29" i="26"/>
  <c r="D29" i="26"/>
  <c r="F29" i="26" s="1"/>
  <c r="E28" i="26"/>
  <c r="D28" i="26"/>
  <c r="F28" i="26" s="1"/>
  <c r="E27" i="26"/>
  <c r="D27" i="26"/>
  <c r="F27" i="26" s="1"/>
  <c r="E26" i="26"/>
  <c r="D26" i="26"/>
  <c r="F26" i="26" s="1"/>
  <c r="E25" i="26"/>
  <c r="D25" i="26"/>
  <c r="F25" i="26" s="1"/>
  <c r="E24" i="26"/>
  <c r="E31" i="26" s="1"/>
  <c r="D24" i="26"/>
  <c r="D31" i="26" s="1"/>
  <c r="F31" i="26" s="1"/>
  <c r="E28" i="25"/>
  <c r="D28" i="25"/>
  <c r="F28" i="25" s="1"/>
  <c r="F27" i="25"/>
  <c r="E27" i="25"/>
  <c r="D27" i="25"/>
  <c r="E26" i="25"/>
  <c r="D26" i="25"/>
  <c r="F26" i="25" s="1"/>
  <c r="E25" i="25"/>
  <c r="D25" i="25"/>
  <c r="F25" i="25" s="1"/>
  <c r="E24" i="25"/>
  <c r="D24" i="25"/>
  <c r="F24" i="25" s="1"/>
  <c r="E23" i="25"/>
  <c r="E29" i="25" s="1"/>
  <c r="D23" i="25"/>
  <c r="D29" i="25" s="1"/>
  <c r="E30" i="21"/>
  <c r="F30" i="21" s="1"/>
  <c r="D30" i="21"/>
  <c r="E29" i="21"/>
  <c r="D29" i="21"/>
  <c r="F29" i="21" s="1"/>
  <c r="E28" i="21"/>
  <c r="D28" i="21"/>
  <c r="F28" i="21" s="1"/>
  <c r="E27" i="21"/>
  <c r="D27" i="21"/>
  <c r="F27" i="21" s="1"/>
  <c r="E26" i="21"/>
  <c r="D26" i="21"/>
  <c r="F26" i="21" s="1"/>
  <c r="E25" i="21"/>
  <c r="D25" i="21"/>
  <c r="F25" i="21" s="1"/>
  <c r="E24" i="21"/>
  <c r="E31" i="21" s="1"/>
  <c r="D24" i="21"/>
  <c r="F24" i="21" s="1"/>
  <c r="E26" i="20"/>
  <c r="D26" i="20"/>
  <c r="F26" i="20" s="1"/>
  <c r="E25" i="20"/>
  <c r="D25" i="20"/>
  <c r="F25" i="20" s="1"/>
  <c r="E24" i="20"/>
  <c r="D24" i="20"/>
  <c r="F24" i="20" s="1"/>
  <c r="E23" i="20"/>
  <c r="D23" i="20"/>
  <c r="F23" i="20" s="1"/>
  <c r="E22" i="20"/>
  <c r="E27" i="20" s="1"/>
  <c r="D22" i="20"/>
  <c r="D27" i="20" s="1"/>
  <c r="F27" i="20" s="1"/>
  <c r="E30" i="16"/>
  <c r="D30" i="16"/>
  <c r="F30" i="16" s="1"/>
  <c r="E29" i="16"/>
  <c r="D29" i="16"/>
  <c r="F29" i="16" s="1"/>
  <c r="E28" i="16"/>
  <c r="D28" i="16"/>
  <c r="F28" i="16" s="1"/>
  <c r="E27" i="16"/>
  <c r="D27" i="16"/>
  <c r="F27" i="16" s="1"/>
  <c r="E26" i="16"/>
  <c r="D26" i="16"/>
  <c r="F26" i="16" s="1"/>
  <c r="E25" i="16"/>
  <c r="D25" i="16"/>
  <c r="F25" i="16" s="1"/>
  <c r="E24" i="16"/>
  <c r="E31" i="16" s="1"/>
  <c r="D24" i="16"/>
  <c r="F24" i="16" s="1"/>
  <c r="E28" i="15"/>
  <c r="D28" i="15"/>
  <c r="F28" i="15" s="1"/>
  <c r="E27" i="15"/>
  <c r="D27" i="15"/>
  <c r="F27" i="15" s="1"/>
  <c r="E26" i="15"/>
  <c r="D26" i="15"/>
  <c r="F26" i="15" s="1"/>
  <c r="E25" i="15"/>
  <c r="D25" i="15"/>
  <c r="F25" i="15" s="1"/>
  <c r="E24" i="15"/>
  <c r="D24" i="15"/>
  <c r="F24" i="15" s="1"/>
  <c r="E23" i="15"/>
  <c r="E29" i="15" s="1"/>
  <c r="D23" i="15"/>
  <c r="D29" i="15" s="1"/>
  <c r="F29" i="15" s="1"/>
  <c r="E30" i="11"/>
  <c r="D30" i="11"/>
  <c r="F30" i="11" s="1"/>
  <c r="F29" i="11"/>
  <c r="E29" i="11"/>
  <c r="D29" i="11"/>
  <c r="E28" i="11"/>
  <c r="D28" i="11"/>
  <c r="F28" i="11" s="1"/>
  <c r="E27" i="11"/>
  <c r="D27" i="11"/>
  <c r="F27" i="11" s="1"/>
  <c r="E26" i="11"/>
  <c r="D26" i="11"/>
  <c r="F26" i="11" s="1"/>
  <c r="E25" i="11"/>
  <c r="D25" i="11"/>
  <c r="F25" i="11" s="1"/>
  <c r="E24" i="11"/>
  <c r="E31" i="11" s="1"/>
  <c r="D24" i="11"/>
  <c r="D31" i="11" s="1"/>
  <c r="F31" i="11" s="1"/>
  <c r="E28" i="10"/>
  <c r="D28" i="10"/>
  <c r="F28" i="10" s="1"/>
  <c r="E27" i="10"/>
  <c r="D27" i="10"/>
  <c r="F27" i="10" s="1"/>
  <c r="E26" i="10"/>
  <c r="D26" i="10"/>
  <c r="F26" i="10" s="1"/>
  <c r="E25" i="10"/>
  <c r="D25" i="10"/>
  <c r="F25" i="10" s="1"/>
  <c r="F24" i="10"/>
  <c r="E24" i="10"/>
  <c r="D24" i="10"/>
  <c r="F23" i="10"/>
  <c r="E23" i="10"/>
  <c r="E29" i="10" s="1"/>
  <c r="D23" i="10"/>
  <c r="D29" i="10" s="1"/>
  <c r="F24" i="26" l="1"/>
  <c r="F29" i="25"/>
  <c r="F23" i="25"/>
  <c r="D31" i="21"/>
  <c r="F31" i="21" s="1"/>
  <c r="F22" i="20"/>
  <c r="D31" i="16"/>
  <c r="F31" i="16" s="1"/>
  <c r="F23" i="15"/>
  <c r="F24" i="11"/>
  <c r="F29" i="10"/>
</calcChain>
</file>

<file path=xl/sharedStrings.xml><?xml version="1.0" encoding="utf-8"?>
<sst xmlns="http://schemas.openxmlformats.org/spreadsheetml/2006/main" count="3837" uniqueCount="563">
  <si>
    <t>aardvark</t>
  </si>
  <si>
    <t>antelope</t>
  </si>
  <si>
    <t>bass</t>
  </si>
  <si>
    <t>bear</t>
  </si>
  <si>
    <t>boar</t>
  </si>
  <si>
    <t>buffalo</t>
  </si>
  <si>
    <t>calf</t>
  </si>
  <si>
    <t>carp</t>
  </si>
  <si>
    <t>catfish</t>
  </si>
  <si>
    <t>cavy</t>
  </si>
  <si>
    <t>cheetah</t>
  </si>
  <si>
    <t>chicken</t>
  </si>
  <si>
    <t>chub</t>
  </si>
  <si>
    <t>clam</t>
  </si>
  <si>
    <t>crab</t>
  </si>
  <si>
    <t>crayfish</t>
  </si>
  <si>
    <t>crow</t>
  </si>
  <si>
    <t>deer</t>
  </si>
  <si>
    <t>dogfish</t>
  </si>
  <si>
    <t>dolphin</t>
  </si>
  <si>
    <t>dove</t>
  </si>
  <si>
    <t>duck</t>
  </si>
  <si>
    <t>elephant</t>
  </si>
  <si>
    <t>flamingo</t>
  </si>
  <si>
    <t>flea</t>
  </si>
  <si>
    <t>frog</t>
  </si>
  <si>
    <t>fruitbat</t>
  </si>
  <si>
    <t>giraffe</t>
  </si>
  <si>
    <t>gnat</t>
  </si>
  <si>
    <t>goat</t>
  </si>
  <si>
    <t>gorilla</t>
  </si>
  <si>
    <t>gull</t>
  </si>
  <si>
    <t>haddock</t>
  </si>
  <si>
    <t>hamster</t>
  </si>
  <si>
    <t>hare</t>
  </si>
  <si>
    <t>hawk</t>
  </si>
  <si>
    <t>herring</t>
  </si>
  <si>
    <t>honeybee</t>
  </si>
  <si>
    <t>housefly</t>
  </si>
  <si>
    <t>kiwi</t>
  </si>
  <si>
    <t>ladybird</t>
  </si>
  <si>
    <t>lark</t>
  </si>
  <si>
    <t>leopard</t>
  </si>
  <si>
    <t>lion</t>
  </si>
  <si>
    <t>lobster</t>
  </si>
  <si>
    <t>lynx</t>
  </si>
  <si>
    <t>mink</t>
  </si>
  <si>
    <t>mole</t>
  </si>
  <si>
    <t>mongoose</t>
  </si>
  <si>
    <t>moth</t>
  </si>
  <si>
    <t>newt</t>
  </si>
  <si>
    <t>octopus</t>
  </si>
  <si>
    <t>opossum</t>
  </si>
  <si>
    <t>oryx</t>
  </si>
  <si>
    <t>ostrich</t>
  </si>
  <si>
    <t>parakeet</t>
  </si>
  <si>
    <t>penguin</t>
  </si>
  <si>
    <t>pheasant</t>
  </si>
  <si>
    <t>pike</t>
  </si>
  <si>
    <t>piranha</t>
  </si>
  <si>
    <t>pitviper</t>
  </si>
  <si>
    <t>platypus</t>
  </si>
  <si>
    <t>polecat</t>
  </si>
  <si>
    <t>pony</t>
  </si>
  <si>
    <t>porpoise</t>
  </si>
  <si>
    <t>puma</t>
  </si>
  <si>
    <t>raccoon</t>
  </si>
  <si>
    <t>reindeer</t>
  </si>
  <si>
    <t>rhea</t>
  </si>
  <si>
    <t>scorpion</t>
  </si>
  <si>
    <t>seahorse</t>
  </si>
  <si>
    <t>seal</t>
  </si>
  <si>
    <t>sealion</t>
  </si>
  <si>
    <t>seasnake</t>
  </si>
  <si>
    <t>seawasp</t>
  </si>
  <si>
    <t>skimmer</t>
  </si>
  <si>
    <t>skua</t>
  </si>
  <si>
    <t>slowworm</t>
  </si>
  <si>
    <t>slug</t>
  </si>
  <si>
    <t>sole</t>
  </si>
  <si>
    <t>sparrow</t>
  </si>
  <si>
    <t>squirrel</t>
  </si>
  <si>
    <t>starfish</t>
  </si>
  <si>
    <t>stingray</t>
  </si>
  <si>
    <t>swan</t>
  </si>
  <si>
    <t>termite</t>
  </si>
  <si>
    <t>toad</t>
  </si>
  <si>
    <t>tortoise</t>
  </si>
  <si>
    <t>tuatara</t>
  </si>
  <si>
    <t>tuna</t>
  </si>
  <si>
    <t>vampire</t>
  </si>
  <si>
    <t>vole</t>
  </si>
  <si>
    <t>vulture</t>
  </si>
  <si>
    <t>wallaby</t>
  </si>
  <si>
    <t>wasp</t>
  </si>
  <si>
    <t>wolf</t>
  </si>
  <si>
    <t>worm</t>
  </si>
  <si>
    <t>wren</t>
  </si>
  <si>
    <t>animal name</t>
  </si>
  <si>
    <t xml:space="preserve"> hair</t>
  </si>
  <si>
    <t xml:space="preserve"> feathers</t>
  </si>
  <si>
    <t xml:space="preserve"> eggs</t>
  </si>
  <si>
    <t xml:space="preserve"> milk</t>
  </si>
  <si>
    <t xml:space="preserve"> airborne</t>
  </si>
  <si>
    <t xml:space="preserve"> aquatic</t>
  </si>
  <si>
    <t xml:space="preserve"> predator</t>
  </si>
  <si>
    <t xml:space="preserve"> toothed</t>
  </si>
  <si>
    <t xml:space="preserve"> backbone</t>
  </si>
  <si>
    <t xml:space="preserve"> breathes</t>
  </si>
  <si>
    <t xml:space="preserve"> venomous</t>
  </si>
  <si>
    <t xml:space="preserve"> fins</t>
  </si>
  <si>
    <t xml:space="preserve"> legs</t>
  </si>
  <si>
    <t xml:space="preserve"> tail</t>
  </si>
  <si>
    <t xml:space="preserve"> domestic</t>
  </si>
  <si>
    <t xml:space="preserve"> catsize</t>
  </si>
  <si>
    <t>cat</t>
  </si>
  <si>
    <t>?</t>
  </si>
  <si>
    <t>class type</t>
  </si>
  <si>
    <t xml:space="preserve"> class type</t>
  </si>
  <si>
    <t>Living</t>
  </si>
  <si>
    <t>No.</t>
  </si>
  <si>
    <t>Data Science: Missing Data Handling</t>
  </si>
  <si>
    <t>Output Navigator</t>
  </si>
  <si>
    <t>Inputs</t>
  </si>
  <si>
    <t>Transformed Data</t>
  </si>
  <si>
    <t>Data</t>
  </si>
  <si>
    <t>Workbook</t>
  </si>
  <si>
    <t>Worksheet</t>
  </si>
  <si>
    <t>Range</t>
  </si>
  <si>
    <t># Records in the input data</t>
  </si>
  <si>
    <t>Variables</t>
  </si>
  <si>
    <t># Selected Variables</t>
  </si>
  <si>
    <t>Selected Variables</t>
  </si>
  <si>
    <t>Imputer Parameters</t>
  </si>
  <si>
    <t>Variable</t>
  </si>
  <si>
    <t>Reduction Type</t>
  </si>
  <si>
    <t># Records Treated</t>
  </si>
  <si>
    <t>Missing Value Code</t>
  </si>
  <si>
    <t># Output Records</t>
  </si>
  <si>
    <t>#Records Deleted</t>
  </si>
  <si>
    <t>Class Assignment 4 - Animals - Student Use Dataset -1.xlsx</t>
  </si>
  <si>
    <t>data</t>
  </si>
  <si>
    <t>A1:T94</t>
  </si>
  <si>
    <t>NONE</t>
  </si>
  <si>
    <t>MODE</t>
  </si>
  <si>
    <t>Elapsed Times in Milliseconds</t>
  </si>
  <si>
    <t>Data Reading Time</t>
  </si>
  <si>
    <t>Algorithm Time</t>
  </si>
  <si>
    <t>Report Time</t>
  </si>
  <si>
    <t>Total</t>
  </si>
  <si>
    <t>Date: 18-Feb-2025 20:27:52</t>
  </si>
  <si>
    <t>{"comment":"this RASON template was auto-generated by Analytic Solver Data Science","datasources":{},"datasets":{},"estimator":{"imputationEstimator":{"type":"transformation","algorithm":"imputation","parameters":{"imputationStrategy":[[" fins","MODE"],[" feathers","MODE"],[" hair","MODE"],[" aquatic","MODE"],[" venomous","MODE"],[" eggs","MODE"],[" breathes","MODE"],[" airborne","MODE"],[" predator","MODE"],[" milk","MODE"],["Living","MODE"],[" toothed","MODE"],[" backbone","MODE"],[" legs","MODE"],[" tail","MODE"],[" domestic","MODE"],[" catsize","MODE"],[" class type","MODE"]],"placeholder":[]}}},"actions":{}}</t>
  </si>
  <si>
    <t>Record ID</t>
  </si>
  <si>
    <t>Treated_ hair</t>
  </si>
  <si>
    <t>Treated_ feathers</t>
  </si>
  <si>
    <t>Treated_ eggs</t>
  </si>
  <si>
    <t>Treated_ milk</t>
  </si>
  <si>
    <t>Treated_ airborne</t>
  </si>
  <si>
    <t>Treated_ aquatic</t>
  </si>
  <si>
    <t>Treated_ predator</t>
  </si>
  <si>
    <t>Treated_ toothed</t>
  </si>
  <si>
    <t>Treated_ backbone</t>
  </si>
  <si>
    <t>Treated_ breathes</t>
  </si>
  <si>
    <t>Treated_ venomous</t>
  </si>
  <si>
    <t>Treated_ fins</t>
  </si>
  <si>
    <t>Treated_ legs</t>
  </si>
  <si>
    <t>Treated_ tail</t>
  </si>
  <si>
    <t>Treated_ domestic</t>
  </si>
  <si>
    <t>Treated_ catsize</t>
  </si>
  <si>
    <t>Treated_ class type</t>
  </si>
  <si>
    <t>Treated_Living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</si>
  <si>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</si>
  <si>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</si>
  <si>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</si>
  <si>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</si>
  <si>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</si>
  <si>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</si>
  <si>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</si>
  <si>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</si>
  <si>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</si>
  <si>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</si>
  <si>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</si>
  <si>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</si>
  <si>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</si>
  <si>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</si>
  <si>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</si>
  <si>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</si>
  <si>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</si>
  <si>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</si>
  <si>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</si>
  <si>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</si>
  <si>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</si>
  <si>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</si>
  <si>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</si>
  <si>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</si>
  <si>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</si>
  <si>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</si>
  <si>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</si>
  <si>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</si>
  <si>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</si>
  <si>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</si>
  <si>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</si>
  <si>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</si>
  <si>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</si>
  <si>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</si>
  <si>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</si>
  <si>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</si>
  <si>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</si>
  <si>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</si>
  <si>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</si>
  <si>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</si>
  <si>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</si>
  <si>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</si>
  <si>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</si>
  <si>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</si>
  <si>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</si>
  <si>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</si>
  <si>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</si>
  <si>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</si>
  <si>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</si>
  <si>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</si>
  <si>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</si>
  <si>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</si>
  <si>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</si>
  <si>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</si>
  <si>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</si>
  <si>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</si>
  <si>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</si>
  <si>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</si>
  <si>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</si>
  <si>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</si>
  <si>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</si>
  <si>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</si>
  <si>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</si>
  <si>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</si>
  <si>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</si>
  <si>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</si>
  <si>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</si>
  <si>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</si>
  <si>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</si>
  <si>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</si>
  <si>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</si>
  <si>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</si>
  <si>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</si>
  <si>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</si>
  <si>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</si>
  <si>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</si>
  <si>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</si>
  <si>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</si>
  <si>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</si>
  <si>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</si>
  <si>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</si>
  <si>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</si>
  <si>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</si>
  <si>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</si>
  <si>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</si>
  <si>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</si>
  <si>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</si>
  <si>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</si>
  <si>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</si>
  <si>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</si>
  <si>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</si>
  <si>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</si>
  <si>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</si>
  <si>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Data Science: Standard Partitioner</t>
  </si>
  <si>
    <t>Partition Summary</t>
  </si>
  <si>
    <t>Partitioning Parameters</t>
  </si>
  <si>
    <t>Partitioning type</t>
  </si>
  <si>
    <t>Random seed</t>
  </si>
  <si>
    <t>Ratio - Training</t>
  </si>
  <si>
    <t>Ratio - Validation</t>
  </si>
  <si>
    <t>Imputation</t>
  </si>
  <si>
    <t>$C$33:$W$126</t>
  </si>
  <si>
    <t>RANDOM</t>
  </si>
  <si>
    <t>Date: 18-Feb-2025 20:28:30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</si>
  <si>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</si>
  <si>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</si>
  <si>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Partition</t>
  </si>
  <si>
    <t># Records</t>
  </si>
  <si>
    <t>Training</t>
  </si>
  <si>
    <t>Validation</t>
  </si>
  <si>
    <t>Data Science: Naive Bayes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</si>
  <si>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</si>
  <si>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</si>
  <si>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</si>
  <si>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description="NaiveBayesModel"&gt;</t>
  </si>
  <si>
    <t>&lt;Application name="XLMinerSDK" version="25.0.2.0"/&gt;</t>
  </si>
  <si>
    <t>&lt;Timestamp&gt;2025-2-18 20:29:7&lt;/Timestamp&gt;</t>
  </si>
  <si>
    <t>&lt;ModelName/&gt;</t>
  </si>
  <si>
    <t>&lt;/Header&gt;</t>
  </si>
  <si>
    <t>&lt;DataDictionary numberOfFields="17"&gt;</t>
  </si>
  <si>
    <t>&lt;DataField optype="categorical" dataType="string" name="Treated_ hair"/&gt;</t>
  </si>
  <si>
    <t>&lt;DataField optype="categorical" dataType="string" name="Treated_ feathers"/&gt;</t>
  </si>
  <si>
    <t>&lt;DataField optype="categorical" dataType="string" name="Treated_ eggs"/&gt;</t>
  </si>
  <si>
    <t>&lt;DataField optype="categorical" dataType="string" name="Treated_ milk"/&gt;</t>
  </si>
  <si>
    <t>&lt;DataField optype="categorical" dataType="string" name="Treated_ airborne"/&gt;</t>
  </si>
  <si>
    <t>&lt;DataField optype="categorical" dataType="string" name="Treated_ aquatic"/&gt;</t>
  </si>
  <si>
    <t>&lt;DataField optype="categorical" dataType="string" name="Treated_ predator"/&gt;</t>
  </si>
  <si>
    <t>&lt;DataField optype="categorical" dataType="string" name="Treated_ toothed"/&gt;</t>
  </si>
  <si>
    <t>&lt;DataField optype="categorical" dataType="string" name="Treated_ backbone"/&gt;</t>
  </si>
  <si>
    <t>&lt;DataField optype="categorical" dataType="string" name="Treated_ breathes"/&gt;</t>
  </si>
  <si>
    <t>&lt;DataField optype="categorical" dataType="string" name="Treated_ venomous"/&gt;</t>
  </si>
  <si>
    <t>&lt;DataField optype="categorical" dataType="string" name="Treated_ fins"/&gt;</t>
  </si>
  <si>
    <t>&lt;DataField optype="categorical" dataType="string" name="Treated_ legs"/&gt;</t>
  </si>
  <si>
    <t>Date: 18-Feb-2025 20:29:07</t>
  </si>
  <si>
    <t>&lt;DataField optype="categorical" dataType="string" name="Treated_ tail"/&gt;</t>
  </si>
  <si>
    <t>&lt;DataField optype="categorical" dataType="string" name="Treated_ domestic"/&gt;</t>
  </si>
  <si>
    <t>&lt;DataField optype="categorical" dataType="string" name="Treated_ catsize"/&gt;</t>
  </si>
  <si>
    <t>&lt;DataField optype="categorical" dataType="string" name="Treated_ class type"&gt;</t>
  </si>
  <si>
    <t>&lt;Value value="1"/&gt;</t>
  </si>
  <si>
    <t>&lt;Value value="4"/&gt;</t>
  </si>
  <si>
    <t>&lt;Value value="2"/&gt;</t>
  </si>
  <si>
    <t>&lt;Value value="5"/&gt;</t>
  </si>
  <si>
    <t>&lt;Value value="6"/&gt;</t>
  </si>
  <si>
    <t>&lt;Value value="7"/&gt;</t>
  </si>
  <si>
    <t>&lt;Value value="3"/&gt;</t>
  </si>
  <si>
    <t>&lt;/DataField&gt;</t>
  </si>
  <si>
    <t>&lt;/DataDictionary&gt;</t>
  </si>
  <si>
    <t>&lt;NaiveBayesModel modelName="NaiveBayesModel" functionName="classification" algorithmName="NaiveBayes"&gt;</t>
  </si>
  <si>
    <t>&lt;MiningSchema&gt;</t>
  </si>
  <si>
    <t>&lt;MiningField name="Treated_ class type" usageType="predicted"/&gt;</t>
  </si>
  <si>
    <t>&lt;MiningField name="Treated_ hair" usageType="active"/&gt;</t>
  </si>
  <si>
    <t>&lt;MiningField name="Treated_ feathers" usageType="active"/&gt;</t>
  </si>
  <si>
    <t>&lt;MiningField name="Treated_ eggs" usageType="active"/&gt;</t>
  </si>
  <si>
    <t>&lt;MiningField name="Treated_ milk" usageType="active"/&gt;</t>
  </si>
  <si>
    <t>&lt;MiningField name="Treated_ airborne" usageType="active"/&gt;</t>
  </si>
  <si>
    <t>&lt;MiningField name="Treated_ aquatic" usageType="active"/&gt;</t>
  </si>
  <si>
    <t>&lt;MiningField name="Treated_ predator" usageType="active"/&gt;</t>
  </si>
  <si>
    <t>&lt;MiningField name="Treated_ toothed" usageType="active"/&gt;</t>
  </si>
  <si>
    <t>&lt;MiningField name="Treated_ backbone" usageType="active"/&gt;</t>
  </si>
  <si>
    <t>&lt;MiningField name="Treated_ breathes" usageType="active"/&gt;</t>
  </si>
  <si>
    <t>&lt;MiningField name="Treated_ venomous" usageType="active"/&gt;</t>
  </si>
  <si>
    <t>&lt;MiningField name="Treated_ fins" usageType="active"/&gt;</t>
  </si>
  <si>
    <t>&lt;MiningField name="Treated_ legs" usageType="active"/&gt;</t>
  </si>
  <si>
    <t>&lt;MiningField name="Treated_ tail" usageType="active"/&gt;</t>
  </si>
  <si>
    <t>&lt;MiningField name="Treated_ domestic" usageType="active"/&gt;</t>
  </si>
  <si>
    <t>&lt;MiningField name="Treated_ catsize" usageType="active"/&gt;</t>
  </si>
  <si>
    <t>&lt;/MiningSchema&gt;</t>
  </si>
  <si>
    <t>&lt;Targets&gt;</t>
  </si>
  <si>
    <t>&lt;Target field="Treated_ class type" optype="categorical"&gt;</t>
  </si>
  <si>
    <t>&lt;TargetValue value="1" priorProbability="0.4107142857142857"/&gt;</t>
  </si>
  <si>
    <t>&lt;TargetValue value="4" priorProbability="0.125"/&gt;</t>
  </si>
  <si>
    <t>&lt;TargetValue value="2" priorProbability="0.1607142857142857"/&gt;</t>
  </si>
  <si>
    <t>&lt;TargetValue value="5" priorProbability="0.07142857142857142"/&gt;</t>
  </si>
  <si>
    <t>&lt;TargetValue value="6" priorProbability="0.07142857142857142"/&gt;</t>
  </si>
  <si>
    <t>&lt;TargetValue value="7" priorProbability="0.08928571428571429"/&gt;</t>
  </si>
  <si>
    <t>&lt;TargetValue value="3" priorProbability="0.07142857142857142"/&gt;</t>
  </si>
  <si>
    <t>&lt;/Target&gt;</t>
  </si>
  <si>
    <t>&lt;/Targets&gt;</t>
  </si>
  <si>
    <t>&lt;BayesInputs&gt;</t>
  </si>
  <si>
    <t>&lt;BayesInput fieldName="Treated_ hair"&gt;</t>
  </si>
  <si>
    <t>&lt;PairCounts value="1"&gt;</t>
  </si>
  <si>
    <t>&lt;TargetValueCounts&gt;</t>
  </si>
  <si>
    <t>&lt;TargetValueCount value="1" count="21"/&gt;</t>
  </si>
  <si>
    <t>&lt;TargetValueCount value="4" count="0"/&gt;</t>
  </si>
  <si>
    <t>&lt;TargetValueCount value="2" count="0"/&gt;</t>
  </si>
  <si>
    <t>&lt;TargetValueCount value="5" count="0"/&gt;</t>
  </si>
  <si>
    <t>&lt;TargetValueCount value="6" count="2"/&gt;</t>
  </si>
  <si>
    <t>&lt;TargetValueCount value="7" count="0"/&gt;</t>
  </si>
  <si>
    <t>&lt;TargetValueCount value="3" count="0"/&gt;</t>
  </si>
  <si>
    <t>&lt;/TargetValueCounts&gt;</t>
  </si>
  <si>
    <t>&lt;/PairCounts&gt;</t>
  </si>
  <si>
    <t>&lt;PairCounts value="0"&gt;</t>
  </si>
  <si>
    <t>&lt;TargetValueCount value="1" count="2"/&gt;</t>
  </si>
  <si>
    <t>&lt;TargetValueCount value="4" count="7"/&gt;</t>
  </si>
  <si>
    <t>&lt;TargetValueCount value="2" count="9"/&gt;</t>
  </si>
  <si>
    <t>&lt;TargetValueCount value="5" count="4"/&gt;</t>
  </si>
  <si>
    <t>&lt;TargetValueCount value="7" count="5"/&gt;</t>
  </si>
  <si>
    <t>&lt;TargetValueCount value="3" count="4"/&gt;</t>
  </si>
  <si>
    <t>&lt;/BayesInput&gt;</t>
  </si>
  <si>
    <t>&lt;BayesInput fieldName="Treated_ aquatic"&gt;</t>
  </si>
  <si>
    <t>&lt;TargetValueCount value="1" count="19"/&gt;</t>
  </si>
  <si>
    <t>&lt;TargetValueCount value="2" count="7"/&gt;</t>
  </si>
  <si>
    <t>&lt;TargetValueCount value="6" count="4"/&gt;</t>
  </si>
  <si>
    <t>&lt;TargetValueCount value="7" count="3"/&gt;</t>
  </si>
  <si>
    <t>&lt;TargetValueCount value="1" count="4"/&gt;</t>
  </si>
  <si>
    <t>&lt;TargetValueCount value="2" count="2"/&gt;</t>
  </si>
  <si>
    <t>&lt;TargetValueCount value="6" count="0"/&gt;</t>
  </si>
  <si>
    <t>&lt;TargetValueCount value="7" count="2"/&gt;</t>
  </si>
  <si>
    <t>&lt;BayesInput fieldName="Treated_ fins"&gt;</t>
  </si>
  <si>
    <t>&lt;TargetValueCount value="1" count="20"/&gt;</t>
  </si>
  <si>
    <t>&lt;TargetValueCount value="1" count="3"/&gt;</t>
  </si>
  <si>
    <t>&lt;BayesInput fieldName="Treated_ feathers"&gt;</t>
  </si>
  <si>
    <t>&lt;TargetValueCount value="1" count="23"/&gt;</t>
  </si>
  <si>
    <t>&lt;TargetValueCount value="1" count="0"/&gt;</t>
  </si>
  <si>
    <t>&lt;BayesInput fieldName="Treated_ airborne"&gt;</t>
  </si>
  <si>
    <t>&lt;TargetValueCount value="1" count="22"/&gt;</t>
  </si>
  <si>
    <t>&lt;TargetValueCount value="2" count="1"/&gt;</t>
  </si>
  <si>
    <t>&lt;TargetValueCount value="1" count="1"/&gt;</t>
  </si>
  <si>
    <t>&lt;TargetValueCount value="2" count="8"/&gt;</t>
  </si>
  <si>
    <t>&lt;BayesInput fieldName="Treated_ domestic"&gt;</t>
  </si>
  <si>
    <t>&lt;BayesInput fieldName="Treated_ venomous"&gt;</t>
  </si>
  <si>
    <t>&lt;TargetValueCount value="4" count="6"/&gt;</t>
  </si>
  <si>
    <t>&lt;TargetValueCount value="5" count="3"/&gt;</t>
  </si>
  <si>
    <t>&lt;TargetValueCount value="6" count="3"/&gt;</t>
  </si>
  <si>
    <t>&lt;TargetValueCount value="3" count="3"/&gt;</t>
  </si>
  <si>
    <t>&lt;TargetValueCount value="4" count="1"/&gt;</t>
  </si>
  <si>
    <t>&lt;TargetValueCount value="5" count="1"/&gt;</t>
  </si>
  <si>
    <t>&lt;TargetValueCount value="6" count="1"/&gt;</t>
  </si>
  <si>
    <t>&lt;TargetValueCount value="3" count="1"/&gt;</t>
  </si>
  <si>
    <t>&lt;BayesInput fieldName="Treated_ eggs"&gt;</t>
  </si>
  <si>
    <t>&lt;TargetValueCount value="7" count="1"/&gt;</t>
  </si>
  <si>
    <t>&lt;TargetValueCount value="7" count="4"/&gt;</t>
  </si>
  <si>
    <t>&lt;BayesInput fieldName="Treated_ predator"&gt;</t>
  </si>
  <si>
    <t>&lt;TargetValueCount value="1" count="12"/&gt;</t>
  </si>
  <si>
    <t>&lt;TargetValueCount value="1" count="11"/&gt;</t>
  </si>
  <si>
    <t>&lt;BayesInput fieldName="Treated_ catsize"&gt;</t>
  </si>
  <si>
    <t>&lt;TargetValueCount value="1" count="18"/&gt;</t>
  </si>
  <si>
    <t>&lt;TargetValueCount value="4" count="3"/&gt;</t>
  </si>
  <si>
    <t>&lt;TargetValueCount value="1" count="5"/&gt;</t>
  </si>
  <si>
    <t>&lt;TargetValueCount value="4" count="4"/&gt;</t>
  </si>
  <si>
    <t>&lt;BayesInput fieldName="Treated_ milk"&gt;</t>
  </si>
  <si>
    <t>&lt;BayesInput fieldName="Treated_ toothed"&gt;</t>
  </si>
  <si>
    <t>&lt;BayesInput fieldName="Treated_ legs"&gt;</t>
  </si>
  <si>
    <t>&lt;PairCounts value="4"&gt;</t>
  </si>
  <si>
    <t>&lt;TargetValueCount value="1" count="16"/&gt;</t>
  </si>
  <si>
    <t>&lt;TargetValueCount value="3" count="2"/&gt;</t>
  </si>
  <si>
    <t>&lt;PairCounts value="8"&gt;</t>
  </si>
  <si>
    <t>&lt;PairCounts value="2"&gt;</t>
  </si>
  <si>
    <t>&lt;PairCounts value="6"&gt;</t>
  </si>
  <si>
    <t>&lt;BayesInput fieldName="Treated_ backbone"&gt;</t>
  </si>
  <si>
    <t>&lt;BayesInput fieldName="Treated_ breathes"&gt;</t>
  </si>
  <si>
    <t>&lt;BayesInput fieldName="Treated_ tail"&gt;</t>
  </si>
  <si>
    <t>&lt;/BayesInputs&gt;</t>
  </si>
  <si>
    <t>&lt;BayesOutput fieldName="Treated_ class type"&gt;</t>
  </si>
  <si>
    <t>&lt;/BayesOutput&gt;</t>
  </si>
  <si>
    <t>&lt;/NaiveBayesModel&gt;</t>
  </si>
  <si>
    <t>&lt;/PMML&gt;</t>
  </si>
  <si>
    <t>Training: Classification Summary</t>
  </si>
  <si>
    <t>Validation: Classification Summary</t>
  </si>
  <si>
    <t>Data Science: Naive Bayes - Prediction of Validation Data</t>
  </si>
  <si>
    <t>Confusion Matrix</t>
  </si>
  <si>
    <t>Error Report</t>
  </si>
  <si>
    <t>Class</t>
  </si>
  <si>
    <t>Overall</t>
  </si>
  <si>
    <t>Metrics</t>
  </si>
  <si>
    <t>Metric</t>
  </si>
  <si>
    <t># Cases</t>
  </si>
  <si>
    <t>Value</t>
  </si>
  <si>
    <t># Errors</t>
  </si>
  <si>
    <t>% Error</t>
  </si>
  <si>
    <t>Accuracy (#correct)</t>
  </si>
  <si>
    <t>Accuracy (%correct)</t>
  </si>
  <si>
    <t>Actual\Predicted</t>
  </si>
  <si>
    <t>1</t>
  </si>
  <si>
    <t>2</t>
  </si>
  <si>
    <t>3</t>
  </si>
  <si>
    <t>4</t>
  </si>
  <si>
    <t>6</t>
  </si>
  <si>
    <t>7</t>
  </si>
  <si>
    <t>Data Science: Naive Bayes - Prediction of Training Data</t>
  </si>
  <si>
    <t>5</t>
  </si>
  <si>
    <t>Data Science: Naive Bayes</t>
  </si>
  <si>
    <t>Training data used for building the model</t>
  </si>
  <si>
    <t># Records in the training data</t>
  </si>
  <si>
    <t>Validation data</t>
  </si>
  <si>
    <t># Records in the validation data</t>
  </si>
  <si>
    <t># Variables</t>
  </si>
  <si>
    <t>Scale Variables</t>
  </si>
  <si>
    <t>Output Variable</t>
  </si>
  <si>
    <t>Naive Bayes: Fitting Parameters</t>
  </si>
  <si>
    <t>Laplace smoothing</t>
  </si>
  <si>
    <t>Smoothing alpha</t>
  </si>
  <si>
    <t>Prior Probability Calculation</t>
  </si>
  <si>
    <t>Naive Bayes: Model Parameters</t>
  </si>
  <si>
    <t># Classes</t>
  </si>
  <si>
    <t>EMPIRICAL</t>
  </si>
  <si>
    <t>STDPartition</t>
  </si>
  <si>
    <t>$C$37:$T$92</t>
  </si>
  <si>
    <t>$C$93:$T$129</t>
  </si>
  <si>
    <t>{"comment":"this RASON template was auto-generated by Analytic Solver Data Science","datasources":{},"datasets":{},"estimator":{"naiveBayesEstimator":{"type":"classification","algorithm":"naiveBayes","parameters":{"laplaceSmoothing":true,"priorProbMethod":"EMPIRICAL","smoothingAlpha":1}}},"actions":{}}</t>
  </si>
  <si>
    <t>Naive Bayes: Reporting Parameters</t>
  </si>
  <si>
    <t>Show prior conditional probability</t>
  </si>
  <si>
    <t>Show log-density</t>
  </si>
  <si>
    <t>Output Options</t>
  </si>
  <si>
    <t>Summary report of scoring on training data</t>
  </si>
  <si>
    <t>Summary report of scoring on validation data</t>
  </si>
  <si>
    <t>Date: 18-Feb-2025 20:33:19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</si>
  <si>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Science","datasources":{},"datasets":{},"transformer":{"partitioner":{"type":"transformation","algorithm":"partitioning","parameters":{"partitionMethod":"RANDOM","ratios":[["Training",0.69999999999999996],["Validation",0.29999999999999999]],"seed":12345}}},"actions":{}}</t>
  </si>
  <si>
    <t>&lt;Timestamp&gt;2025-2-18 20:33:50&lt;/Timestamp&gt;</t>
  </si>
  <si>
    <t>Date: 18-Feb-2025 20:33:50</t>
  </si>
  <si>
    <t>&lt;TargetValue value="1" priorProbability="0.3846153846153846"/&gt;</t>
  </si>
  <si>
    <t>&lt;TargetValue value="4" priorProbability="0.1538461538461539"/&gt;</t>
  </si>
  <si>
    <t>&lt;TargetValue value="2" priorProbability="0.1538461538461539"/&gt;</t>
  </si>
  <si>
    <t>&lt;TargetValue value="6" priorProbability="0.07692307692307693"/&gt;</t>
  </si>
  <si>
    <t>&lt;TargetValue value="5" priorProbability="0.06153846153846154"/&gt;</t>
  </si>
  <si>
    <t>&lt;TargetValue value="7" priorProbability="0.1076923076923077"/&gt;</t>
  </si>
  <si>
    <t>&lt;TargetValue value="3" priorProbability="0.06153846153846154"/&gt;</t>
  </si>
  <si>
    <t>&lt;TargetValueCount value="4" count="10"/&gt;</t>
  </si>
  <si>
    <t>&lt;TargetValueCount value="2" count="10"/&gt;</t>
  </si>
  <si>
    <t>&lt;TargetValueCount value="7" count="7"/&gt;</t>
  </si>
  <si>
    <t>&lt;TargetValueCount value="6" count="5"/&gt;</t>
  </si>
  <si>
    <t>&lt;TargetValueCount value="2" count="3"/&gt;</t>
  </si>
  <si>
    <t>&lt;TargetValueCount value="1" count="25"/&gt;</t>
  </si>
  <si>
    <t>&lt;TargetValueCount value="1" count="24"/&gt;</t>
  </si>
  <si>
    <t>&lt;TargetValueCount value="4" count="9"/&gt;</t>
  </si>
  <si>
    <t>&lt;TargetValueCount value="7" count="6"/&gt;</t>
  </si>
  <si>
    <t>&lt;TargetValueCount value="1" count="13"/&gt;</t>
  </si>
  <si>
    <t>&lt;TargetValueCount value="4" count="8"/&gt;</t>
  </si>
  <si>
    <t>&lt;TargetValueCount value="4" count="2"/&gt;</t>
  </si>
  <si>
    <t>STDPartition1</t>
  </si>
  <si>
    <t>$C$37:$T$101</t>
  </si>
  <si>
    <t>$C$102:$T$129</t>
  </si>
  <si>
    <t>Date: 18-Feb-2025 20:35:01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</si>
  <si>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Science","datasources":{},"datasets":{},"transformer":{"partitioner":{"type":"transformation","algorithm":"partitioning","parameters":{"partitionMethod":"RANDOM","ratios":[["Training",0.80000000000000004],["Validation",0.20000000000000001]],"seed":12345}}},"actions":{}}</t>
  </si>
  <si>
    <t>&lt;Timestamp&gt;2025-2-18 20:35:30&lt;/Timestamp&gt;</t>
  </si>
  <si>
    <t>Date: 18-Feb-2025 20:35:30</t>
  </si>
  <si>
    <t>&lt;TargetValue value="1" priorProbability="0.3918918918918919"/&gt;</t>
  </si>
  <si>
    <t>&lt;TargetValue value="4" priorProbability="0.1351351351351351"/&gt;</t>
  </si>
  <si>
    <t>&lt;TargetValue value="7" priorProbability="0.0945945945945946"/&gt;</t>
  </si>
  <si>
    <t>&lt;TargetValue value="2" priorProbability="0.1756756756756757"/&gt;</t>
  </si>
  <si>
    <t>&lt;TargetValue value="6" priorProbability="0.08108108108108109"/&gt;</t>
  </si>
  <si>
    <t>&lt;TargetValue value="5" priorProbability="0.05405405405405406"/&gt;</t>
  </si>
  <si>
    <t>&lt;TargetValue value="3" priorProbability="0.06756756756756757"/&gt;</t>
  </si>
  <si>
    <t>&lt;TargetValueCount value="1" count="27"/&gt;</t>
  </si>
  <si>
    <t>&lt;TargetValueCount value="2" count="13"/&gt;</t>
  </si>
  <si>
    <t>&lt;TargetValueCount value="3" count="5"/&gt;</t>
  </si>
  <si>
    <t>&lt;TargetValueCount value="6" count="6"/&gt;</t>
  </si>
  <si>
    <t>&lt;TargetValueCount value="1" count="26"/&gt;</t>
  </si>
  <si>
    <t>&lt;TargetValueCount value="1" count="29"/&gt;</t>
  </si>
  <si>
    <t>&lt;TargetValueCount value="1" count="28"/&gt;</t>
  </si>
  <si>
    <t>&lt;TargetValueCount value="2" count="11"/&gt;</t>
  </si>
  <si>
    <t>&lt;TargetValueCount value="2" count="5"/&gt;</t>
  </si>
  <si>
    <t>&lt;TargetValueCount value="2" count="4"/&gt;</t>
  </si>
  <si>
    <t>&lt;TargetValueCount value="1" count="6"/&gt;</t>
  </si>
  <si>
    <t>STDPartition2</t>
  </si>
  <si>
    <t>$C$37:$T$110</t>
  </si>
  <si>
    <t>$C$111:$T$129</t>
  </si>
  <si>
    <t>Date: 18-Feb-2025 20:36:52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</si>
  <si>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Science","datasources":{},"datasets":{},"transformer":{"partitioner":{"type":"transformation","algorithm":"partitioning","parameters":{"partitionMethod":"RANDOM","ratios":[["Training",0.75],["Validation",0.25]],"seed":12345}}},"actions":{}}</t>
  </si>
  <si>
    <t>&lt;Timestamp&gt;2025-2-18 20:37:31&lt;/Timestamp&gt;</t>
  </si>
  <si>
    <t>Date: 18-Feb-2025 20:37:31</t>
  </si>
  <si>
    <t>&lt;TargetValue value="1" priorProbability="0.4"/&gt;</t>
  </si>
  <si>
    <t>&lt;TargetValue value="4" priorProbability="0.1428571428571428"/&gt;</t>
  </si>
  <si>
    <t>&lt;TargetValue value="2" priorProbability="0.1571428571428571"/&gt;</t>
  </si>
  <si>
    <t>&lt;TargetValue value="6" priorProbability="0.08571428571428572"/&gt;</t>
  </si>
  <si>
    <t>&lt;TargetValue value="5" priorProbability="0.05714285714285714"/&gt;</t>
  </si>
  <si>
    <t>&lt;TargetValue value="7" priorProbability="0.1"/&gt;</t>
  </si>
  <si>
    <t>&lt;TargetValue value="3" priorProbability="0.05714285714285714"/&gt;</t>
  </si>
  <si>
    <t>&lt;TargetValueCount value="1" count="15"/&gt;</t>
  </si>
  <si>
    <t>STDPartition3</t>
  </si>
  <si>
    <t>$C$37:$T$106</t>
  </si>
  <si>
    <t>$C$107:$T$129</t>
  </si>
  <si>
    <t>new data</t>
  </si>
  <si>
    <t>A1:R9</t>
  </si>
  <si>
    <t>Date: 18-Feb-2025 20:39:09</t>
  </si>
  <si>
    <t>DELETE RECORD</t>
  </si>
  <si>
    <t>{"comment":"this RASON template was auto-generated by Analytic Solver Data Science","datasources":{},"datasets":{},"estimator":{"imputationEstimator":{"type":"transformation","algorithm":"imputation","parameters":{"imputationStrategy":[[" fins","MODE"],[" feathers","MODE"],[" hair","MODE"],[" aquatic","MODE"],[" venomous","MODE"],[" eggs","MODE"],[" breathes","MODE"],[" airborne","MODE"],[" predator","MODE"],[" milk","MODE"],[" toothed","MODE"],[" backbone","MODE"],[" legs","MODE"],[" tail","MODE"],[" domestic","MODE"],["class type","DELETE_RECORD"],[" catsize","MODE"]],"placeholder":[]}}},"actions":{}}</t>
  </si>
  <si>
    <t>Data Science: Scoring New Data - NaiveBayes</t>
  </si>
  <si>
    <t>Scoring</t>
  </si>
  <si>
    <t>Model Variables</t>
  </si>
  <si>
    <t>Variables in New Data</t>
  </si>
  <si>
    <t>Imputation1</t>
  </si>
  <si>
    <t>$C$33:$U$41</t>
  </si>
  <si>
    <t>Date: 18-Feb-2025 20:39:53</t>
  </si>
  <si>
    <t>Prediction: Treated_ class type</t>
  </si>
  <si>
    <t>PostProb: 1</t>
  </si>
  <si>
    <t>PostProb: 4</t>
  </si>
  <si>
    <t>PostProb: 7</t>
  </si>
  <si>
    <t>PostProb: 2</t>
  </si>
  <si>
    <t>PostProb: 6</t>
  </si>
  <si>
    <t>PostProb: 5</t>
  </si>
  <si>
    <t>PostProb: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</si>
</sst>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1">
    <font>
      <sz val="10"/>
      <name val="Arial"/>
    </font>
    <font>
      <sz val="10"/>
      <color indexed="8"/>
      <name val="Arial Unicode MS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b/>
      <sz val="10"/>
      <color rgb="FF4169E1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6" xfId="0" applyFont="1" applyBorder="1"/>
    <xf numFmtId="0" fontId="5" fillId="0" borderId="4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5" xfId="1" applyFont="1" applyBorder="1"/>
    <xf numFmtId="0" fontId="6" fillId="0" borderId="2" xfId="1" applyFont="1" applyBorder="1"/>
    <xf numFmtId="0" fontId="6" fillId="0" borderId="6" xfId="1" applyFont="1" applyBorder="1"/>
    <xf numFmtId="0" fontId="10" fillId="3" borderId="3" xfId="0" applyFont="1" applyFill="1" applyBorder="1"/>
    <xf numFmtId="0" fontId="7" fillId="4" borderId="2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10" fillId="3" borderId="6" xfId="0" applyFont="1" applyFill="1" applyBorder="1"/>
    <xf numFmtId="0" fontId="10" fillId="3" borderId="4" xfId="0" applyFont="1" applyFill="1" applyBorder="1"/>
    <xf numFmtId="0" fontId="10" fillId="3" borderId="5" xfId="0" applyFont="1" applyFill="1" applyBorder="1"/>
    <xf numFmtId="0" fontId="10" fillId="3" borderId="2" xfId="0" applyFont="1" applyFill="1" applyBorder="1"/>
    <xf numFmtId="0" fontId="5" fillId="0" borderId="5" xfId="0" applyFont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5" fillId="0" borderId="5" xfId="0" applyFont="1" applyBorder="1"/>
    <xf numFmtId="0" fontId="3" fillId="5" borderId="7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3" fillId="6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224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AA5C1-210A-4C80-8CD3-233A9BB0E53A}" name="Table1" displayName="Table1" ref="C33:W126" totalsRowShown="0" headerRowDxfId="201" dataDxfId="202">
  <autoFilter ref="C33:W126" xr:uid="{BEBAA5C1-210A-4C80-8CD3-233A9BB0E53A}"/>
  <tableColumns count="21">
    <tableColumn id="1" xr3:uid="{058316B1-242F-4F95-8C03-64AB8DBE73C2}" name="Record ID" dataDxfId="223"/>
    <tableColumn id="2" xr3:uid="{B32B3D52-3EB7-4856-B4ED-23CA8F7EC0F7}" name="No." dataDxfId="222"/>
    <tableColumn id="3" xr3:uid="{14F4F59D-2DC0-4952-A8E1-FDC963E291E5}" name="animal name" dataDxfId="221"/>
    <tableColumn id="4" xr3:uid="{8183E6C1-CEF2-45A6-80B3-D1729DA83B08}" name="Treated_ hair" dataDxfId="220"/>
    <tableColumn id="5" xr3:uid="{A14FC316-F4EF-4654-A901-9055E6E633B5}" name="Treated_ feathers" dataDxfId="219"/>
    <tableColumn id="6" xr3:uid="{0B707BD6-0C12-4D30-8BCE-B4358A271970}" name="Treated_ eggs" dataDxfId="218"/>
    <tableColumn id="7" xr3:uid="{CC329598-3515-4719-8DE9-2B18ADC33F37}" name="Treated_ milk" dataDxfId="217"/>
    <tableColumn id="8" xr3:uid="{59C5FB62-FF69-4CEA-A5E4-5A9DCDAE874B}" name="Treated_ airborne" dataDxfId="216"/>
    <tableColumn id="9" xr3:uid="{5221879A-C904-4919-A7D5-981BB0752E7F}" name="Treated_ aquatic" dataDxfId="215"/>
    <tableColumn id="10" xr3:uid="{5B77ED1D-A820-40E5-8ED2-3B0832371238}" name="Treated_ predator" dataDxfId="214"/>
    <tableColumn id="11" xr3:uid="{2E878F6A-B5AC-4736-A972-B1B49C1E2D4B}" name="Treated_ toothed" dataDxfId="213"/>
    <tableColumn id="12" xr3:uid="{326709BD-BBC9-406F-A57A-DEEB50180A4E}" name="Treated_ backbone" dataDxfId="212"/>
    <tableColumn id="13" xr3:uid="{3559DAAF-14C4-4EDC-91D4-F5F159D1DF62}" name="Treated_ breathes" dataDxfId="211"/>
    <tableColumn id="14" xr3:uid="{1BBC63D9-BD57-4C7C-92B6-1571768DFA9A}" name="Treated_ venomous" dataDxfId="210"/>
    <tableColumn id="15" xr3:uid="{526F5C70-4AC2-45B4-9FAD-A443C976282A}" name="Treated_ fins" dataDxfId="209"/>
    <tableColumn id="16" xr3:uid="{29E0C39A-0630-422C-B12E-18507BC822ED}" name="Treated_ legs" dataDxfId="208"/>
    <tableColumn id="17" xr3:uid="{99994543-6444-44FB-A2FE-673B199791F1}" name="Treated_ tail" dataDxfId="207"/>
    <tableColumn id="18" xr3:uid="{33D84CA0-2B63-481C-B9DD-42204568E927}" name="Treated_ domestic" dataDxfId="206"/>
    <tableColumn id="19" xr3:uid="{C2A7928E-BBFD-459D-88C4-CB3D904921C7}" name="Treated_ catsize" dataDxfId="205"/>
    <tableColumn id="20" xr3:uid="{98107B5B-6D8E-4B22-8579-10D42C9B173E}" name="Treated_ class type" dataDxfId="204"/>
    <tableColumn id="21" xr3:uid="{88D2C83B-2F4D-4247-8AB8-CFC416584DF4}" name="Treated_Living" dataDxfId="203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ADA1EA4-1F39-4F81-A447-1666AEFD5F82}" name="Table26" displayName="Table26" ref="C30:D32" totalsRowShown="0">
  <autoFilter ref="C30:D32" xr:uid="{DADA1EA4-1F39-4F81-A447-1666AEFD5F82}"/>
  <tableColumns count="2">
    <tableColumn id="1" xr3:uid="{396EDB41-A222-4D50-8675-43B3574FC9AC}" name="Partition" dataDxfId="72"/>
    <tableColumn id="2" xr3:uid="{B409C306-2C24-4982-8348-A468C644928D}" name="# Records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437CB2-3F94-49AC-8885-C887DB5B7F08}" name="Table27" displayName="Table27" ref="C36:T129" totalsRowShown="0" dataDxfId="53">
  <autoFilter ref="C36:T129" xr:uid="{34437CB2-3F94-49AC-8885-C887DB5B7F08}"/>
  <tableColumns count="18">
    <tableColumn id="1" xr3:uid="{9EF46F82-D463-4C4D-BA26-48C05C4BE8AC}" name="Record ID" dataDxfId="71"/>
    <tableColumn id="2" xr3:uid="{80462449-B681-44CF-8E60-DF34F18F6092}" name="Treated_ hair" dataDxfId="70"/>
    <tableColumn id="3" xr3:uid="{C5836A35-C1AC-41D8-BBE1-A67C15544F60}" name="Treated_ feathers" dataDxfId="69"/>
    <tableColumn id="4" xr3:uid="{BAC6A29A-27E0-4F89-B52D-85F3275A7636}" name="Treated_ eggs" dataDxfId="68"/>
    <tableColumn id="5" xr3:uid="{C82F984E-E5E2-4D75-B4B6-67609F6DE0F7}" name="Treated_ milk" dataDxfId="67"/>
    <tableColumn id="6" xr3:uid="{E0911800-2071-44F6-BC9B-48E75C70E94F}" name="Treated_ airborne" dataDxfId="66"/>
    <tableColumn id="7" xr3:uid="{C135638A-4887-4156-92CD-61D0D89BE59F}" name="Treated_ aquatic" dataDxfId="65"/>
    <tableColumn id="8" xr3:uid="{E369B5B1-9FCC-4203-B74E-792D3A44C994}" name="Treated_ predator" dataDxfId="64"/>
    <tableColumn id="9" xr3:uid="{DF85B463-998C-4439-813C-0D1044662023}" name="Treated_ toothed" dataDxfId="63"/>
    <tableColumn id="10" xr3:uid="{F42A7AE6-4B16-46E3-A4A8-60E95BBAEB4F}" name="Treated_ backbone" dataDxfId="62"/>
    <tableColumn id="11" xr3:uid="{1A633033-7AE1-4F75-AC1C-66BFC9F8E089}" name="Treated_ breathes" dataDxfId="61"/>
    <tableColumn id="12" xr3:uid="{845D8B1A-042A-459B-8299-598885200511}" name="Treated_ venomous" dataDxfId="60"/>
    <tableColumn id="13" xr3:uid="{C31FD088-94CD-4086-BCDA-79BEBEC01D66}" name="Treated_ fins" dataDxfId="59"/>
    <tableColumn id="14" xr3:uid="{CACC909C-F6B0-416F-BA3A-12AE233F3445}" name="Treated_ legs" dataDxfId="58"/>
    <tableColumn id="15" xr3:uid="{688F156E-B01A-46D6-BDC5-4BC0B62B53E6}" name="Treated_ tail" dataDxfId="57"/>
    <tableColumn id="16" xr3:uid="{B15007B1-41B9-41E7-B26F-F1F0FD98D114}" name="Treated_ domestic" dataDxfId="56"/>
    <tableColumn id="17" xr3:uid="{BA163E88-D4F4-4E77-94ED-1AB8A5C56C10}" name="Treated_ catsize" dataDxfId="55"/>
    <tableColumn id="18" xr3:uid="{E50AFCEF-5300-46FB-B006-5D5B68FF8E02}" name="Treated_ class type" dataDxfId="54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E7F9949-A677-4E02-9B72-9890ABDA6833}" name="Table31" displayName="Table31" ref="C13:J20" totalsRowShown="0" dataDxfId="33" tableBorderDxfId="41">
  <autoFilter ref="C13:J20" xr:uid="{6E7F9949-A677-4E02-9B72-9890ABDA6833}"/>
  <tableColumns count="8">
    <tableColumn id="1" xr3:uid="{3AB3DC55-57F0-4FB0-A7BE-B42D03A778A0}" name="Actual\Predicted" dataDxfId="40"/>
    <tableColumn id="2" xr3:uid="{98B1138E-64EB-4161-B67F-2EA4DD121AE5}" name="1" dataDxfId="39"/>
    <tableColumn id="3" xr3:uid="{9A6F5DD0-D992-4D30-934D-64E55A6F1739}" name="2" dataDxfId="38"/>
    <tableColumn id="4" xr3:uid="{14510F05-60EF-4AF6-890F-26BBAE0CD1C1}" name="3" dataDxfId="37"/>
    <tableColumn id="5" xr3:uid="{F683165D-CA04-48C6-BFEC-DD72DECF6DA4}" name="4" dataDxfId="36"/>
    <tableColumn id="6" xr3:uid="{16C2CB18-D399-4827-BEEF-E38872A358CC}" name="5" dataDxfId="35"/>
    <tableColumn id="7" xr3:uid="{5FF7CCF9-9470-4F52-A7E3-64D0655B23D0}" name="6" dataDxfId="34"/>
    <tableColumn id="8" xr3:uid="{E5ACA08E-06AE-4915-BC23-539D7F4A47AD}" name="7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1D96CAD-642F-4802-BEF5-39ADF348B2DD}" name="Table32" displayName="Table32" ref="C23:F31" totalsRowShown="0" tableBorderDxfId="32">
  <autoFilter ref="C23:F31" xr:uid="{B1D96CAD-642F-4802-BEF5-39ADF348B2DD}"/>
  <tableColumns count="4">
    <tableColumn id="1" xr3:uid="{8E1812C4-383E-46DF-BC40-080D94CA6D36}" name="Class" dataDxfId="31"/>
    <tableColumn id="2" xr3:uid="{8B688D78-53CE-4546-98CD-7F014B029A51}" name="# Cases"/>
    <tableColumn id="3" xr3:uid="{D8A25EAB-782C-4B8D-8CC6-71A844C9692A}" name="# Errors"/>
    <tableColumn id="4" xr3:uid="{D597E06C-6FA8-4BEE-BCF4-DD4D2B54C586}" name="% Error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54E99C4-061C-439E-BD92-5BAB37666509}" name="Table33" displayName="Table33" ref="C34:D36" totalsRowShown="0" tableBorderDxfId="30">
  <autoFilter ref="C34:D36" xr:uid="{C54E99C4-061C-439E-BD92-5BAB37666509}"/>
  <tableColumns count="2">
    <tableColumn id="1" xr3:uid="{4705A8D6-640B-4FE2-B0BD-C9C2486CFC90}" name="Metric"/>
    <tableColumn id="2" xr3:uid="{647C7BAE-F587-4C0E-9661-3AC09823CC7A}" name="Value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1D5CB41-CCDA-4652-B58D-8FAB34BBE2E7}" name="Table28" displayName="Table28" ref="C13:I19" totalsRowShown="0" dataDxfId="45" tableBorderDxfId="52">
  <autoFilter ref="C13:I19" xr:uid="{61D5CB41-CCDA-4652-B58D-8FAB34BBE2E7}"/>
  <tableColumns count="7">
    <tableColumn id="1" xr3:uid="{485689A7-EB85-47D2-AC92-A398E46FA6AE}" name="Actual\Predicted" dataDxfId="51"/>
    <tableColumn id="2" xr3:uid="{79E5ABB5-5C8F-4E70-BC04-1A1A49565B1E}" name="1" dataDxfId="50"/>
    <tableColumn id="3" xr3:uid="{C33AEE08-A0F0-43F1-8587-518DE09C5BDC}" name="2" dataDxfId="49"/>
    <tableColumn id="4" xr3:uid="{D4E4236F-5CC0-4D33-AEEA-7E7B7CF9C257}" name="3" dataDxfId="48"/>
    <tableColumn id="5" xr3:uid="{F1DF930D-FCE0-4EDB-A3F0-689EAB7824CA}" name="4" dataDxfId="47"/>
    <tableColumn id="6" xr3:uid="{A80840A0-E312-4A4C-B906-0231E643E527}" name="6" dataDxfId="46"/>
    <tableColumn id="7" xr3:uid="{B47F6329-9CE7-4EE5-8701-EE46D9898885}" name="7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5835E9-9FE8-48A8-8536-CE6F240854A5}" name="Table29" displayName="Table29" ref="C22:F29" totalsRowShown="0" tableBorderDxfId="44">
  <autoFilter ref="C22:F29" xr:uid="{BB5835E9-9FE8-48A8-8536-CE6F240854A5}"/>
  <tableColumns count="4">
    <tableColumn id="1" xr3:uid="{B47F3A81-5FE1-468D-839B-C4D93786E905}" name="Class" dataDxfId="43"/>
    <tableColumn id="2" xr3:uid="{EA0BB041-B435-48C4-B5F1-D6AAE58B4C6B}" name="# Cases"/>
    <tableColumn id="3" xr3:uid="{411006A3-7764-41AF-BFC6-4BE6E8342308}" name="# Errors"/>
    <tableColumn id="4" xr3:uid="{35F3F1F0-9DFA-4E03-BE8B-3B65A25CA853}" name="% Error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789D178-48D2-4681-BC4E-4C1562E15DAF}" name="Table30" displayName="Table30" ref="C32:D34" totalsRowShown="0" tableBorderDxfId="42">
  <autoFilter ref="C32:D34" xr:uid="{7789D178-48D2-4681-BC4E-4C1562E15DAF}"/>
  <tableColumns count="2">
    <tableColumn id="1" xr3:uid="{F9426505-EA31-4AF0-AB43-D9095C42C784}" name="Metric"/>
    <tableColumn id="2" xr3:uid="{DCC48E3E-16B5-4107-9501-868271D73414}" name="Value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E42AE55-97F4-47E8-A942-D51C0721A961}" name="Table18" displayName="Table18" ref="C30:D32" totalsRowShown="0">
  <autoFilter ref="C30:D32" xr:uid="{6E42AE55-97F4-47E8-A942-D51C0721A961}"/>
  <tableColumns count="2">
    <tableColumn id="1" xr3:uid="{2D69E276-5D9E-49D7-AA3C-556334F632EA}" name="Partition" dataDxfId="114"/>
    <tableColumn id="2" xr3:uid="{2E077DF7-5AA7-45F5-BF19-5683842DA874}" name="# Records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3429E50-C1DE-44E2-9511-BCD51664DD24}" name="Table19" displayName="Table19" ref="C36:T129" totalsRowShown="0" dataDxfId="95">
  <autoFilter ref="C36:T129" xr:uid="{A3429E50-C1DE-44E2-9511-BCD51664DD24}"/>
  <tableColumns count="18">
    <tableColumn id="1" xr3:uid="{0F9C5169-FA89-46A0-899D-7A1168C0A048}" name="Record ID" dataDxfId="113"/>
    <tableColumn id="2" xr3:uid="{CBCA4B13-981C-4D78-9DA1-BC7CA4392D42}" name="Treated_ hair" dataDxfId="112"/>
    <tableColumn id="3" xr3:uid="{127617B7-B6D6-441F-B25D-02FA4FC31088}" name="Treated_ feathers" dataDxfId="111"/>
    <tableColumn id="4" xr3:uid="{CB6A5056-F510-471B-9825-EDA4876FAC88}" name="Treated_ eggs" dataDxfId="110"/>
    <tableColumn id="5" xr3:uid="{0C2EDCBA-0271-473C-A322-0D64EC60129B}" name="Treated_ milk" dataDxfId="109"/>
    <tableColumn id="6" xr3:uid="{C2822521-8C4F-4F13-A064-A18E8A725595}" name="Treated_ airborne" dataDxfId="108"/>
    <tableColumn id="7" xr3:uid="{8AD8B561-7D10-43F0-AC55-75F3374F7FEC}" name="Treated_ aquatic" dataDxfId="107"/>
    <tableColumn id="8" xr3:uid="{D9CFD768-B3E9-4A1F-B1F0-B701BFC2FEEB}" name="Treated_ predator" dataDxfId="106"/>
    <tableColumn id="9" xr3:uid="{6DD06FF5-7F92-4EB7-8664-A68233DF0665}" name="Treated_ toothed" dataDxfId="105"/>
    <tableColumn id="10" xr3:uid="{DEACA35D-36B6-4B0F-95AF-FC872C08E7A6}" name="Treated_ backbone" dataDxfId="104"/>
    <tableColumn id="11" xr3:uid="{2643F1B2-E7BC-450B-904D-4DE0848DF907}" name="Treated_ breathes" dataDxfId="103"/>
    <tableColumn id="12" xr3:uid="{D800B7F3-9682-4528-86DB-AF5F0704F6F4}" name="Treated_ venomous" dataDxfId="102"/>
    <tableColumn id="13" xr3:uid="{BC31DE65-0CE1-4F57-88F7-22DB1B62671A}" name="Treated_ fins" dataDxfId="101"/>
    <tableColumn id="14" xr3:uid="{2AD539DA-2EF9-4C8B-808F-D82A2DCC92B1}" name="Treated_ legs" dataDxfId="100"/>
    <tableColumn id="15" xr3:uid="{8869B72D-CCE2-4EAE-AA4F-B8ABD79C6FB2}" name="Treated_ tail" dataDxfId="99"/>
    <tableColumn id="16" xr3:uid="{6F3FB5F0-2893-4BEF-9DDC-4B330F4158E7}" name="Treated_ domestic" dataDxfId="98"/>
    <tableColumn id="17" xr3:uid="{E2232166-8CAB-4FE4-813B-8081FF686C96}" name="Treated_ catsize" dataDxfId="97"/>
    <tableColumn id="18" xr3:uid="{159D9EEB-EF24-4541-8AB9-C89F711C7F74}" name="Treated_ class type" dataDxfId="96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90C38CC-1654-403A-9131-C68E17F4FE78}" name="Table23" displayName="Table23" ref="C13:J20" totalsRowShown="0" dataDxfId="76" tableBorderDxfId="84">
  <autoFilter ref="C13:J20" xr:uid="{890C38CC-1654-403A-9131-C68E17F4FE78}"/>
  <tableColumns count="8">
    <tableColumn id="1" xr3:uid="{830DDFF5-990D-4E19-8869-3CACB646393C}" name="Actual\Predicted" dataDxfId="83"/>
    <tableColumn id="2" xr3:uid="{7AFE6BCE-2B73-486E-AAAD-2718175A81C2}" name="1" dataDxfId="82"/>
    <tableColumn id="3" xr3:uid="{316BE3E3-2E80-44C5-8DC2-18BBE7796FF9}" name="2" dataDxfId="81"/>
    <tableColumn id="4" xr3:uid="{0E887A46-5905-4C5D-A3AF-7735C89E28D2}" name="3" dataDxfId="80"/>
    <tableColumn id="5" xr3:uid="{CED0326B-0FDB-4A25-B453-ADE4FC8E1447}" name="4" dataDxfId="79"/>
    <tableColumn id="6" xr3:uid="{A81C5FF5-704F-4BCE-8794-2C78FB546837}" name="5" dataDxfId="78"/>
    <tableColumn id="7" xr3:uid="{8025B9AA-A73C-46D6-9F55-FA1D87062E1F}" name="6" dataDxfId="77"/>
    <tableColumn id="8" xr3:uid="{A07E1EA0-F33C-4521-BE55-84397227E615}" name="7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C37669E-5C16-484C-948E-6E1B2E2821A7}" name="Table24" displayName="Table24" ref="C23:F31" totalsRowShown="0" tableBorderDxfId="75">
  <autoFilter ref="C23:F31" xr:uid="{8C37669E-5C16-484C-948E-6E1B2E2821A7}"/>
  <tableColumns count="4">
    <tableColumn id="1" xr3:uid="{AFCDE624-6833-4CB3-B9AF-4E39F0652DFD}" name="Class" dataDxfId="74"/>
    <tableColumn id="2" xr3:uid="{164EE49A-C300-49B6-8D4D-3A7016868999}" name="# Cases"/>
    <tableColumn id="3" xr3:uid="{2ACBF3DD-30C9-4298-A436-C3253F7BCF83}" name="# Errors"/>
    <tableColumn id="4" xr3:uid="{0CDF1A02-0988-43AC-9A04-E09E6D8D095F}" name="% Error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3CD6585-22AA-4E9B-B531-BA8BDEC69C5C}" name="Table25" displayName="Table25" ref="C34:D36" totalsRowShown="0" tableBorderDxfId="73">
  <autoFilter ref="C34:D36" xr:uid="{C3CD6585-22AA-4E9B-B531-BA8BDEC69C5C}"/>
  <tableColumns count="2">
    <tableColumn id="1" xr3:uid="{81E6A0BF-20B4-4D86-B166-C276CCFBFBA8}" name="Metric"/>
    <tableColumn id="2" xr3:uid="{09999DA3-6FF6-4DF5-B6FE-8684DBDBBA7A}" name="Value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4019743-50E7-4875-ADE9-B0300ECF2F0C}" name="Table20" displayName="Table20" ref="C13:H18" totalsRowShown="0" dataDxfId="88" tableBorderDxfId="94">
  <autoFilter ref="C13:H18" xr:uid="{34019743-50E7-4875-ADE9-B0300ECF2F0C}"/>
  <tableColumns count="6">
    <tableColumn id="1" xr3:uid="{9F4FCB6D-2683-4689-96F4-50DB9DD6EE67}" name="Actual\Predicted" dataDxfId="93"/>
    <tableColumn id="2" xr3:uid="{2038BDE8-88E4-43CC-B920-6AA2C49AAAF0}" name="1" dataDxfId="92"/>
    <tableColumn id="3" xr3:uid="{BA5FBD9C-A7AE-43F5-98D0-D745A7D5ACAE}" name="2" dataDxfId="91"/>
    <tableColumn id="4" xr3:uid="{217AB042-07F4-4E64-9B64-2C18CF98F6D1}" name="4" dataDxfId="90"/>
    <tableColumn id="5" xr3:uid="{6B04E416-5320-40B0-BCEF-8FBFB2B27E55}" name="6" dataDxfId="89"/>
    <tableColumn id="6" xr3:uid="{CB731956-8C15-469D-8284-701E60C30950}" name="7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2BD9DB-A14C-40A8-8105-FFD3DE830F78}" name="Table21" displayName="Table21" ref="C21:F27" totalsRowShown="0" tableBorderDxfId="87">
  <autoFilter ref="C21:F27" xr:uid="{A02BD9DB-A14C-40A8-8105-FFD3DE830F78}"/>
  <tableColumns count="4">
    <tableColumn id="1" xr3:uid="{CE63E429-E221-4438-9DFD-A0FBF2694AD9}" name="Class" dataDxfId="86"/>
    <tableColumn id="2" xr3:uid="{6395B98B-1010-4F5D-8C1C-554003A80398}" name="# Cases"/>
    <tableColumn id="3" xr3:uid="{F2926AF9-B5EE-4FB1-B8C7-AD52B5774E22}" name="# Errors"/>
    <tableColumn id="4" xr3:uid="{A98BA9AC-E3DD-4264-8B82-55BBD09815C1}" name="% Error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367DAAF-2EAC-4976-A7D0-771078F7F342}" name="Table22" displayName="Table22" ref="C30:D32" totalsRowShown="0" tableBorderDxfId="85">
  <autoFilter ref="C30:D32" xr:uid="{A367DAAF-2EAC-4976-A7D0-771078F7F342}"/>
  <tableColumns count="2">
    <tableColumn id="1" xr3:uid="{A2F2B128-AA58-4770-9FC3-7F6DF8495D28}" name="Metric"/>
    <tableColumn id="2" xr3:uid="{BF897D7D-E8B7-457C-8FFB-E15461A7685F}" name="Value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29EA90-47D6-4EFE-A465-9C9CB596A7F6}" name="Table10" displayName="Table10" ref="C30:D32" totalsRowShown="0">
  <autoFilter ref="C30:D32" xr:uid="{4429EA90-47D6-4EFE-A465-9C9CB596A7F6}"/>
  <tableColumns count="2">
    <tableColumn id="1" xr3:uid="{20C05E07-BD9D-45B8-B7AE-DB25E275A252}" name="Partition" dataDxfId="157"/>
    <tableColumn id="2" xr3:uid="{7F61237D-C40D-4006-8DA2-F016026A55A8}" name="# Records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F1237D-0A10-45F1-9E4B-DEF0A6F3A8D7}" name="Table11" displayName="Table11" ref="C36:T129" totalsRowShown="0" dataDxfId="138">
  <autoFilter ref="C36:T129" xr:uid="{F4F1237D-0A10-45F1-9E4B-DEF0A6F3A8D7}"/>
  <tableColumns count="18">
    <tableColumn id="1" xr3:uid="{53EC8F7E-3123-4382-A71A-888CAB529044}" name="Record ID" dataDxfId="156"/>
    <tableColumn id="2" xr3:uid="{DDA2C90F-6746-4FFB-912A-A2D5F0EE6C23}" name="Treated_ hair" dataDxfId="155"/>
    <tableColumn id="3" xr3:uid="{97B217B4-2A4F-400A-87AC-D7E3D2DA8385}" name="Treated_ feathers" dataDxfId="154"/>
    <tableColumn id="4" xr3:uid="{1D86F929-5F6A-498C-8356-C78F06F67AD4}" name="Treated_ eggs" dataDxfId="153"/>
    <tableColumn id="5" xr3:uid="{DD256075-401E-4418-9246-1C6B92C28E19}" name="Treated_ milk" dataDxfId="152"/>
    <tableColumn id="6" xr3:uid="{6429443D-A1D7-4EFA-BA2C-2510A7738762}" name="Treated_ airborne" dataDxfId="151"/>
    <tableColumn id="7" xr3:uid="{C1953424-180C-4E72-BABD-5D2ADB1B0842}" name="Treated_ aquatic" dataDxfId="150"/>
    <tableColumn id="8" xr3:uid="{82F37D29-9CE0-42AF-BC7B-5989FD308375}" name="Treated_ predator" dataDxfId="149"/>
    <tableColumn id="9" xr3:uid="{EDF78652-4F1E-41CB-9521-A9A1A174BED4}" name="Treated_ toothed" dataDxfId="148"/>
    <tableColumn id="10" xr3:uid="{116677DF-6F30-403F-8F6D-0B0E0A940792}" name="Treated_ backbone" dataDxfId="147"/>
    <tableColumn id="11" xr3:uid="{3B68D9F6-56CC-41F1-9ABF-9BBEDB7E020C}" name="Treated_ breathes" dataDxfId="146"/>
    <tableColumn id="12" xr3:uid="{211149A3-B80C-4668-AB13-D2110ED343BE}" name="Treated_ venomous" dataDxfId="145"/>
    <tableColumn id="13" xr3:uid="{8DB10450-8CBC-4A4B-B6F7-6E8FB0494BE5}" name="Treated_ fins" dataDxfId="144"/>
    <tableColumn id="14" xr3:uid="{4B5BFF36-7E4A-4DB2-9C6C-0B050DB2AC2B}" name="Treated_ legs" dataDxfId="143"/>
    <tableColumn id="15" xr3:uid="{ADB2BA6D-FCC5-4BF7-B49A-AFE4D35B0C35}" name="Treated_ tail" dataDxfId="142"/>
    <tableColumn id="16" xr3:uid="{8A7C86DB-2F17-4FCF-9243-620445A074F8}" name="Treated_ domestic" dataDxfId="141"/>
    <tableColumn id="17" xr3:uid="{C6B3F723-7788-4A00-8A95-0150F300BFFE}" name="Treated_ catsize" dataDxfId="140"/>
    <tableColumn id="18" xr3:uid="{8A0607D7-1689-4B92-8E9B-4E16E488E2E4}" name="Treated_ class type" dataDxfId="139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DCFEBA-AB1F-44DA-99CF-58EE37EE581F}" name="Table15" displayName="Table15" ref="C13:J20" totalsRowShown="0" dataDxfId="118" tableBorderDxfId="126">
  <autoFilter ref="C13:J20" xr:uid="{7DDCFEBA-AB1F-44DA-99CF-58EE37EE581F}"/>
  <tableColumns count="8">
    <tableColumn id="1" xr3:uid="{CF90C9CE-730E-49B2-94E7-88CD3D613113}" name="Actual\Predicted" dataDxfId="125"/>
    <tableColumn id="2" xr3:uid="{FDF34015-896C-47F7-8A85-63E39736E1CD}" name="1" dataDxfId="124"/>
    <tableColumn id="3" xr3:uid="{A92A628B-89DE-4884-BBB5-EAF45314439B}" name="2" dataDxfId="123"/>
    <tableColumn id="4" xr3:uid="{B6A125DB-EF42-4450-8A4F-54D13D1BA6F5}" name="3" dataDxfId="122"/>
    <tableColumn id="5" xr3:uid="{563F0BA0-4B5A-4FA9-99CD-448479EAB8C0}" name="4" dataDxfId="121"/>
    <tableColumn id="6" xr3:uid="{049D8159-5543-491C-80AD-CA02E06E70FA}" name="5" dataDxfId="120"/>
    <tableColumn id="7" xr3:uid="{ED242208-3D7D-47C5-916C-CE01908B2534}" name="6" dataDxfId="119"/>
    <tableColumn id="8" xr3:uid="{6D91537C-BC2F-40AF-B7AA-BA3A36C3DBFF}" name="7"/>
  </tableColumns>
  <tableStyleInfo name="TableStyleMedium9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683D4BF-4FA0-469E-82CC-06764DAF87B0}" name="Table16" displayName="Table16" ref="C23:F31" totalsRowShown="0" tableBorderDxfId="117">
  <autoFilter ref="C23:F31" xr:uid="{9683D4BF-4FA0-469E-82CC-06764DAF87B0}"/>
  <tableColumns count="4">
    <tableColumn id="1" xr3:uid="{095770D6-8A1D-4C53-9951-34FB0E98660A}" name="Class" dataDxfId="116"/>
    <tableColumn id="2" xr3:uid="{8CAA4E93-E194-4C6A-BA55-9F22B01E4722}" name="# Cases"/>
    <tableColumn id="3" xr3:uid="{3C31C422-D067-4836-814A-1DEF48B50FD5}" name="# Errors"/>
    <tableColumn id="4" xr3:uid="{6B845C9F-2444-4A68-9B65-3958BF1950DE}" name="% Error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E4CF79-2429-4180-886F-E3ADE7737037}" name="Table17" displayName="Table17" ref="C34:D36" totalsRowShown="0" tableBorderDxfId="115">
  <autoFilter ref="C34:D36" xr:uid="{50E4CF79-2429-4180-886F-E3ADE7737037}"/>
  <tableColumns count="2">
    <tableColumn id="1" xr3:uid="{A282782B-1240-4315-9462-27DEFB713D6D}" name="Metric"/>
    <tableColumn id="2" xr3:uid="{5484B27C-CE40-42E5-9291-3337F00089BD}" name="Value"/>
  </tableColumns>
  <tableStyleInfo name="TableStyleMedium9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82C5B2-BDFA-4B39-B126-9ECF924EEE3F}" name="Table12" displayName="Table12" ref="C13:I19" totalsRowShown="0" dataDxfId="130" tableBorderDxfId="137">
  <autoFilter ref="C13:I19" xr:uid="{F682C5B2-BDFA-4B39-B126-9ECF924EEE3F}"/>
  <tableColumns count="7">
    <tableColumn id="1" xr3:uid="{A0C60163-796C-40CE-94E6-E91378936972}" name="Actual\Predicted" dataDxfId="136"/>
    <tableColumn id="2" xr3:uid="{36DF0DFD-71A3-458C-A21F-C3C8BE158DE3}" name="1" dataDxfId="135"/>
    <tableColumn id="3" xr3:uid="{01E3EA2E-E6E5-415D-9342-33229B6AF5E5}" name="2" dataDxfId="134"/>
    <tableColumn id="4" xr3:uid="{F32C343B-14CB-453C-ABDB-53F3DB01DD2D}" name="3" dataDxfId="133"/>
    <tableColumn id="5" xr3:uid="{ABC86FA9-CEDB-4F7D-97E8-A9FC1F15869B}" name="4" dataDxfId="132"/>
    <tableColumn id="6" xr3:uid="{A664966A-77B3-4A98-BE87-05A1E4D7BF12}" name="6" dataDxfId="131"/>
    <tableColumn id="7" xr3:uid="{966E4966-DB66-4C20-BA63-406445029B3B}" name="7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C3BAF39-1944-4837-8F8F-9CB0A82AA4ED}" name="Table13" displayName="Table13" ref="C22:F29" totalsRowShown="0" tableBorderDxfId="129">
  <autoFilter ref="C22:F29" xr:uid="{FC3BAF39-1944-4837-8F8F-9CB0A82AA4ED}"/>
  <tableColumns count="4">
    <tableColumn id="1" xr3:uid="{5FA5C4C2-277C-495E-9F75-468A922C1B95}" name="Class" dataDxfId="128"/>
    <tableColumn id="2" xr3:uid="{DDF16EF1-5456-487C-AD21-C0E411DDC809}" name="# Cases"/>
    <tableColumn id="3" xr3:uid="{4A918F50-2C5E-4A8C-A3A8-7AE36B07461C}" name="# Errors"/>
    <tableColumn id="4" xr3:uid="{5B272FAD-3B9D-4016-9E1C-B2C02F4936A7}" name="% Error"/>
  </tableColumns>
  <tableStyleInfo name="TableStyleMedium9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D00C05-34B7-44C7-8312-5E9FDE444FFA}" name="Table14" displayName="Table14" ref="C32:D34" totalsRowShown="0" tableBorderDxfId="127">
  <autoFilter ref="C32:D34" xr:uid="{B2D00C05-34B7-44C7-8312-5E9FDE444FFA}"/>
  <tableColumns count="2">
    <tableColumn id="1" xr3:uid="{F0CF4A06-5B46-4872-B10D-51A54C40AED0}" name="Metric"/>
    <tableColumn id="2" xr3:uid="{58A46A96-5DCC-473C-87D3-4C0FBEB2AAFA}" name="Value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7D82BE-B1E9-455A-AFA7-D1FD93D52A6D}" name="Table2" displayName="Table2" ref="C30:D32" totalsRowShown="0">
  <autoFilter ref="C30:D32" xr:uid="{BE7D82BE-B1E9-455A-AFA7-D1FD93D52A6D}"/>
  <tableColumns count="2">
    <tableColumn id="1" xr3:uid="{D6339469-FB74-45D9-A649-FDC1FBD4A0C1}" name="Partition" dataDxfId="200"/>
    <tableColumn id="2" xr3:uid="{EB0422D7-F246-4D3C-B45F-A1A5C8E667F3}" name="# Records"/>
  </tableColumns>
  <tableStyleInfo name="TableStyleMedium9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FC0E32-2612-4583-BF12-344E3E77A7D4}" name="Table3" displayName="Table3" ref="C36:T129" totalsRowShown="0" dataDxfId="181">
  <autoFilter ref="C36:T129" xr:uid="{B8FC0E32-2612-4583-BF12-344E3E77A7D4}"/>
  <tableColumns count="18">
    <tableColumn id="1" xr3:uid="{5C8BEC67-EAFD-484E-B859-C088B617D5E8}" name="Record ID" dataDxfId="199"/>
    <tableColumn id="2" xr3:uid="{CD4A361E-5C73-404C-BC22-2755BD1E794C}" name="Treated_ hair" dataDxfId="198"/>
    <tableColumn id="3" xr3:uid="{1B1FA33C-56DA-4707-BD33-D395CAB076D7}" name="Treated_ feathers" dataDxfId="197"/>
    <tableColumn id="4" xr3:uid="{130B3400-0A6A-45BD-9890-D07927ECAD4B}" name="Treated_ eggs" dataDxfId="196"/>
    <tableColumn id="5" xr3:uid="{450BF97D-F775-45D2-802C-6B35A7EA21A5}" name="Treated_ milk" dataDxfId="195"/>
    <tableColumn id="6" xr3:uid="{A8D59CD0-3E5D-4B54-AB85-3DB9EF41489E}" name="Treated_ airborne" dataDxfId="194"/>
    <tableColumn id="7" xr3:uid="{3F10C9E2-C71C-4E2D-B356-8A7F4E715AE9}" name="Treated_ aquatic" dataDxfId="193"/>
    <tableColumn id="8" xr3:uid="{3DADBAA9-F770-48DA-8A51-BCAAB4A095CF}" name="Treated_ predator" dataDxfId="192"/>
    <tableColumn id="9" xr3:uid="{89781B8E-C698-4D77-A724-442AE73679DD}" name="Treated_ toothed" dataDxfId="191"/>
    <tableColumn id="10" xr3:uid="{E66CCDA0-8016-411D-B104-CE2EB6C23270}" name="Treated_ backbone" dataDxfId="190"/>
    <tableColumn id="11" xr3:uid="{CCFB31EB-AD0C-4233-8E5A-C8CA0014DC02}" name="Treated_ breathes" dataDxfId="189"/>
    <tableColumn id="12" xr3:uid="{005096D5-9333-4F0F-BD9B-ED4ACF86DE0A}" name="Treated_ venomous" dataDxfId="188"/>
    <tableColumn id="13" xr3:uid="{3100FDA4-1A45-4915-BDC7-BC842537D39F}" name="Treated_ fins" dataDxfId="187"/>
    <tableColumn id="14" xr3:uid="{12C270E6-6CA9-43CA-BECA-B065A11C2D1E}" name="Treated_ legs" dataDxfId="186"/>
    <tableColumn id="15" xr3:uid="{26753C4F-D34A-4E0D-AC79-A39954F9B2FC}" name="Treated_ tail" dataDxfId="185"/>
    <tableColumn id="16" xr3:uid="{46831A9F-57A9-4C76-B806-46B691FDE82D}" name="Treated_ domestic" dataDxfId="184"/>
    <tableColumn id="17" xr3:uid="{4E4A3E86-DD1D-42FF-B626-CDE67196E61F}" name="Treated_ catsize" dataDxfId="183"/>
    <tableColumn id="18" xr3:uid="{276B23F8-1E2E-407A-BAD8-2A89DB46F4CA}" name="Treated_ class type" dataDxfId="182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5DD962-70FB-40F4-BC2E-7BEEC57C8B6E}" name="Table7" displayName="Table7" ref="C13:J20" totalsRowShown="0" dataDxfId="161" tableBorderDxfId="169">
  <autoFilter ref="C13:J20" xr:uid="{0B5DD962-70FB-40F4-BC2E-7BEEC57C8B6E}"/>
  <tableColumns count="8">
    <tableColumn id="1" xr3:uid="{16502FB7-133F-407C-9069-5BF3B541A06C}" name="Actual\Predicted" dataDxfId="168"/>
    <tableColumn id="2" xr3:uid="{C9F582D1-D185-4115-8EE1-F857E8687F27}" name="1" dataDxfId="167"/>
    <tableColumn id="3" xr3:uid="{E2880C0E-F7F8-4B20-B6E7-9ED4D300EBF2}" name="2" dataDxfId="166"/>
    <tableColumn id="4" xr3:uid="{98391ACF-1D7B-4AFD-AEE7-D693821CCDBD}" name="3" dataDxfId="165"/>
    <tableColumn id="5" xr3:uid="{354D151E-0AD8-4D2D-BC5F-F8BA8B84ADA2}" name="4" dataDxfId="164"/>
    <tableColumn id="6" xr3:uid="{4917158E-543A-4A27-80A3-508C96E94001}" name="5" dataDxfId="163"/>
    <tableColumn id="7" xr3:uid="{BFF5859A-CF9E-425C-99C8-0748EBC5A861}" name="6" dataDxfId="162"/>
    <tableColumn id="8" xr3:uid="{9E832703-E6B0-4766-801A-CE3C564797B5}" name="7"/>
  </tableColumns>
  <tableStyleInfo name="TableStyleMedium9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9FFE07-638A-4D2B-97F0-0BFC6CB9AF0B}" name="Table8" displayName="Table8" ref="C23:F31" totalsRowShown="0" tableBorderDxfId="160">
  <autoFilter ref="C23:F31" xr:uid="{F09FFE07-638A-4D2B-97F0-0BFC6CB9AF0B}"/>
  <tableColumns count="4">
    <tableColumn id="1" xr3:uid="{D68BE29F-20FD-4340-824C-EB2914C75A7D}" name="Class" dataDxfId="159"/>
    <tableColumn id="2" xr3:uid="{2C8E8C6C-F5E7-4878-B810-83E16C3D5E32}" name="# Cases"/>
    <tableColumn id="3" xr3:uid="{C7FD47A2-9FE7-431B-8BA4-37CCBE6C8133}" name="# Errors"/>
    <tableColumn id="4" xr3:uid="{08F2F996-F6DB-4A45-B43C-12934997DEE6}" name="% Error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2CC382-F3EE-43CF-A6FB-88507247EADC}" name="Table9" displayName="Table9" ref="C34:D36" totalsRowShown="0" tableBorderDxfId="158">
  <autoFilter ref="C34:D36" xr:uid="{7C2CC382-F3EE-43CF-A6FB-88507247EADC}"/>
  <tableColumns count="2">
    <tableColumn id="1" xr3:uid="{97BAEA3A-A9E2-435B-B845-0CCBF92742AA}" name="Metric"/>
    <tableColumn id="2" xr3:uid="{1228B67C-D979-44B8-9BB5-0963F73BF6E2}" name="Value"/>
  </tableColumns>
  <tableStyleInfo name="TableStyleMedium9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95863D-E183-4425-B539-3998F5E99A48}" name="Table4" displayName="Table4" ref="C13:I19" totalsRowShown="0" dataDxfId="173" tableBorderDxfId="180">
  <autoFilter ref="C13:I19" xr:uid="{3295863D-E183-4425-B539-3998F5E99A48}"/>
  <tableColumns count="7">
    <tableColumn id="1" xr3:uid="{07F454AA-74DF-4511-8BDE-A0729BEAF1C6}" name="Actual\Predicted" dataDxfId="179"/>
    <tableColumn id="2" xr3:uid="{6305283D-2AD7-478A-A9FB-538A42E18263}" name="1" dataDxfId="178"/>
    <tableColumn id="3" xr3:uid="{1F86FF5F-AD92-4708-93CA-1C0BEF55F57E}" name="2" dataDxfId="177"/>
    <tableColumn id="4" xr3:uid="{237C7F0F-C8DE-4805-AFF1-93BBF7226375}" name="3" dataDxfId="176"/>
    <tableColumn id="5" xr3:uid="{4C78A7CF-DDEB-43EE-8A0B-8E3ABC4B3CCB}" name="4" dataDxfId="175"/>
    <tableColumn id="6" xr3:uid="{F345EBDD-F02F-4083-84C8-7DB4DDE5673A}" name="6" dataDxfId="174"/>
    <tableColumn id="7" xr3:uid="{2F49E3DA-7638-4B11-9650-B93A90A3DE8D}" name="7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214708-E77F-4449-85BC-A34ECF3131C3}" name="Table5" displayName="Table5" ref="C22:F29" totalsRowShown="0" tableBorderDxfId="172">
  <autoFilter ref="C22:F29" xr:uid="{72214708-E77F-4449-85BC-A34ECF3131C3}"/>
  <tableColumns count="4">
    <tableColumn id="1" xr3:uid="{BB67B6D7-020C-42C9-B8F5-C083521B9D85}" name="Class" dataDxfId="171"/>
    <tableColumn id="2" xr3:uid="{789CE55C-7A8A-43DA-A347-7113991B58F7}" name="# Cases"/>
    <tableColumn id="3" xr3:uid="{66D19AA6-3E51-4651-A6B7-531AE6FE1011}" name="# Errors"/>
    <tableColumn id="4" xr3:uid="{7416420F-88A8-4E5D-87DA-A64DB1FE8DB3}" name="% Error"/>
  </tableColumns>
  <tableStyleInfo name="TableStyleMedium9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A4F782-4C86-45CF-B764-724D59BE4842}" name="Table6" displayName="Table6" ref="C32:D34" totalsRowShown="0" tableBorderDxfId="170">
  <autoFilter ref="C32:D34" xr:uid="{BBA4F782-4C86-45CF-B764-724D59BE4842}"/>
  <tableColumns count="2">
    <tableColumn id="1" xr3:uid="{310F21E0-E64C-45AC-98DF-7C130C5A79D0}" name="Metric"/>
    <tableColumn id="2" xr3:uid="{145936F2-0171-4E89-81C0-9BD06ACDA7CE}" name="Value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9C9796F-0EFF-4937-8DE7-8E0C505AD547}" name="Table34" displayName="Table34" ref="C33:U41" totalsRowShown="0" headerRowDxfId="9" dataDxfId="10">
  <autoFilter ref="C33:U41" xr:uid="{39C9796F-0EFF-4937-8DE7-8E0C505AD547}"/>
  <tableColumns count="19">
    <tableColumn id="1" xr3:uid="{B7366C46-BEDF-4CA0-A802-5A0BE25EBEA5}" name="Record ID" dataDxfId="29"/>
    <tableColumn id="2" xr3:uid="{45F296AC-77B8-4E12-BD45-AAE828C583F8}" name="animal name" dataDxfId="28"/>
    <tableColumn id="3" xr3:uid="{E6B47044-2CDC-4314-A10B-9AB79FEB4B84}" name="Treated_ hair" dataDxfId="27"/>
    <tableColumn id="4" xr3:uid="{1813D791-DC96-4A8C-8B3A-97757D199FC9}" name="Treated_ feathers" dataDxfId="26"/>
    <tableColumn id="5" xr3:uid="{BEDB5BDF-F9FC-4AB8-B448-2B9EE4E68B83}" name="Treated_ eggs" dataDxfId="25"/>
    <tableColumn id="6" xr3:uid="{6CEA7136-4916-4379-B55D-D19196800305}" name="Treated_ milk" dataDxfId="24"/>
    <tableColumn id="7" xr3:uid="{1E634F52-2889-4E3D-925B-3AFA9063A7D3}" name="Treated_ airborne" dataDxfId="23"/>
    <tableColumn id="8" xr3:uid="{F85AB9D1-9748-4C00-A0AA-9349D79B2FA1}" name="Treated_ aquatic" dataDxfId="22"/>
    <tableColumn id="9" xr3:uid="{823B1C8A-B4A3-4FD8-9D18-B527F124F36A}" name="Treated_ predator" dataDxfId="21"/>
    <tableColumn id="10" xr3:uid="{296AAB4E-3742-470C-8D4F-8585E3130E02}" name="Treated_ toothed" dataDxfId="20"/>
    <tableColumn id="11" xr3:uid="{247D8BB5-02E4-4E9B-B04B-FEC4313B5034}" name="Treated_ backbone" dataDxfId="19"/>
    <tableColumn id="12" xr3:uid="{1F0D2960-1A38-4C42-BA8F-F3ECBA2499BE}" name="Treated_ breathes" dataDxfId="18"/>
    <tableColumn id="13" xr3:uid="{A6AE6546-C01D-463A-9913-95B3B65D7879}" name="Treated_ venomous" dataDxfId="17"/>
    <tableColumn id="14" xr3:uid="{A7F1D404-511A-4594-BA91-A09257000677}" name="Treated_ fins" dataDxfId="16"/>
    <tableColumn id="15" xr3:uid="{B08F53F4-84EE-4964-BE2F-3CCBDEF1E4BB}" name="Treated_ legs" dataDxfId="15"/>
    <tableColumn id="16" xr3:uid="{F4CCFFBA-A78B-4B73-86BC-C21679286DE9}" name="Treated_ tail" dataDxfId="14"/>
    <tableColumn id="17" xr3:uid="{CA68DF09-FA27-462A-AE28-EFE19865E7D8}" name="Treated_ domestic" dataDxfId="13"/>
    <tableColumn id="18" xr3:uid="{EAA373C2-8159-4A25-82E6-D8C5B6D163B1}" name="Treated_ catsize" dataDxfId="12"/>
    <tableColumn id="19" xr3:uid="{17BEC8CC-7E1E-4D5E-8AA7-AAEB14E61C10}" name="class type" dataDxfId="11"/>
  </tableColumns>
  <tableStyleInfo name="TableStyleMedium9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3085E60-D84E-45D0-B285-54304EA3AA4E}" name="Table35" displayName="Table35" ref="C25:K33" totalsRowShown="0" dataDxfId="0">
  <autoFilter ref="C25:K33" xr:uid="{43085E60-D84E-45D0-B285-54304EA3AA4E}"/>
  <tableColumns count="9">
    <tableColumn id="1" xr3:uid="{FC6FA9B9-B044-47ED-8147-3A45D3B56991}" name="Record ID" dataDxfId="8"/>
    <tableColumn id="2" xr3:uid="{1CB215C0-7E31-4B02-9AE7-A67128591E02}" name="Prediction: Treated_ class type" dataDxfId="7"/>
    <tableColumn id="3" xr3:uid="{815E7283-CDBC-4E16-AD51-71F49D26AB19}" name="PostProb: 1" dataDxfId="6"/>
    <tableColumn id="4" xr3:uid="{008DA655-8A20-4DA3-9B0E-8FF935CB18D2}" name="PostProb: 4" dataDxfId="5"/>
    <tableColumn id="5" xr3:uid="{4BBD1274-D6EF-4404-86FC-95FAAB4B7DE0}" name="PostProb: 7" dataDxfId="4"/>
    <tableColumn id="6" xr3:uid="{DFA4D7A6-7576-421A-B3D2-8EEB00FAA1B1}" name="PostProb: 2" dataDxfId="3"/>
    <tableColumn id="7" xr3:uid="{90BE41CE-9DB6-481C-8209-4977247D1736}" name="PostProb: 6" dataDxfId="2"/>
    <tableColumn id="8" xr3:uid="{2402EFA1-F356-4304-819C-B132D1507CC4}" name="PostProb: 5" dataDxfId="1"/>
    <tableColumn id="9" xr3:uid="{D9B00050-F525-4FD3-ABA0-FFA6BC30D584}" name="PostProb: 3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E3984A-C511-43D8-86A0-5119700154BC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4"/>
  <sheetViews>
    <sheetView workbookViewId="0">
      <selection activeCell="F18" sqref="F18"/>
    </sheetView>
  </sheetViews>
  <sheetFormatPr defaultColWidth="11.44140625" defaultRowHeight="13.2"/>
  <cols>
    <col min="19" max="19" width="11.6640625" customWidth="1"/>
  </cols>
  <sheetData>
    <row r="1" spans="1:20">
      <c r="A1" t="s">
        <v>120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s="4" t="s">
        <v>118</v>
      </c>
      <c r="T1" s="2" t="s">
        <v>119</v>
      </c>
    </row>
    <row r="2" spans="1:20">
      <c r="A2">
        <v>1</v>
      </c>
      <c r="B2" s="1" t="s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4</v>
      </c>
      <c r="P2">
        <v>0</v>
      </c>
      <c r="Q2">
        <v>0</v>
      </c>
      <c r="R2">
        <v>1</v>
      </c>
      <c r="S2">
        <v>1</v>
      </c>
      <c r="T2">
        <v>1</v>
      </c>
    </row>
    <row r="3" spans="1:20">
      <c r="A3">
        <v>2</v>
      </c>
      <c r="B3" s="1" t="s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4</v>
      </c>
      <c r="T3">
        <v>1</v>
      </c>
    </row>
    <row r="4" spans="1:20">
      <c r="A4">
        <v>3</v>
      </c>
      <c r="B4" s="1" t="s">
        <v>3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4</v>
      </c>
      <c r="P4">
        <v>0</v>
      </c>
      <c r="Q4">
        <v>0</v>
      </c>
      <c r="R4">
        <v>1</v>
      </c>
      <c r="S4">
        <v>1</v>
      </c>
      <c r="T4">
        <v>1</v>
      </c>
    </row>
    <row r="5" spans="1:20">
      <c r="A5">
        <v>4</v>
      </c>
      <c r="B5" s="1" t="s">
        <v>4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4</v>
      </c>
      <c r="P5">
        <v>1</v>
      </c>
      <c r="Q5">
        <v>0</v>
      </c>
      <c r="R5">
        <v>1</v>
      </c>
      <c r="S5">
        <v>1</v>
      </c>
      <c r="T5">
        <v>1</v>
      </c>
    </row>
    <row r="6" spans="1:20">
      <c r="A6">
        <v>5</v>
      </c>
      <c r="B6" s="1" t="s">
        <v>5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4</v>
      </c>
      <c r="P6">
        <v>1</v>
      </c>
      <c r="Q6">
        <v>0</v>
      </c>
      <c r="R6">
        <v>1</v>
      </c>
      <c r="S6">
        <v>1</v>
      </c>
      <c r="T6">
        <v>1</v>
      </c>
    </row>
    <row r="7" spans="1:20">
      <c r="A7">
        <v>6</v>
      </c>
      <c r="B7" s="1" t="s">
        <v>6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4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7</v>
      </c>
      <c r="B8" s="1" t="s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4</v>
      </c>
      <c r="T8">
        <v>1</v>
      </c>
    </row>
    <row r="9" spans="1:20">
      <c r="A9">
        <v>8</v>
      </c>
      <c r="B9" s="1" t="s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4</v>
      </c>
      <c r="T9">
        <v>1</v>
      </c>
    </row>
    <row r="10" spans="1:20">
      <c r="A10">
        <v>9</v>
      </c>
      <c r="B10" s="1" t="s">
        <v>9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4</v>
      </c>
      <c r="P10">
        <v>0</v>
      </c>
      <c r="Q10">
        <v>1</v>
      </c>
      <c r="R10">
        <v>0</v>
      </c>
      <c r="S10">
        <v>1</v>
      </c>
      <c r="T10">
        <v>1</v>
      </c>
    </row>
    <row r="11" spans="1:20">
      <c r="A11">
        <v>10</v>
      </c>
      <c r="B11" s="1" t="s">
        <v>10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4</v>
      </c>
      <c r="P11">
        <v>1</v>
      </c>
      <c r="Q11">
        <v>0</v>
      </c>
      <c r="R11">
        <v>1</v>
      </c>
      <c r="S11">
        <v>1</v>
      </c>
      <c r="T11">
        <v>1</v>
      </c>
    </row>
    <row r="12" spans="1:20">
      <c r="A12">
        <v>11</v>
      </c>
      <c r="B12" s="1" t="s">
        <v>11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2</v>
      </c>
      <c r="P12">
        <v>1</v>
      </c>
      <c r="Q12">
        <v>1</v>
      </c>
      <c r="R12">
        <v>0</v>
      </c>
      <c r="S12">
        <v>2</v>
      </c>
      <c r="T12">
        <v>1</v>
      </c>
    </row>
    <row r="13" spans="1:20">
      <c r="A13">
        <v>12</v>
      </c>
      <c r="B13" s="1" t="s">
        <v>13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</v>
      </c>
      <c r="T13">
        <v>1</v>
      </c>
    </row>
    <row r="14" spans="1:20">
      <c r="A14">
        <v>13</v>
      </c>
      <c r="B14" s="1" t="s">
        <v>14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0</v>
      </c>
      <c r="Q14">
        <v>0</v>
      </c>
      <c r="R14">
        <v>0</v>
      </c>
      <c r="S14">
        <v>7</v>
      </c>
      <c r="T14">
        <v>1</v>
      </c>
    </row>
    <row r="15" spans="1:20">
      <c r="A15">
        <v>14</v>
      </c>
      <c r="B15" s="1" t="s">
        <v>15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</v>
      </c>
      <c r="R15">
        <v>0</v>
      </c>
      <c r="S15">
        <v>7</v>
      </c>
      <c r="T15">
        <v>1</v>
      </c>
    </row>
    <row r="16" spans="1:20">
      <c r="A16">
        <v>15</v>
      </c>
      <c r="B16" s="1" t="s">
        <v>16</v>
      </c>
      <c r="C16">
        <v>0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1</v>
      </c>
      <c r="Q16">
        <v>0</v>
      </c>
      <c r="R16">
        <v>0</v>
      </c>
      <c r="S16">
        <v>2</v>
      </c>
      <c r="T16">
        <v>1</v>
      </c>
    </row>
    <row r="17" spans="1:20">
      <c r="A17">
        <v>16</v>
      </c>
      <c r="B17" s="1" t="s">
        <v>17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4</v>
      </c>
      <c r="P17">
        <v>1</v>
      </c>
      <c r="Q17">
        <v>0</v>
      </c>
      <c r="R17">
        <v>1</v>
      </c>
      <c r="S17">
        <v>1</v>
      </c>
      <c r="T17">
        <v>1</v>
      </c>
    </row>
    <row r="18" spans="1:20">
      <c r="A18">
        <v>17</v>
      </c>
      <c r="B18" s="1" t="s">
        <v>18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4</v>
      </c>
      <c r="T18">
        <v>1</v>
      </c>
    </row>
    <row r="19" spans="1:20">
      <c r="A19">
        <v>18</v>
      </c>
      <c r="B19" s="1" t="s">
        <v>19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</row>
    <row r="20" spans="1:20">
      <c r="A20">
        <v>19</v>
      </c>
      <c r="B20" s="1" t="s">
        <v>20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2</v>
      </c>
      <c r="P20">
        <v>1</v>
      </c>
      <c r="Q20">
        <v>1</v>
      </c>
      <c r="R20">
        <v>0</v>
      </c>
      <c r="S20">
        <v>2</v>
      </c>
      <c r="T20">
        <v>1</v>
      </c>
    </row>
    <row r="21" spans="1:20">
      <c r="A21">
        <v>20</v>
      </c>
      <c r="B21" s="1" t="s">
        <v>21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2</v>
      </c>
      <c r="P21">
        <v>1</v>
      </c>
      <c r="Q21">
        <v>0</v>
      </c>
      <c r="R21">
        <v>0</v>
      </c>
      <c r="S21">
        <v>2</v>
      </c>
      <c r="T21">
        <v>1</v>
      </c>
    </row>
    <row r="22" spans="1:20">
      <c r="A22">
        <v>21</v>
      </c>
      <c r="B22" s="1" t="s">
        <v>22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4</v>
      </c>
      <c r="P22">
        <v>1</v>
      </c>
      <c r="Q22">
        <v>0</v>
      </c>
      <c r="R22">
        <v>1</v>
      </c>
      <c r="S22">
        <v>1</v>
      </c>
      <c r="T22">
        <v>1</v>
      </c>
    </row>
    <row r="23" spans="1:20">
      <c r="A23">
        <v>22</v>
      </c>
      <c r="B23" s="1" t="s">
        <v>23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2</v>
      </c>
      <c r="P23">
        <v>1</v>
      </c>
      <c r="Q23">
        <v>0</v>
      </c>
      <c r="R23">
        <v>1</v>
      </c>
      <c r="S23">
        <v>2</v>
      </c>
      <c r="T23">
        <v>1</v>
      </c>
    </row>
    <row r="24" spans="1:20">
      <c r="A24">
        <v>23</v>
      </c>
      <c r="B24" s="1" t="s">
        <v>24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6</v>
      </c>
      <c r="P24">
        <v>0</v>
      </c>
      <c r="Q24">
        <v>0</v>
      </c>
      <c r="R24">
        <v>0</v>
      </c>
      <c r="S24">
        <v>6</v>
      </c>
      <c r="T24">
        <v>1</v>
      </c>
    </row>
    <row r="25" spans="1:20">
      <c r="A25">
        <v>24</v>
      </c>
      <c r="B25" s="1" t="s">
        <v>25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5</v>
      </c>
      <c r="T25">
        <v>1</v>
      </c>
    </row>
    <row r="26" spans="1:20">
      <c r="A26">
        <v>25</v>
      </c>
      <c r="B26" s="1" t="s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4</v>
      </c>
      <c r="P26">
        <v>0</v>
      </c>
      <c r="Q26">
        <v>0</v>
      </c>
      <c r="R26">
        <v>0</v>
      </c>
      <c r="S26">
        <v>5</v>
      </c>
      <c r="T26">
        <v>1</v>
      </c>
    </row>
    <row r="27" spans="1:20">
      <c r="A27">
        <v>26</v>
      </c>
      <c r="B27" s="1" t="s">
        <v>26</v>
      </c>
      <c r="C27">
        <v>1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0</v>
      </c>
      <c r="O27">
        <v>2</v>
      </c>
      <c r="P27">
        <v>1</v>
      </c>
      <c r="Q27">
        <v>0</v>
      </c>
      <c r="R27">
        <v>0</v>
      </c>
      <c r="S27">
        <v>1</v>
      </c>
      <c r="T27">
        <v>1</v>
      </c>
    </row>
    <row r="28" spans="1:20">
      <c r="A28">
        <v>27</v>
      </c>
      <c r="B28" s="1" t="s">
        <v>27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4</v>
      </c>
      <c r="P28">
        <v>1</v>
      </c>
      <c r="Q28">
        <v>0</v>
      </c>
      <c r="R28">
        <v>1</v>
      </c>
      <c r="S28">
        <v>1</v>
      </c>
      <c r="T28">
        <v>1</v>
      </c>
    </row>
    <row r="29" spans="1:20">
      <c r="A29">
        <v>28</v>
      </c>
      <c r="B29" s="1" t="s">
        <v>29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4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29</v>
      </c>
      <c r="B30" s="1" t="s">
        <v>30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2</v>
      </c>
      <c r="P30">
        <v>0</v>
      </c>
      <c r="Q30">
        <v>0</v>
      </c>
      <c r="R30">
        <v>1</v>
      </c>
      <c r="S30">
        <v>1</v>
      </c>
      <c r="T30">
        <v>1</v>
      </c>
    </row>
    <row r="31" spans="1:20">
      <c r="A31">
        <v>30</v>
      </c>
      <c r="B31" s="1" t="s">
        <v>31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2</v>
      </c>
      <c r="P31">
        <v>1</v>
      </c>
      <c r="Q31">
        <v>0</v>
      </c>
      <c r="R31">
        <v>0</v>
      </c>
      <c r="S31">
        <v>2</v>
      </c>
      <c r="T31">
        <v>1</v>
      </c>
    </row>
    <row r="32" spans="1:20">
      <c r="A32">
        <v>31</v>
      </c>
      <c r="B32" s="1" t="s">
        <v>32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4</v>
      </c>
      <c r="T32">
        <v>1</v>
      </c>
    </row>
    <row r="33" spans="1:20">
      <c r="A33">
        <v>32</v>
      </c>
      <c r="B33" s="1" t="s">
        <v>33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4</v>
      </c>
      <c r="P33">
        <v>1</v>
      </c>
      <c r="Q33">
        <v>1</v>
      </c>
      <c r="R33">
        <v>0</v>
      </c>
      <c r="S33">
        <v>1</v>
      </c>
      <c r="T33">
        <v>1</v>
      </c>
    </row>
    <row r="34" spans="1:20">
      <c r="A34">
        <v>33</v>
      </c>
      <c r="B34" s="1" t="s">
        <v>34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4</v>
      </c>
      <c r="P34">
        <v>1</v>
      </c>
      <c r="Q34">
        <v>0</v>
      </c>
      <c r="R34">
        <v>0</v>
      </c>
      <c r="S34">
        <v>1</v>
      </c>
      <c r="T34">
        <v>1</v>
      </c>
    </row>
    <row r="35" spans="1:20">
      <c r="A35">
        <v>34</v>
      </c>
      <c r="B35" s="1" t="s">
        <v>35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2</v>
      </c>
      <c r="P35">
        <v>1</v>
      </c>
      <c r="Q35">
        <v>0</v>
      </c>
      <c r="R35">
        <v>0</v>
      </c>
      <c r="S35">
        <v>2</v>
      </c>
      <c r="T35">
        <v>1</v>
      </c>
    </row>
    <row r="36" spans="1:20">
      <c r="A36">
        <v>35</v>
      </c>
      <c r="B36" s="1" t="s">
        <v>36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4</v>
      </c>
      <c r="T36">
        <v>1</v>
      </c>
    </row>
    <row r="37" spans="1:20">
      <c r="A37">
        <v>36</v>
      </c>
      <c r="B37" s="1" t="s">
        <v>37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6</v>
      </c>
      <c r="P37">
        <v>0</v>
      </c>
      <c r="Q37">
        <v>1</v>
      </c>
      <c r="R37">
        <v>0</v>
      </c>
      <c r="S37">
        <v>6</v>
      </c>
      <c r="T37">
        <v>1</v>
      </c>
    </row>
    <row r="38" spans="1:20">
      <c r="A38">
        <v>37</v>
      </c>
      <c r="B38" s="1" t="s">
        <v>38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6</v>
      </c>
      <c r="P38">
        <v>0</v>
      </c>
      <c r="Q38">
        <v>0</v>
      </c>
      <c r="R38">
        <v>0</v>
      </c>
      <c r="S38">
        <v>6</v>
      </c>
      <c r="T38">
        <v>1</v>
      </c>
    </row>
    <row r="39" spans="1:20">
      <c r="A39">
        <v>38</v>
      </c>
      <c r="B39" s="1" t="s">
        <v>40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6</v>
      </c>
      <c r="P39">
        <v>0</v>
      </c>
      <c r="Q39">
        <v>0</v>
      </c>
      <c r="R39">
        <v>0</v>
      </c>
      <c r="S39">
        <v>6</v>
      </c>
      <c r="T39">
        <v>1</v>
      </c>
    </row>
    <row r="40" spans="1:20">
      <c r="A40">
        <v>39</v>
      </c>
      <c r="B40" s="1" t="s">
        <v>41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2</v>
      </c>
      <c r="P40">
        <v>1</v>
      </c>
      <c r="Q40">
        <v>0</v>
      </c>
      <c r="R40">
        <v>0</v>
      </c>
      <c r="S40">
        <v>2</v>
      </c>
      <c r="T40">
        <v>1</v>
      </c>
    </row>
    <row r="41" spans="1:20">
      <c r="A41">
        <v>40</v>
      </c>
      <c r="B41" s="1" t="s">
        <v>43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4</v>
      </c>
      <c r="P41">
        <v>1</v>
      </c>
      <c r="Q41">
        <v>0</v>
      </c>
      <c r="R41">
        <v>1</v>
      </c>
      <c r="S41">
        <v>1</v>
      </c>
      <c r="T41">
        <v>1</v>
      </c>
    </row>
    <row r="42" spans="1:20">
      <c r="A42">
        <v>41</v>
      </c>
      <c r="B42" s="1" t="s">
        <v>44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6</v>
      </c>
      <c r="P42">
        <v>0</v>
      </c>
      <c r="Q42">
        <v>0</v>
      </c>
      <c r="R42">
        <v>0</v>
      </c>
      <c r="S42">
        <v>7</v>
      </c>
      <c r="T42">
        <v>1</v>
      </c>
    </row>
    <row r="43" spans="1:20">
      <c r="A43">
        <v>42</v>
      </c>
      <c r="B43" s="1" t="s">
        <v>45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4</v>
      </c>
      <c r="P43">
        <v>1</v>
      </c>
      <c r="Q43">
        <v>0</v>
      </c>
      <c r="R43">
        <v>1</v>
      </c>
      <c r="S43">
        <v>1</v>
      </c>
      <c r="T43">
        <v>1</v>
      </c>
    </row>
    <row r="44" spans="1:20">
      <c r="A44">
        <v>43</v>
      </c>
      <c r="B44" s="1" t="s">
        <v>46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4</v>
      </c>
      <c r="P44">
        <v>1</v>
      </c>
      <c r="Q44">
        <v>0</v>
      </c>
      <c r="R44">
        <v>1</v>
      </c>
      <c r="S44">
        <v>1</v>
      </c>
      <c r="T44">
        <v>1</v>
      </c>
    </row>
    <row r="45" spans="1:20">
      <c r="A45">
        <v>44</v>
      </c>
      <c r="B45" s="1" t="s">
        <v>47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4</v>
      </c>
      <c r="P45">
        <v>1</v>
      </c>
      <c r="Q45">
        <v>0</v>
      </c>
      <c r="R45">
        <v>0</v>
      </c>
      <c r="S45">
        <v>1</v>
      </c>
      <c r="T45">
        <v>1</v>
      </c>
    </row>
    <row r="46" spans="1:20">
      <c r="A46">
        <v>45</v>
      </c>
      <c r="B46" s="1" t="s">
        <v>48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4</v>
      </c>
      <c r="P46">
        <v>1</v>
      </c>
      <c r="Q46">
        <v>0</v>
      </c>
      <c r="R46">
        <v>1</v>
      </c>
      <c r="S46">
        <v>1</v>
      </c>
      <c r="T46">
        <v>1</v>
      </c>
    </row>
    <row r="47" spans="1:20">
      <c r="A47">
        <v>46</v>
      </c>
      <c r="B47" s="1" t="s">
        <v>49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6</v>
      </c>
      <c r="P47">
        <v>0</v>
      </c>
      <c r="Q47">
        <v>0</v>
      </c>
      <c r="R47">
        <v>0</v>
      </c>
      <c r="S47">
        <v>6</v>
      </c>
      <c r="T47">
        <v>1</v>
      </c>
    </row>
    <row r="48" spans="1:20">
      <c r="A48">
        <v>47</v>
      </c>
      <c r="B48" s="1" t="s">
        <v>50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4</v>
      </c>
      <c r="P48">
        <v>1</v>
      </c>
      <c r="Q48">
        <v>0</v>
      </c>
      <c r="R48">
        <v>0</v>
      </c>
      <c r="S48">
        <v>5</v>
      </c>
      <c r="T48">
        <v>1</v>
      </c>
    </row>
    <row r="49" spans="1:20">
      <c r="A49">
        <v>48</v>
      </c>
      <c r="B49" s="1" t="s">
        <v>52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4</v>
      </c>
      <c r="P49">
        <v>1</v>
      </c>
      <c r="Q49">
        <v>0</v>
      </c>
      <c r="R49">
        <v>0</v>
      </c>
      <c r="S49">
        <v>1</v>
      </c>
      <c r="T49">
        <v>1</v>
      </c>
    </row>
    <row r="50" spans="1:20">
      <c r="A50">
        <v>49</v>
      </c>
      <c r="B50" s="1" t="s">
        <v>53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0</v>
      </c>
      <c r="O50">
        <v>4</v>
      </c>
      <c r="P50">
        <v>1</v>
      </c>
      <c r="Q50">
        <v>0</v>
      </c>
      <c r="R50">
        <v>1</v>
      </c>
      <c r="S50">
        <v>1</v>
      </c>
      <c r="T50">
        <v>1</v>
      </c>
    </row>
    <row r="51" spans="1:20">
      <c r="A51">
        <v>50</v>
      </c>
      <c r="B51" s="1" t="s">
        <v>54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2</v>
      </c>
      <c r="P51">
        <v>1</v>
      </c>
      <c r="Q51">
        <v>0</v>
      </c>
      <c r="R51">
        <v>1</v>
      </c>
      <c r="S51">
        <v>2</v>
      </c>
      <c r="T51">
        <v>1</v>
      </c>
    </row>
    <row r="52" spans="1:20">
      <c r="A52">
        <v>51</v>
      </c>
      <c r="B52" s="1" t="s">
        <v>55</v>
      </c>
      <c r="C52">
        <v>0</v>
      </c>
      <c r="D52">
        <v>1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2</v>
      </c>
      <c r="P52">
        <v>1</v>
      </c>
      <c r="Q52">
        <v>1</v>
      </c>
      <c r="R52">
        <v>0</v>
      </c>
      <c r="S52">
        <v>2</v>
      </c>
      <c r="T52">
        <v>1</v>
      </c>
    </row>
    <row r="53" spans="1:20">
      <c r="A53">
        <v>52</v>
      </c>
      <c r="B53" s="1" t="s">
        <v>57</v>
      </c>
      <c r="C53">
        <v>0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2</v>
      </c>
      <c r="P53">
        <v>1</v>
      </c>
      <c r="Q53">
        <v>0</v>
      </c>
      <c r="R53">
        <v>0</v>
      </c>
      <c r="S53">
        <v>2</v>
      </c>
      <c r="T53">
        <v>1</v>
      </c>
    </row>
    <row r="54" spans="1:20">
      <c r="A54">
        <v>53</v>
      </c>
      <c r="B54" s="1" t="s">
        <v>58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4</v>
      </c>
      <c r="T54">
        <v>1</v>
      </c>
    </row>
    <row r="55" spans="1:20">
      <c r="A55">
        <v>54</v>
      </c>
      <c r="B55" s="1" t="s">
        <v>59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4</v>
      </c>
      <c r="T55">
        <v>1</v>
      </c>
    </row>
    <row r="56" spans="1:20">
      <c r="A56">
        <v>55</v>
      </c>
      <c r="B56" s="1" t="s">
        <v>60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3</v>
      </c>
      <c r="T56">
        <v>1</v>
      </c>
    </row>
    <row r="57" spans="1:20">
      <c r="A57">
        <v>56</v>
      </c>
      <c r="B57" s="1" t="s">
        <v>61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  <c r="N57">
        <v>0</v>
      </c>
      <c r="O57">
        <v>4</v>
      </c>
      <c r="P57">
        <v>1</v>
      </c>
      <c r="Q57">
        <v>0</v>
      </c>
      <c r="R57">
        <v>1</v>
      </c>
      <c r="S57">
        <v>1</v>
      </c>
      <c r="T57">
        <v>1</v>
      </c>
    </row>
    <row r="58" spans="1:20">
      <c r="A58">
        <v>57</v>
      </c>
      <c r="B58" s="1" t="s">
        <v>62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4</v>
      </c>
      <c r="P58">
        <v>1</v>
      </c>
      <c r="Q58">
        <v>0</v>
      </c>
      <c r="R58">
        <v>1</v>
      </c>
      <c r="S58">
        <v>1</v>
      </c>
      <c r="T58">
        <v>1</v>
      </c>
    </row>
    <row r="59" spans="1:20">
      <c r="A59">
        <v>58</v>
      </c>
      <c r="B59" s="1" t="s">
        <v>63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4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>
      <c r="A60">
        <v>59</v>
      </c>
      <c r="B60" s="1" t="s">
        <v>64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</row>
    <row r="61" spans="1:20">
      <c r="A61">
        <v>60</v>
      </c>
      <c r="B61" s="1" t="s">
        <v>65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0</v>
      </c>
      <c r="N61">
        <v>0</v>
      </c>
      <c r="O61">
        <v>4</v>
      </c>
      <c r="P61">
        <v>1</v>
      </c>
      <c r="Q61">
        <v>0</v>
      </c>
      <c r="R61">
        <v>1</v>
      </c>
      <c r="S61">
        <v>1</v>
      </c>
      <c r="T61">
        <v>1</v>
      </c>
    </row>
    <row r="62" spans="1:20">
      <c r="A62">
        <v>61</v>
      </c>
      <c r="B62" s="1" t="s">
        <v>115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0</v>
      </c>
      <c r="N62">
        <v>0</v>
      </c>
      <c r="O62">
        <v>4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>
        <v>62</v>
      </c>
      <c r="B63" s="1" t="s">
        <v>66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4</v>
      </c>
      <c r="P63">
        <v>1</v>
      </c>
      <c r="Q63">
        <v>0</v>
      </c>
      <c r="R63">
        <v>1</v>
      </c>
      <c r="S63">
        <v>1</v>
      </c>
      <c r="T63">
        <v>1</v>
      </c>
    </row>
    <row r="64" spans="1:20">
      <c r="A64">
        <v>63</v>
      </c>
      <c r="B64" s="1" t="s">
        <v>67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4</v>
      </c>
      <c r="P64">
        <v>1</v>
      </c>
      <c r="Q64">
        <v>1</v>
      </c>
      <c r="R64">
        <v>1</v>
      </c>
      <c r="S64">
        <v>1</v>
      </c>
      <c r="T64">
        <v>1</v>
      </c>
    </row>
    <row r="65" spans="1:20">
      <c r="A65">
        <v>64</v>
      </c>
      <c r="B65" s="1" t="s">
        <v>68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0</v>
      </c>
      <c r="O65">
        <v>2</v>
      </c>
      <c r="P65">
        <v>1</v>
      </c>
      <c r="Q65">
        <v>0</v>
      </c>
      <c r="R65">
        <v>1</v>
      </c>
      <c r="S65">
        <v>2</v>
      </c>
      <c r="T65">
        <v>1</v>
      </c>
    </row>
    <row r="66" spans="1:20">
      <c r="A66">
        <v>65</v>
      </c>
      <c r="B66" s="1" t="s">
        <v>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8</v>
      </c>
      <c r="P66">
        <v>1</v>
      </c>
      <c r="Q66">
        <v>0</v>
      </c>
      <c r="R66">
        <v>0</v>
      </c>
      <c r="S66">
        <v>7</v>
      </c>
      <c r="T66">
        <v>1</v>
      </c>
    </row>
    <row r="67" spans="1:20">
      <c r="A67">
        <v>66</v>
      </c>
      <c r="B67" s="1" t="s">
        <v>70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0</v>
      </c>
      <c r="S67">
        <v>4</v>
      </c>
      <c r="T67">
        <v>1</v>
      </c>
    </row>
    <row r="68" spans="1:20">
      <c r="A68">
        <v>67</v>
      </c>
      <c r="B68" s="1" t="s">
        <v>71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</row>
    <row r="69" spans="1:20">
      <c r="A69">
        <v>68</v>
      </c>
      <c r="B69" s="1" t="s">
        <v>72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2</v>
      </c>
      <c r="P69">
        <v>1</v>
      </c>
      <c r="Q69">
        <v>0</v>
      </c>
      <c r="R69">
        <v>1</v>
      </c>
      <c r="S69">
        <v>1</v>
      </c>
      <c r="T69">
        <v>1</v>
      </c>
    </row>
    <row r="70" spans="1:20">
      <c r="A70">
        <v>69</v>
      </c>
      <c r="B70" s="1" t="s">
        <v>73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3</v>
      </c>
      <c r="T70">
        <v>1</v>
      </c>
    </row>
    <row r="71" spans="1:20">
      <c r="A71">
        <v>70</v>
      </c>
      <c r="B71" s="1" t="s">
        <v>74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7</v>
      </c>
      <c r="T71">
        <v>1</v>
      </c>
    </row>
    <row r="72" spans="1:20">
      <c r="A72">
        <v>71</v>
      </c>
      <c r="B72" s="1" t="s">
        <v>75</v>
      </c>
      <c r="C72">
        <v>0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2</v>
      </c>
      <c r="P72">
        <v>1</v>
      </c>
      <c r="Q72">
        <v>0</v>
      </c>
      <c r="R72">
        <v>0</v>
      </c>
      <c r="S72">
        <v>2</v>
      </c>
      <c r="T72">
        <v>1</v>
      </c>
    </row>
    <row r="73" spans="1:20">
      <c r="A73">
        <v>72</v>
      </c>
      <c r="B73" s="1" t="s">
        <v>76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2</v>
      </c>
      <c r="P73">
        <v>1</v>
      </c>
      <c r="Q73">
        <v>0</v>
      </c>
      <c r="R73">
        <v>0</v>
      </c>
      <c r="S73">
        <v>2</v>
      </c>
      <c r="T73">
        <v>1</v>
      </c>
    </row>
    <row r="74" spans="1:20">
      <c r="A74">
        <v>73</v>
      </c>
      <c r="B74" s="1" t="s">
        <v>77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3</v>
      </c>
      <c r="T74">
        <v>1</v>
      </c>
    </row>
    <row r="75" spans="1:20">
      <c r="A75">
        <v>74</v>
      </c>
      <c r="B75" s="1" t="s">
        <v>78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</v>
      </c>
      <c r="T75">
        <v>1</v>
      </c>
    </row>
    <row r="76" spans="1:20">
      <c r="A76">
        <v>75</v>
      </c>
      <c r="B76" s="1" t="s">
        <v>79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4</v>
      </c>
      <c r="T76">
        <v>1</v>
      </c>
    </row>
    <row r="77" spans="1:20">
      <c r="A77">
        <v>76</v>
      </c>
      <c r="B77" s="1" t="s">
        <v>80</v>
      </c>
      <c r="C77">
        <v>0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2</v>
      </c>
      <c r="P77">
        <v>1</v>
      </c>
      <c r="Q77">
        <v>0</v>
      </c>
      <c r="R77">
        <v>0</v>
      </c>
      <c r="S77">
        <v>2</v>
      </c>
      <c r="T77">
        <v>1</v>
      </c>
    </row>
    <row r="78" spans="1:20">
      <c r="A78">
        <v>77</v>
      </c>
      <c r="B78" s="1" t="s">
        <v>81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  <c r="O78">
        <v>2</v>
      </c>
      <c r="P78">
        <v>1</v>
      </c>
      <c r="Q78">
        <v>0</v>
      </c>
      <c r="R78">
        <v>0</v>
      </c>
      <c r="S78">
        <v>1</v>
      </c>
      <c r="T78">
        <v>1</v>
      </c>
    </row>
    <row r="79" spans="1:20">
      <c r="A79">
        <v>78</v>
      </c>
      <c r="B79" s="1" t="s">
        <v>83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1</v>
      </c>
      <c r="Q79">
        <v>0</v>
      </c>
      <c r="R79">
        <v>1</v>
      </c>
      <c r="S79">
        <v>4</v>
      </c>
      <c r="T79">
        <v>1</v>
      </c>
    </row>
    <row r="80" spans="1:20">
      <c r="A80">
        <v>79</v>
      </c>
      <c r="B80" s="1" t="s">
        <v>84</v>
      </c>
      <c r="C80">
        <v>0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2</v>
      </c>
      <c r="P80">
        <v>1</v>
      </c>
      <c r="Q80">
        <v>0</v>
      </c>
      <c r="R80">
        <v>1</v>
      </c>
      <c r="S80">
        <v>2</v>
      </c>
      <c r="T80">
        <v>1</v>
      </c>
    </row>
    <row r="81" spans="1:20">
      <c r="A81">
        <v>80</v>
      </c>
      <c r="B81" s="1" t="s">
        <v>85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6</v>
      </c>
      <c r="P81">
        <v>0</v>
      </c>
      <c r="Q81">
        <v>0</v>
      </c>
      <c r="R81">
        <v>0</v>
      </c>
      <c r="S81">
        <v>6</v>
      </c>
      <c r="T81">
        <v>1</v>
      </c>
    </row>
    <row r="82" spans="1:20">
      <c r="A82">
        <v>81</v>
      </c>
      <c r="B82" s="1" t="s">
        <v>86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4</v>
      </c>
      <c r="P82">
        <v>0</v>
      </c>
      <c r="Q82">
        <v>0</v>
      </c>
      <c r="R82">
        <v>0</v>
      </c>
      <c r="S82">
        <v>5</v>
      </c>
      <c r="T82">
        <v>1</v>
      </c>
    </row>
    <row r="83" spans="1:20">
      <c r="A83">
        <v>82</v>
      </c>
      <c r="B83" s="1" t="s">
        <v>87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4</v>
      </c>
      <c r="P83">
        <v>1</v>
      </c>
      <c r="Q83">
        <v>0</v>
      </c>
      <c r="R83">
        <v>1</v>
      </c>
      <c r="S83">
        <v>3</v>
      </c>
      <c r="T83">
        <v>1</v>
      </c>
    </row>
    <row r="84" spans="1:20">
      <c r="A84">
        <v>83</v>
      </c>
      <c r="B84" s="1" t="s">
        <v>88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4</v>
      </c>
      <c r="P84">
        <v>1</v>
      </c>
      <c r="Q84">
        <v>0</v>
      </c>
      <c r="R84">
        <v>0</v>
      </c>
      <c r="S84">
        <v>3</v>
      </c>
      <c r="T84">
        <v>1</v>
      </c>
    </row>
    <row r="85" spans="1:20">
      <c r="A85">
        <v>84</v>
      </c>
      <c r="B85" s="1" t="s">
        <v>89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4</v>
      </c>
      <c r="T85">
        <v>1</v>
      </c>
    </row>
    <row r="86" spans="1:20">
      <c r="A86">
        <v>85</v>
      </c>
      <c r="B86" s="1" t="s">
        <v>90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0</v>
      </c>
      <c r="O86">
        <v>2</v>
      </c>
      <c r="P86">
        <v>1</v>
      </c>
      <c r="Q86">
        <v>0</v>
      </c>
      <c r="R86">
        <v>0</v>
      </c>
      <c r="S86">
        <v>1</v>
      </c>
      <c r="T86">
        <v>1</v>
      </c>
    </row>
    <row r="87" spans="1:20">
      <c r="A87">
        <v>86</v>
      </c>
      <c r="B87" s="1" t="s">
        <v>91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0</v>
      </c>
      <c r="N87">
        <v>0</v>
      </c>
      <c r="O87">
        <v>4</v>
      </c>
      <c r="P87">
        <v>1</v>
      </c>
      <c r="Q87">
        <v>0</v>
      </c>
      <c r="R87">
        <v>0</v>
      </c>
      <c r="S87">
        <v>1</v>
      </c>
      <c r="T87">
        <v>1</v>
      </c>
    </row>
    <row r="88" spans="1:20">
      <c r="A88">
        <v>87</v>
      </c>
      <c r="B88" s="1" t="s">
        <v>92</v>
      </c>
      <c r="C88">
        <v>0</v>
      </c>
      <c r="D88">
        <v>1</v>
      </c>
      <c r="E88">
        <v>1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1</v>
      </c>
      <c r="M88">
        <v>0</v>
      </c>
      <c r="N88">
        <v>0</v>
      </c>
      <c r="O88">
        <v>2</v>
      </c>
      <c r="P88">
        <v>1</v>
      </c>
      <c r="Q88">
        <v>0</v>
      </c>
      <c r="R88">
        <v>1</v>
      </c>
      <c r="S88">
        <v>2</v>
      </c>
      <c r="T88">
        <v>1</v>
      </c>
    </row>
    <row r="89" spans="1:20">
      <c r="A89">
        <v>88</v>
      </c>
      <c r="B89" s="1" t="s">
        <v>93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2</v>
      </c>
      <c r="P89">
        <v>1</v>
      </c>
      <c r="Q89">
        <v>0</v>
      </c>
      <c r="R89">
        <v>1</v>
      </c>
      <c r="S89">
        <v>1</v>
      </c>
      <c r="T89">
        <v>1</v>
      </c>
    </row>
    <row r="90" spans="1:20">
      <c r="A90">
        <v>89</v>
      </c>
      <c r="B90" s="1" t="s">
        <v>94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6</v>
      </c>
      <c r="P90">
        <v>0</v>
      </c>
      <c r="Q90">
        <v>0</v>
      </c>
      <c r="R90">
        <v>0</v>
      </c>
      <c r="S90">
        <v>6</v>
      </c>
      <c r="T90">
        <v>1</v>
      </c>
    </row>
    <row r="91" spans="1:20">
      <c r="A91">
        <v>90</v>
      </c>
      <c r="B91" s="1" t="s">
        <v>95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0</v>
      </c>
      <c r="N91">
        <v>0</v>
      </c>
      <c r="O91">
        <v>4</v>
      </c>
      <c r="P91">
        <v>1</v>
      </c>
      <c r="Q91">
        <v>0</v>
      </c>
      <c r="R91">
        <v>1</v>
      </c>
      <c r="S91">
        <v>1</v>
      </c>
      <c r="T91">
        <v>1</v>
      </c>
    </row>
    <row r="92" spans="1:20">
      <c r="A92">
        <v>91</v>
      </c>
      <c r="B92" s="1" t="s">
        <v>96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</v>
      </c>
      <c r="T92">
        <v>1</v>
      </c>
    </row>
    <row r="93" spans="1:20">
      <c r="A93">
        <v>92</v>
      </c>
      <c r="B93" s="1" t="s">
        <v>97</v>
      </c>
      <c r="C93">
        <v>0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2</v>
      </c>
      <c r="P93">
        <v>1</v>
      </c>
      <c r="Q93">
        <v>0</v>
      </c>
      <c r="R93">
        <v>0</v>
      </c>
      <c r="S93">
        <v>2</v>
      </c>
      <c r="T93">
        <v>1</v>
      </c>
    </row>
    <row r="94" spans="1:20">
      <c r="A94">
        <v>93</v>
      </c>
      <c r="B94" s="1" t="s">
        <v>51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8</v>
      </c>
      <c r="P94">
        <v>0</v>
      </c>
      <c r="Q94">
        <v>0</v>
      </c>
      <c r="R94">
        <v>1</v>
      </c>
      <c r="S94">
        <v>7</v>
      </c>
      <c r="T94">
        <v>1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A896-6D84-4536-8F8E-017F847E7446}">
  <dimension ref="B1:CV126"/>
  <sheetViews>
    <sheetView showGridLines="0" topLeftCell="A34" workbookViewId="0">
      <selection activeCell="H49" sqref="H49"/>
    </sheetView>
  </sheetViews>
  <sheetFormatPr defaultRowHeight="13.2"/>
  <cols>
    <col min="3" max="3" width="11.5546875" customWidth="1"/>
    <col min="5" max="5" width="13.6640625" customWidth="1"/>
    <col min="6" max="6" width="14.44140625" customWidth="1"/>
    <col min="7" max="7" width="18.21875" customWidth="1"/>
    <col min="8" max="8" width="15.33203125" customWidth="1"/>
    <col min="9" max="9" width="14.5546875" customWidth="1"/>
    <col min="10" max="10" width="29.109375" bestFit="1" customWidth="1"/>
    <col min="11" max="11" width="17.44140625" customWidth="1"/>
    <col min="12" max="12" width="18.6640625" customWidth="1"/>
    <col min="13" max="13" width="17.88671875" customWidth="1"/>
    <col min="14" max="14" width="19.5546875" customWidth="1"/>
    <col min="15" max="15" width="18.77734375" customWidth="1"/>
    <col min="16" max="16" width="20.109375" customWidth="1"/>
    <col min="17" max="17" width="14.21875" customWidth="1"/>
    <col min="18" max="18" width="14.6640625" customWidth="1"/>
    <col min="19" max="19" width="13.6640625" customWidth="1"/>
    <col min="20" max="20" width="19" customWidth="1"/>
    <col min="21" max="21" width="17.21875" customWidth="1"/>
    <col min="22" max="22" width="19.88671875" customWidth="1"/>
    <col min="23" max="23" width="15.77734375" customWidth="1"/>
  </cols>
  <sheetData>
    <row r="1" spans="2:100" ht="18">
      <c r="B1" s="5" t="s">
        <v>121</v>
      </c>
      <c r="N1" t="s">
        <v>150</v>
      </c>
      <c r="CV1" s="25" t="s">
        <v>151</v>
      </c>
    </row>
    <row r="3" spans="2:100" ht="15.6">
      <c r="B3" s="28" t="s">
        <v>122</v>
      </c>
      <c r="C3" s="29"/>
      <c r="D3" s="29"/>
      <c r="E3" s="30"/>
      <c r="J3" s="28" t="s">
        <v>145</v>
      </c>
      <c r="K3" s="29"/>
      <c r="L3" s="29"/>
      <c r="M3" s="30"/>
    </row>
    <row r="4" spans="2:100" ht="13.8">
      <c r="B4" s="19" t="s">
        <v>123</v>
      </c>
      <c r="C4" s="19"/>
      <c r="D4" s="19" t="s">
        <v>124</v>
      </c>
      <c r="E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00" ht="13.8">
      <c r="J5" s="15">
        <v>11</v>
      </c>
      <c r="K5" s="15">
        <v>6</v>
      </c>
      <c r="L5" s="15">
        <v>0</v>
      </c>
      <c r="M5" s="15">
        <v>17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</row>
    <row r="13" spans="2:100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00" ht="13.8">
      <c r="C14" s="22" t="s">
        <v>127</v>
      </c>
      <c r="D14" s="22"/>
      <c r="E14" s="23"/>
      <c r="F14" s="11" t="s">
        <v>141</v>
      </c>
      <c r="G14" s="11"/>
      <c r="H14" s="11"/>
      <c r="I14" s="11"/>
    </row>
    <row r="15" spans="2:100" ht="13.8">
      <c r="C15" s="22" t="s">
        <v>128</v>
      </c>
      <c r="D15" s="22"/>
      <c r="E15" s="23"/>
      <c r="F15" s="11" t="s">
        <v>142</v>
      </c>
      <c r="G15" s="11"/>
      <c r="H15" s="11"/>
      <c r="I15" s="11"/>
    </row>
    <row r="16" spans="2:100" ht="13.8">
      <c r="C16" s="22" t="s">
        <v>129</v>
      </c>
      <c r="D16" s="22"/>
      <c r="E16" s="23"/>
      <c r="F16" s="12">
        <v>93</v>
      </c>
      <c r="G16" s="12"/>
      <c r="H16" s="12"/>
      <c r="I16" s="12"/>
    </row>
    <row r="18" spans="2:25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2:25" ht="13.8">
      <c r="C19" s="22" t="s">
        <v>131</v>
      </c>
      <c r="D19" s="22"/>
      <c r="E19" s="23"/>
      <c r="F19" s="12">
        <v>20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2:25" ht="13.8">
      <c r="C20" s="22" t="s">
        <v>132</v>
      </c>
      <c r="D20" s="22"/>
      <c r="E20" s="23"/>
      <c r="F20" s="15" t="s">
        <v>120</v>
      </c>
      <c r="G20" s="15" t="s">
        <v>98</v>
      </c>
      <c r="H20" s="15" t="s">
        <v>99</v>
      </c>
      <c r="I20" s="15" t="s">
        <v>100</v>
      </c>
      <c r="J20" s="15" t="s">
        <v>101</v>
      </c>
      <c r="K20" s="15" t="s">
        <v>102</v>
      </c>
      <c r="L20" s="15" t="s">
        <v>103</v>
      </c>
      <c r="M20" s="15" t="s">
        <v>104</v>
      </c>
      <c r="N20" s="15" t="s">
        <v>105</v>
      </c>
      <c r="O20" s="15" t="s">
        <v>106</v>
      </c>
      <c r="P20" s="15" t="s">
        <v>107</v>
      </c>
      <c r="Q20" s="15" t="s">
        <v>108</v>
      </c>
      <c r="R20" s="15" t="s">
        <v>109</v>
      </c>
      <c r="S20" s="15" t="s">
        <v>110</v>
      </c>
      <c r="T20" s="15" t="s">
        <v>111</v>
      </c>
      <c r="U20" s="15" t="s">
        <v>112</v>
      </c>
      <c r="V20" s="15" t="s">
        <v>113</v>
      </c>
      <c r="W20" s="15" t="s">
        <v>114</v>
      </c>
      <c r="X20" s="15" t="s">
        <v>118</v>
      </c>
      <c r="Y20" s="15" t="s">
        <v>119</v>
      </c>
    </row>
    <row r="22" spans="2:25" ht="15.6">
      <c r="C22" s="21" t="s">
        <v>133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2:25" ht="13.8">
      <c r="C23" s="22" t="s">
        <v>134</v>
      </c>
      <c r="D23" s="22"/>
      <c r="E23" s="23"/>
      <c r="F23" s="16" t="s">
        <v>120</v>
      </c>
      <c r="G23" s="16" t="s">
        <v>98</v>
      </c>
      <c r="H23" s="16" t="s">
        <v>99</v>
      </c>
      <c r="I23" s="16" t="s">
        <v>100</v>
      </c>
      <c r="J23" s="16" t="s">
        <v>101</v>
      </c>
      <c r="K23" s="16" t="s">
        <v>102</v>
      </c>
      <c r="L23" s="16" t="s">
        <v>103</v>
      </c>
      <c r="M23" s="16" t="s">
        <v>104</v>
      </c>
      <c r="N23" s="16" t="s">
        <v>105</v>
      </c>
      <c r="O23" s="16" t="s">
        <v>106</v>
      </c>
      <c r="P23" s="16" t="s">
        <v>107</v>
      </c>
      <c r="Q23" s="16" t="s">
        <v>108</v>
      </c>
      <c r="R23" s="16" t="s">
        <v>109</v>
      </c>
      <c r="S23" s="16" t="s">
        <v>110</v>
      </c>
      <c r="T23" s="16" t="s">
        <v>111</v>
      </c>
      <c r="U23" s="16" t="s">
        <v>112</v>
      </c>
      <c r="V23" s="16" t="s">
        <v>113</v>
      </c>
      <c r="W23" s="16" t="s">
        <v>114</v>
      </c>
      <c r="X23" s="16" t="s">
        <v>118</v>
      </c>
      <c r="Y23" s="16" t="s">
        <v>119</v>
      </c>
    </row>
    <row r="24" spans="2:25" ht="13.8">
      <c r="C24" s="22" t="s">
        <v>135</v>
      </c>
      <c r="D24" s="22"/>
      <c r="E24" s="23"/>
      <c r="F24" s="16" t="s">
        <v>143</v>
      </c>
      <c r="G24" s="16" t="s">
        <v>143</v>
      </c>
      <c r="H24" s="16" t="s">
        <v>144</v>
      </c>
      <c r="I24" s="16" t="s">
        <v>144</v>
      </c>
      <c r="J24" s="16" t="s">
        <v>144</v>
      </c>
      <c r="K24" s="16" t="s">
        <v>144</v>
      </c>
      <c r="L24" s="16" t="s">
        <v>144</v>
      </c>
      <c r="M24" s="16" t="s">
        <v>144</v>
      </c>
      <c r="N24" s="16" t="s">
        <v>144</v>
      </c>
      <c r="O24" s="16" t="s">
        <v>144</v>
      </c>
      <c r="P24" s="16" t="s">
        <v>144</v>
      </c>
      <c r="Q24" s="16" t="s">
        <v>144</v>
      </c>
      <c r="R24" s="16" t="s">
        <v>144</v>
      </c>
      <c r="S24" s="16" t="s">
        <v>144</v>
      </c>
      <c r="T24" s="16" t="s">
        <v>144</v>
      </c>
      <c r="U24" s="16" t="s">
        <v>144</v>
      </c>
      <c r="V24" s="16" t="s">
        <v>144</v>
      </c>
      <c r="W24" s="16" t="s">
        <v>144</v>
      </c>
      <c r="X24" s="16" t="s">
        <v>144</v>
      </c>
      <c r="Y24" s="16" t="s">
        <v>144</v>
      </c>
    </row>
    <row r="25" spans="2:25" ht="13.8">
      <c r="C25" s="22" t="s">
        <v>136</v>
      </c>
      <c r="D25" s="22"/>
      <c r="E25" s="23"/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</row>
    <row r="26" spans="2:25" ht="13.8">
      <c r="C26" s="22" t="s">
        <v>137</v>
      </c>
      <c r="D26" s="22"/>
      <c r="E26" s="2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2:25" ht="13.8">
      <c r="C27" s="22" t="s">
        <v>138</v>
      </c>
      <c r="D27" s="22"/>
      <c r="E27" s="23"/>
      <c r="F27" s="12">
        <v>93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2:25" ht="13.8">
      <c r="C28" s="22" t="s">
        <v>139</v>
      </c>
      <c r="D28" s="22"/>
      <c r="E28" s="23"/>
      <c r="F28" s="12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31" spans="2:25" ht="18">
      <c r="B31" s="6" t="s">
        <v>124</v>
      </c>
    </row>
    <row r="33" spans="3:23">
      <c r="C33" s="8" t="s">
        <v>152</v>
      </c>
      <c r="D33" s="26" t="s">
        <v>120</v>
      </c>
      <c r="E33" s="26" t="s">
        <v>98</v>
      </c>
      <c r="F33" s="26" t="s">
        <v>153</v>
      </c>
      <c r="G33" s="26" t="s">
        <v>154</v>
      </c>
      <c r="H33" s="26" t="s">
        <v>155</v>
      </c>
      <c r="I33" s="26" t="s">
        <v>156</v>
      </c>
      <c r="J33" s="26" t="s">
        <v>157</v>
      </c>
      <c r="K33" s="26" t="s">
        <v>158</v>
      </c>
      <c r="L33" s="26" t="s">
        <v>159</v>
      </c>
      <c r="M33" s="26" t="s">
        <v>160</v>
      </c>
      <c r="N33" s="26" t="s">
        <v>161</v>
      </c>
      <c r="O33" s="26" t="s">
        <v>162</v>
      </c>
      <c r="P33" s="26" t="s">
        <v>163</v>
      </c>
      <c r="Q33" s="26" t="s">
        <v>164</v>
      </c>
      <c r="R33" s="26" t="s">
        <v>165</v>
      </c>
      <c r="S33" s="26" t="s">
        <v>166</v>
      </c>
      <c r="T33" s="26" t="s">
        <v>167</v>
      </c>
      <c r="U33" s="26" t="s">
        <v>168</v>
      </c>
      <c r="V33" s="26" t="s">
        <v>169</v>
      </c>
      <c r="W33" s="26" t="s">
        <v>170</v>
      </c>
    </row>
    <row r="34" spans="3:23">
      <c r="C34" s="8" t="s">
        <v>171</v>
      </c>
      <c r="D34" s="27">
        <v>1</v>
      </c>
      <c r="E34" s="27" t="s">
        <v>0</v>
      </c>
      <c r="F34" s="27">
        <v>1</v>
      </c>
      <c r="G34" s="27">
        <v>0</v>
      </c>
      <c r="H34" s="27">
        <v>0</v>
      </c>
      <c r="I34" s="27">
        <v>1</v>
      </c>
      <c r="J34" s="27">
        <v>0</v>
      </c>
      <c r="K34" s="27">
        <v>0</v>
      </c>
      <c r="L34" s="27">
        <v>1</v>
      </c>
      <c r="M34" s="27">
        <v>1</v>
      </c>
      <c r="N34" s="27">
        <v>1</v>
      </c>
      <c r="O34" s="27">
        <v>1</v>
      </c>
      <c r="P34" s="27">
        <v>0</v>
      </c>
      <c r="Q34" s="27">
        <v>0</v>
      </c>
      <c r="R34" s="27">
        <v>4</v>
      </c>
      <c r="S34" s="27">
        <v>0</v>
      </c>
      <c r="T34" s="27">
        <v>0</v>
      </c>
      <c r="U34" s="27">
        <v>1</v>
      </c>
      <c r="V34" s="27">
        <v>1</v>
      </c>
      <c r="W34" s="26">
        <v>1</v>
      </c>
    </row>
    <row r="35" spans="3:23">
      <c r="C35" s="8" t="s">
        <v>172</v>
      </c>
      <c r="D35" s="27">
        <v>2</v>
      </c>
      <c r="E35" s="27" t="s">
        <v>2</v>
      </c>
      <c r="F35" s="27">
        <v>0</v>
      </c>
      <c r="G35" s="27">
        <v>0</v>
      </c>
      <c r="H35" s="27">
        <v>1</v>
      </c>
      <c r="I35" s="27">
        <v>0</v>
      </c>
      <c r="J35" s="27">
        <v>0</v>
      </c>
      <c r="K35" s="27">
        <v>1</v>
      </c>
      <c r="L35" s="27">
        <v>1</v>
      </c>
      <c r="M35" s="27">
        <v>1</v>
      </c>
      <c r="N35" s="27">
        <v>1</v>
      </c>
      <c r="O35" s="27">
        <v>0</v>
      </c>
      <c r="P35" s="27">
        <v>0</v>
      </c>
      <c r="Q35" s="27">
        <v>1</v>
      </c>
      <c r="R35" s="27">
        <v>0</v>
      </c>
      <c r="S35" s="27">
        <v>1</v>
      </c>
      <c r="T35" s="27">
        <v>0</v>
      </c>
      <c r="U35" s="27">
        <v>0</v>
      </c>
      <c r="V35" s="27">
        <v>4</v>
      </c>
      <c r="W35" s="26">
        <v>1</v>
      </c>
    </row>
    <row r="36" spans="3:23">
      <c r="C36" s="8" t="s">
        <v>173</v>
      </c>
      <c r="D36" s="27">
        <v>3</v>
      </c>
      <c r="E36" s="27" t="s">
        <v>3</v>
      </c>
      <c r="F36" s="27">
        <v>1</v>
      </c>
      <c r="G36" s="27">
        <v>0</v>
      </c>
      <c r="H36" s="27">
        <v>0</v>
      </c>
      <c r="I36" s="27">
        <v>1</v>
      </c>
      <c r="J36" s="27">
        <v>0</v>
      </c>
      <c r="K36" s="27">
        <v>0</v>
      </c>
      <c r="L36" s="27">
        <v>1</v>
      </c>
      <c r="M36" s="27">
        <v>1</v>
      </c>
      <c r="N36" s="27">
        <v>1</v>
      </c>
      <c r="O36" s="27">
        <v>1</v>
      </c>
      <c r="P36" s="27">
        <v>0</v>
      </c>
      <c r="Q36" s="27">
        <v>0</v>
      </c>
      <c r="R36" s="27">
        <v>4</v>
      </c>
      <c r="S36" s="27">
        <v>0</v>
      </c>
      <c r="T36" s="27">
        <v>0</v>
      </c>
      <c r="U36" s="27">
        <v>1</v>
      </c>
      <c r="V36" s="27">
        <v>1</v>
      </c>
      <c r="W36" s="26">
        <v>1</v>
      </c>
    </row>
    <row r="37" spans="3:23">
      <c r="C37" s="8" t="s">
        <v>174</v>
      </c>
      <c r="D37" s="27">
        <v>4</v>
      </c>
      <c r="E37" s="27" t="s">
        <v>4</v>
      </c>
      <c r="F37" s="27">
        <v>1</v>
      </c>
      <c r="G37" s="27">
        <v>0</v>
      </c>
      <c r="H37" s="27">
        <v>0</v>
      </c>
      <c r="I37" s="27">
        <v>1</v>
      </c>
      <c r="J37" s="27">
        <v>0</v>
      </c>
      <c r="K37" s="27">
        <v>0</v>
      </c>
      <c r="L37" s="27">
        <v>1</v>
      </c>
      <c r="M37" s="27">
        <v>1</v>
      </c>
      <c r="N37" s="27">
        <v>1</v>
      </c>
      <c r="O37" s="27">
        <v>1</v>
      </c>
      <c r="P37" s="27">
        <v>0</v>
      </c>
      <c r="Q37" s="27">
        <v>0</v>
      </c>
      <c r="R37" s="27">
        <v>4</v>
      </c>
      <c r="S37" s="27">
        <v>1</v>
      </c>
      <c r="T37" s="27">
        <v>0</v>
      </c>
      <c r="U37" s="27">
        <v>1</v>
      </c>
      <c r="V37" s="27">
        <v>1</v>
      </c>
      <c r="W37" s="26">
        <v>1</v>
      </c>
    </row>
    <row r="38" spans="3:23">
      <c r="C38" s="8" t="s">
        <v>175</v>
      </c>
      <c r="D38" s="27">
        <v>5</v>
      </c>
      <c r="E38" s="27" t="s">
        <v>5</v>
      </c>
      <c r="F38" s="27">
        <v>1</v>
      </c>
      <c r="G38" s="27">
        <v>0</v>
      </c>
      <c r="H38" s="27">
        <v>0</v>
      </c>
      <c r="I38" s="27">
        <v>1</v>
      </c>
      <c r="J38" s="27">
        <v>0</v>
      </c>
      <c r="K38" s="27">
        <v>0</v>
      </c>
      <c r="L38" s="27">
        <v>0</v>
      </c>
      <c r="M38" s="27">
        <v>1</v>
      </c>
      <c r="N38" s="27">
        <v>1</v>
      </c>
      <c r="O38" s="27">
        <v>1</v>
      </c>
      <c r="P38" s="27">
        <v>0</v>
      </c>
      <c r="Q38" s="27">
        <v>0</v>
      </c>
      <c r="R38" s="27">
        <v>4</v>
      </c>
      <c r="S38" s="27">
        <v>1</v>
      </c>
      <c r="T38" s="27">
        <v>0</v>
      </c>
      <c r="U38" s="27">
        <v>1</v>
      </c>
      <c r="V38" s="27">
        <v>1</v>
      </c>
      <c r="W38" s="26">
        <v>1</v>
      </c>
    </row>
    <row r="39" spans="3:23">
      <c r="C39" s="8" t="s">
        <v>176</v>
      </c>
      <c r="D39" s="27">
        <v>6</v>
      </c>
      <c r="E39" s="27" t="s">
        <v>6</v>
      </c>
      <c r="F39" s="27">
        <v>1</v>
      </c>
      <c r="G39" s="27">
        <v>0</v>
      </c>
      <c r="H39" s="27">
        <v>0</v>
      </c>
      <c r="I39" s="27">
        <v>1</v>
      </c>
      <c r="J39" s="27">
        <v>0</v>
      </c>
      <c r="K39" s="27">
        <v>0</v>
      </c>
      <c r="L39" s="27">
        <v>0</v>
      </c>
      <c r="M39" s="27">
        <v>1</v>
      </c>
      <c r="N39" s="27">
        <v>1</v>
      </c>
      <c r="O39" s="27">
        <v>1</v>
      </c>
      <c r="P39" s="27">
        <v>0</v>
      </c>
      <c r="Q39" s="27">
        <v>0</v>
      </c>
      <c r="R39" s="27">
        <v>4</v>
      </c>
      <c r="S39" s="27">
        <v>1</v>
      </c>
      <c r="T39" s="27">
        <v>1</v>
      </c>
      <c r="U39" s="27">
        <v>1</v>
      </c>
      <c r="V39" s="27">
        <v>1</v>
      </c>
      <c r="W39" s="26">
        <v>1</v>
      </c>
    </row>
    <row r="40" spans="3:23">
      <c r="C40" s="8" t="s">
        <v>177</v>
      </c>
      <c r="D40" s="27">
        <v>7</v>
      </c>
      <c r="E40" s="27" t="s">
        <v>7</v>
      </c>
      <c r="F40" s="27">
        <v>0</v>
      </c>
      <c r="G40" s="27">
        <v>0</v>
      </c>
      <c r="H40" s="27">
        <v>1</v>
      </c>
      <c r="I40" s="27">
        <v>0</v>
      </c>
      <c r="J40" s="27">
        <v>0</v>
      </c>
      <c r="K40" s="27">
        <v>1</v>
      </c>
      <c r="L40" s="27">
        <v>0</v>
      </c>
      <c r="M40" s="27">
        <v>1</v>
      </c>
      <c r="N40" s="27">
        <v>1</v>
      </c>
      <c r="O40" s="27">
        <v>0</v>
      </c>
      <c r="P40" s="27">
        <v>0</v>
      </c>
      <c r="Q40" s="27">
        <v>1</v>
      </c>
      <c r="R40" s="27">
        <v>0</v>
      </c>
      <c r="S40" s="27">
        <v>1</v>
      </c>
      <c r="T40" s="27">
        <v>1</v>
      </c>
      <c r="U40" s="27">
        <v>0</v>
      </c>
      <c r="V40" s="27">
        <v>4</v>
      </c>
      <c r="W40" s="26">
        <v>1</v>
      </c>
    </row>
    <row r="41" spans="3:23">
      <c r="C41" s="8" t="s">
        <v>178</v>
      </c>
      <c r="D41" s="27">
        <v>8</v>
      </c>
      <c r="E41" s="27" t="s">
        <v>8</v>
      </c>
      <c r="F41" s="27">
        <v>0</v>
      </c>
      <c r="G41" s="27">
        <v>0</v>
      </c>
      <c r="H41" s="27">
        <v>1</v>
      </c>
      <c r="I41" s="27">
        <v>0</v>
      </c>
      <c r="J41" s="27">
        <v>0</v>
      </c>
      <c r="K41" s="27">
        <v>1</v>
      </c>
      <c r="L41" s="27">
        <v>1</v>
      </c>
      <c r="M41" s="27">
        <v>1</v>
      </c>
      <c r="N41" s="27">
        <v>1</v>
      </c>
      <c r="O41" s="27">
        <v>0</v>
      </c>
      <c r="P41" s="27">
        <v>0</v>
      </c>
      <c r="Q41" s="27">
        <v>1</v>
      </c>
      <c r="R41" s="27">
        <v>0</v>
      </c>
      <c r="S41" s="27">
        <v>1</v>
      </c>
      <c r="T41" s="27">
        <v>0</v>
      </c>
      <c r="U41" s="27">
        <v>0</v>
      </c>
      <c r="V41" s="27">
        <v>4</v>
      </c>
      <c r="W41" s="26">
        <v>1</v>
      </c>
    </row>
    <row r="42" spans="3:23">
      <c r="C42" s="8" t="s">
        <v>179</v>
      </c>
      <c r="D42" s="27">
        <v>9</v>
      </c>
      <c r="E42" s="27" t="s">
        <v>9</v>
      </c>
      <c r="F42" s="27">
        <v>1</v>
      </c>
      <c r="G42" s="27">
        <v>0</v>
      </c>
      <c r="H42" s="27">
        <v>0</v>
      </c>
      <c r="I42" s="27">
        <v>1</v>
      </c>
      <c r="J42" s="27">
        <v>0</v>
      </c>
      <c r="K42" s="27">
        <v>0</v>
      </c>
      <c r="L42" s="27">
        <v>0</v>
      </c>
      <c r="M42" s="27">
        <v>1</v>
      </c>
      <c r="N42" s="27">
        <v>1</v>
      </c>
      <c r="O42" s="27">
        <v>1</v>
      </c>
      <c r="P42" s="27">
        <v>0</v>
      </c>
      <c r="Q42" s="27">
        <v>0</v>
      </c>
      <c r="R42" s="27">
        <v>4</v>
      </c>
      <c r="S42" s="27">
        <v>0</v>
      </c>
      <c r="T42" s="27">
        <v>1</v>
      </c>
      <c r="U42" s="27">
        <v>0</v>
      </c>
      <c r="V42" s="27">
        <v>1</v>
      </c>
      <c r="W42" s="26">
        <v>1</v>
      </c>
    </row>
    <row r="43" spans="3:23">
      <c r="C43" s="8" t="s">
        <v>180</v>
      </c>
      <c r="D43" s="27">
        <v>10</v>
      </c>
      <c r="E43" s="27" t="s">
        <v>10</v>
      </c>
      <c r="F43" s="27">
        <v>1</v>
      </c>
      <c r="G43" s="27">
        <v>0</v>
      </c>
      <c r="H43" s="27">
        <v>0</v>
      </c>
      <c r="I43" s="27">
        <v>1</v>
      </c>
      <c r="J43" s="27">
        <v>0</v>
      </c>
      <c r="K43" s="27">
        <v>0</v>
      </c>
      <c r="L43" s="27">
        <v>1</v>
      </c>
      <c r="M43" s="27">
        <v>1</v>
      </c>
      <c r="N43" s="27">
        <v>1</v>
      </c>
      <c r="O43" s="27">
        <v>1</v>
      </c>
      <c r="P43" s="27">
        <v>0</v>
      </c>
      <c r="Q43" s="27">
        <v>0</v>
      </c>
      <c r="R43" s="27">
        <v>4</v>
      </c>
      <c r="S43" s="27">
        <v>1</v>
      </c>
      <c r="T43" s="27">
        <v>0</v>
      </c>
      <c r="U43" s="27">
        <v>1</v>
      </c>
      <c r="V43" s="27">
        <v>1</v>
      </c>
      <c r="W43" s="26">
        <v>1</v>
      </c>
    </row>
    <row r="44" spans="3:23">
      <c r="C44" s="8" t="s">
        <v>181</v>
      </c>
      <c r="D44" s="27">
        <v>11</v>
      </c>
      <c r="E44" s="27" t="s">
        <v>11</v>
      </c>
      <c r="F44" s="27">
        <v>0</v>
      </c>
      <c r="G44" s="27">
        <v>1</v>
      </c>
      <c r="H44" s="27">
        <v>1</v>
      </c>
      <c r="I44" s="27">
        <v>0</v>
      </c>
      <c r="J44" s="27">
        <v>1</v>
      </c>
      <c r="K44" s="27">
        <v>0</v>
      </c>
      <c r="L44" s="27">
        <v>0</v>
      </c>
      <c r="M44" s="27">
        <v>0</v>
      </c>
      <c r="N44" s="27">
        <v>1</v>
      </c>
      <c r="O44" s="27">
        <v>1</v>
      </c>
      <c r="P44" s="27">
        <v>0</v>
      </c>
      <c r="Q44" s="27">
        <v>0</v>
      </c>
      <c r="R44" s="27">
        <v>2</v>
      </c>
      <c r="S44" s="27">
        <v>1</v>
      </c>
      <c r="T44" s="27">
        <v>1</v>
      </c>
      <c r="U44" s="27">
        <v>0</v>
      </c>
      <c r="V44" s="27">
        <v>2</v>
      </c>
      <c r="W44" s="26">
        <v>1</v>
      </c>
    </row>
    <row r="45" spans="3:23">
      <c r="C45" s="8" t="s">
        <v>182</v>
      </c>
      <c r="D45" s="27">
        <v>12</v>
      </c>
      <c r="E45" s="27" t="s">
        <v>13</v>
      </c>
      <c r="F45" s="27">
        <v>0</v>
      </c>
      <c r="G45" s="27">
        <v>0</v>
      </c>
      <c r="H45" s="27">
        <v>1</v>
      </c>
      <c r="I45" s="27">
        <v>0</v>
      </c>
      <c r="J45" s="27">
        <v>0</v>
      </c>
      <c r="K45" s="27">
        <v>0</v>
      </c>
      <c r="L45" s="27">
        <v>1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7</v>
      </c>
      <c r="W45" s="26">
        <v>1</v>
      </c>
    </row>
    <row r="46" spans="3:23">
      <c r="C46" s="8" t="s">
        <v>183</v>
      </c>
      <c r="D46" s="27">
        <v>13</v>
      </c>
      <c r="E46" s="27" t="s">
        <v>14</v>
      </c>
      <c r="F46" s="27">
        <v>0</v>
      </c>
      <c r="G46" s="27">
        <v>0</v>
      </c>
      <c r="H46" s="27">
        <v>1</v>
      </c>
      <c r="I46" s="27">
        <v>0</v>
      </c>
      <c r="J46" s="27">
        <v>0</v>
      </c>
      <c r="K46" s="27">
        <v>1</v>
      </c>
      <c r="L46" s="27">
        <v>1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4</v>
      </c>
      <c r="S46" s="27">
        <v>0</v>
      </c>
      <c r="T46" s="27">
        <v>0</v>
      </c>
      <c r="U46" s="27">
        <v>0</v>
      </c>
      <c r="V46" s="27">
        <v>7</v>
      </c>
      <c r="W46" s="26">
        <v>1</v>
      </c>
    </row>
    <row r="47" spans="3:23">
      <c r="C47" s="8" t="s">
        <v>184</v>
      </c>
      <c r="D47" s="27">
        <v>14</v>
      </c>
      <c r="E47" s="27" t="s">
        <v>15</v>
      </c>
      <c r="F47" s="27">
        <v>0</v>
      </c>
      <c r="G47" s="27">
        <v>0</v>
      </c>
      <c r="H47" s="27">
        <v>1</v>
      </c>
      <c r="I47" s="27">
        <v>0</v>
      </c>
      <c r="J47" s="27">
        <v>0</v>
      </c>
      <c r="K47" s="27">
        <v>1</v>
      </c>
      <c r="L47" s="27">
        <v>1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6</v>
      </c>
      <c r="S47" s="27">
        <v>0</v>
      </c>
      <c r="T47" s="27">
        <v>0</v>
      </c>
      <c r="U47" s="27">
        <v>0</v>
      </c>
      <c r="V47" s="27">
        <v>7</v>
      </c>
      <c r="W47" s="26">
        <v>1</v>
      </c>
    </row>
    <row r="48" spans="3:23">
      <c r="C48" s="8" t="s">
        <v>185</v>
      </c>
      <c r="D48" s="27">
        <v>15</v>
      </c>
      <c r="E48" s="27" t="s">
        <v>16</v>
      </c>
      <c r="F48" s="27">
        <v>0</v>
      </c>
      <c r="G48" s="27">
        <v>1</v>
      </c>
      <c r="H48" s="27">
        <v>1</v>
      </c>
      <c r="I48" s="27">
        <v>0</v>
      </c>
      <c r="J48" s="27">
        <v>1</v>
      </c>
      <c r="K48" s="27">
        <v>0</v>
      </c>
      <c r="L48" s="27">
        <v>1</v>
      </c>
      <c r="M48" s="27">
        <v>0</v>
      </c>
      <c r="N48" s="27">
        <v>1</v>
      </c>
      <c r="O48" s="27">
        <v>1</v>
      </c>
      <c r="P48" s="27">
        <v>0</v>
      </c>
      <c r="Q48" s="27">
        <v>0</v>
      </c>
      <c r="R48" s="27">
        <v>2</v>
      </c>
      <c r="S48" s="27">
        <v>1</v>
      </c>
      <c r="T48" s="27">
        <v>0</v>
      </c>
      <c r="U48" s="27">
        <v>0</v>
      </c>
      <c r="V48" s="27">
        <v>2</v>
      </c>
      <c r="W48" s="26">
        <v>1</v>
      </c>
    </row>
    <row r="49" spans="3:23">
      <c r="C49" s="8" t="s">
        <v>186</v>
      </c>
      <c r="D49" s="27">
        <v>16</v>
      </c>
      <c r="E49" s="27" t="s">
        <v>17</v>
      </c>
      <c r="F49" s="27">
        <v>1</v>
      </c>
      <c r="G49" s="27">
        <v>0</v>
      </c>
      <c r="H49" s="27">
        <v>0</v>
      </c>
      <c r="I49" s="27">
        <v>1</v>
      </c>
      <c r="J49" s="27">
        <v>0</v>
      </c>
      <c r="K49" s="27">
        <v>0</v>
      </c>
      <c r="L49" s="27">
        <v>0</v>
      </c>
      <c r="M49" s="27">
        <v>1</v>
      </c>
      <c r="N49" s="27">
        <v>1</v>
      </c>
      <c r="O49" s="27">
        <v>1</v>
      </c>
      <c r="P49" s="27">
        <v>0</v>
      </c>
      <c r="Q49" s="27">
        <v>0</v>
      </c>
      <c r="R49" s="27">
        <v>4</v>
      </c>
      <c r="S49" s="27">
        <v>1</v>
      </c>
      <c r="T49" s="27">
        <v>0</v>
      </c>
      <c r="U49" s="27">
        <v>1</v>
      </c>
      <c r="V49" s="27">
        <v>1</v>
      </c>
      <c r="W49" s="26">
        <v>1</v>
      </c>
    </row>
    <row r="50" spans="3:23">
      <c r="C50" s="8" t="s">
        <v>187</v>
      </c>
      <c r="D50" s="27">
        <v>17</v>
      </c>
      <c r="E50" s="27" t="s">
        <v>18</v>
      </c>
      <c r="F50" s="27">
        <v>0</v>
      </c>
      <c r="G50" s="27">
        <v>0</v>
      </c>
      <c r="H50" s="27">
        <v>1</v>
      </c>
      <c r="I50" s="27">
        <v>0</v>
      </c>
      <c r="J50" s="27">
        <v>0</v>
      </c>
      <c r="K50" s="27">
        <v>1</v>
      </c>
      <c r="L50" s="27">
        <v>1</v>
      </c>
      <c r="M50" s="27">
        <v>1</v>
      </c>
      <c r="N50" s="27">
        <v>1</v>
      </c>
      <c r="O50" s="27">
        <v>0</v>
      </c>
      <c r="P50" s="27">
        <v>0</v>
      </c>
      <c r="Q50" s="27">
        <v>1</v>
      </c>
      <c r="R50" s="27">
        <v>0</v>
      </c>
      <c r="S50" s="27">
        <v>1</v>
      </c>
      <c r="T50" s="27">
        <v>0</v>
      </c>
      <c r="U50" s="27">
        <v>1</v>
      </c>
      <c r="V50" s="27">
        <v>4</v>
      </c>
      <c r="W50" s="26">
        <v>1</v>
      </c>
    </row>
    <row r="51" spans="3:23">
      <c r="C51" s="8" t="s">
        <v>188</v>
      </c>
      <c r="D51" s="27">
        <v>18</v>
      </c>
      <c r="E51" s="27" t="s">
        <v>19</v>
      </c>
      <c r="F51" s="27">
        <v>0</v>
      </c>
      <c r="G51" s="27">
        <v>0</v>
      </c>
      <c r="H51" s="27">
        <v>0</v>
      </c>
      <c r="I51" s="27">
        <v>1</v>
      </c>
      <c r="J51" s="27">
        <v>0</v>
      </c>
      <c r="K51" s="27">
        <v>1</v>
      </c>
      <c r="L51" s="27">
        <v>1</v>
      </c>
      <c r="M51" s="27">
        <v>1</v>
      </c>
      <c r="N51" s="27">
        <v>1</v>
      </c>
      <c r="O51" s="27">
        <v>1</v>
      </c>
      <c r="P51" s="27">
        <v>0</v>
      </c>
      <c r="Q51" s="27">
        <v>1</v>
      </c>
      <c r="R51" s="27">
        <v>0</v>
      </c>
      <c r="S51" s="27">
        <v>1</v>
      </c>
      <c r="T51" s="27">
        <v>0</v>
      </c>
      <c r="U51" s="27">
        <v>1</v>
      </c>
      <c r="V51" s="27">
        <v>1</v>
      </c>
      <c r="W51" s="26">
        <v>1</v>
      </c>
    </row>
    <row r="52" spans="3:23">
      <c r="C52" s="8" t="s">
        <v>189</v>
      </c>
      <c r="D52" s="27">
        <v>19</v>
      </c>
      <c r="E52" s="27" t="s">
        <v>20</v>
      </c>
      <c r="F52" s="27">
        <v>0</v>
      </c>
      <c r="G52" s="27">
        <v>1</v>
      </c>
      <c r="H52" s="27">
        <v>1</v>
      </c>
      <c r="I52" s="27">
        <v>0</v>
      </c>
      <c r="J52" s="27">
        <v>1</v>
      </c>
      <c r="K52" s="27">
        <v>0</v>
      </c>
      <c r="L52" s="27">
        <v>0</v>
      </c>
      <c r="M52" s="27">
        <v>0</v>
      </c>
      <c r="N52" s="27">
        <v>1</v>
      </c>
      <c r="O52" s="27">
        <v>1</v>
      </c>
      <c r="P52" s="27">
        <v>0</v>
      </c>
      <c r="Q52" s="27">
        <v>0</v>
      </c>
      <c r="R52" s="27">
        <v>2</v>
      </c>
      <c r="S52" s="27">
        <v>1</v>
      </c>
      <c r="T52" s="27">
        <v>1</v>
      </c>
      <c r="U52" s="27">
        <v>0</v>
      </c>
      <c r="V52" s="27">
        <v>2</v>
      </c>
      <c r="W52" s="26">
        <v>1</v>
      </c>
    </row>
    <row r="53" spans="3:23">
      <c r="C53" s="8" t="s">
        <v>190</v>
      </c>
      <c r="D53" s="27">
        <v>20</v>
      </c>
      <c r="E53" s="27" t="s">
        <v>21</v>
      </c>
      <c r="F53" s="27">
        <v>0</v>
      </c>
      <c r="G53" s="27">
        <v>1</v>
      </c>
      <c r="H53" s="27">
        <v>1</v>
      </c>
      <c r="I53" s="27">
        <v>0</v>
      </c>
      <c r="J53" s="27">
        <v>1</v>
      </c>
      <c r="K53" s="27">
        <v>1</v>
      </c>
      <c r="L53" s="27">
        <v>0</v>
      </c>
      <c r="M53" s="27">
        <v>0</v>
      </c>
      <c r="N53" s="27">
        <v>1</v>
      </c>
      <c r="O53" s="27">
        <v>1</v>
      </c>
      <c r="P53" s="27">
        <v>0</v>
      </c>
      <c r="Q53" s="27">
        <v>0</v>
      </c>
      <c r="R53" s="27">
        <v>2</v>
      </c>
      <c r="S53" s="27">
        <v>1</v>
      </c>
      <c r="T53" s="27">
        <v>0</v>
      </c>
      <c r="U53" s="27">
        <v>0</v>
      </c>
      <c r="V53" s="27">
        <v>2</v>
      </c>
      <c r="W53" s="26">
        <v>1</v>
      </c>
    </row>
    <row r="54" spans="3:23">
      <c r="C54" s="8" t="s">
        <v>191</v>
      </c>
      <c r="D54" s="27">
        <v>21</v>
      </c>
      <c r="E54" s="27" t="s">
        <v>22</v>
      </c>
      <c r="F54" s="27">
        <v>1</v>
      </c>
      <c r="G54" s="27">
        <v>0</v>
      </c>
      <c r="H54" s="27">
        <v>0</v>
      </c>
      <c r="I54" s="27">
        <v>1</v>
      </c>
      <c r="J54" s="27">
        <v>0</v>
      </c>
      <c r="K54" s="27">
        <v>0</v>
      </c>
      <c r="L54" s="27">
        <v>0</v>
      </c>
      <c r="M54" s="27">
        <v>1</v>
      </c>
      <c r="N54" s="27">
        <v>1</v>
      </c>
      <c r="O54" s="27">
        <v>1</v>
      </c>
      <c r="P54" s="27">
        <v>0</v>
      </c>
      <c r="Q54" s="27">
        <v>0</v>
      </c>
      <c r="R54" s="27">
        <v>4</v>
      </c>
      <c r="S54" s="27">
        <v>1</v>
      </c>
      <c r="T54" s="27">
        <v>0</v>
      </c>
      <c r="U54" s="27">
        <v>1</v>
      </c>
      <c r="V54" s="27">
        <v>1</v>
      </c>
      <c r="W54" s="26">
        <v>1</v>
      </c>
    </row>
    <row r="55" spans="3:23">
      <c r="C55" s="8" t="s">
        <v>192</v>
      </c>
      <c r="D55" s="27">
        <v>22</v>
      </c>
      <c r="E55" s="27" t="s">
        <v>23</v>
      </c>
      <c r="F55" s="27">
        <v>0</v>
      </c>
      <c r="G55" s="27">
        <v>1</v>
      </c>
      <c r="H55" s="27">
        <v>1</v>
      </c>
      <c r="I55" s="27">
        <v>0</v>
      </c>
      <c r="J55" s="27">
        <v>1</v>
      </c>
      <c r="K55" s="27">
        <v>0</v>
      </c>
      <c r="L55" s="27">
        <v>0</v>
      </c>
      <c r="M55" s="27">
        <v>0</v>
      </c>
      <c r="N55" s="27">
        <v>1</v>
      </c>
      <c r="O55" s="27">
        <v>1</v>
      </c>
      <c r="P55" s="27">
        <v>0</v>
      </c>
      <c r="Q55" s="27">
        <v>0</v>
      </c>
      <c r="R55" s="27">
        <v>2</v>
      </c>
      <c r="S55" s="27">
        <v>1</v>
      </c>
      <c r="T55" s="27">
        <v>0</v>
      </c>
      <c r="U55" s="27">
        <v>1</v>
      </c>
      <c r="V55" s="27">
        <v>2</v>
      </c>
      <c r="W55" s="26">
        <v>1</v>
      </c>
    </row>
    <row r="56" spans="3:23">
      <c r="C56" s="8" t="s">
        <v>193</v>
      </c>
      <c r="D56" s="27">
        <v>23</v>
      </c>
      <c r="E56" s="27" t="s">
        <v>24</v>
      </c>
      <c r="F56" s="27">
        <v>0</v>
      </c>
      <c r="G56" s="27">
        <v>0</v>
      </c>
      <c r="H56" s="27">
        <v>1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1</v>
      </c>
      <c r="P56" s="27">
        <v>0</v>
      </c>
      <c r="Q56" s="27">
        <v>0</v>
      </c>
      <c r="R56" s="27">
        <v>6</v>
      </c>
      <c r="S56" s="27">
        <v>0</v>
      </c>
      <c r="T56" s="27">
        <v>0</v>
      </c>
      <c r="U56" s="27">
        <v>0</v>
      </c>
      <c r="V56" s="27">
        <v>6</v>
      </c>
      <c r="W56" s="26">
        <v>1</v>
      </c>
    </row>
    <row r="57" spans="3:23">
      <c r="C57" s="8" t="s">
        <v>194</v>
      </c>
      <c r="D57" s="27">
        <v>24</v>
      </c>
      <c r="E57" s="27" t="s">
        <v>25</v>
      </c>
      <c r="F57" s="27">
        <v>0</v>
      </c>
      <c r="G57" s="27">
        <v>0</v>
      </c>
      <c r="H57" s="27">
        <v>1</v>
      </c>
      <c r="I57" s="27">
        <v>0</v>
      </c>
      <c r="J57" s="27">
        <v>0</v>
      </c>
      <c r="K57" s="27">
        <v>1</v>
      </c>
      <c r="L57" s="27">
        <v>1</v>
      </c>
      <c r="M57" s="27">
        <v>1</v>
      </c>
      <c r="N57" s="27">
        <v>1</v>
      </c>
      <c r="O57" s="27">
        <v>1</v>
      </c>
      <c r="P57" s="27">
        <v>0</v>
      </c>
      <c r="Q57" s="27">
        <v>0</v>
      </c>
      <c r="R57" s="27">
        <v>4</v>
      </c>
      <c r="S57" s="27">
        <v>0</v>
      </c>
      <c r="T57" s="27">
        <v>0</v>
      </c>
      <c r="U57" s="27">
        <v>0</v>
      </c>
      <c r="V57" s="27">
        <v>5</v>
      </c>
      <c r="W57" s="26">
        <v>1</v>
      </c>
    </row>
    <row r="58" spans="3:23">
      <c r="C58" s="8" t="s">
        <v>195</v>
      </c>
      <c r="D58" s="27">
        <v>25</v>
      </c>
      <c r="E58" s="27" t="s">
        <v>25</v>
      </c>
      <c r="F58" s="27">
        <v>0</v>
      </c>
      <c r="G58" s="27">
        <v>0</v>
      </c>
      <c r="H58" s="27">
        <v>1</v>
      </c>
      <c r="I58" s="27">
        <v>0</v>
      </c>
      <c r="J58" s="27">
        <v>0</v>
      </c>
      <c r="K58" s="27">
        <v>1</v>
      </c>
      <c r="L58" s="27">
        <v>1</v>
      </c>
      <c r="M58" s="27">
        <v>1</v>
      </c>
      <c r="N58" s="27">
        <v>1</v>
      </c>
      <c r="O58" s="27">
        <v>1</v>
      </c>
      <c r="P58" s="27">
        <v>1</v>
      </c>
      <c r="Q58" s="27">
        <v>0</v>
      </c>
      <c r="R58" s="27">
        <v>4</v>
      </c>
      <c r="S58" s="27">
        <v>0</v>
      </c>
      <c r="T58" s="27">
        <v>0</v>
      </c>
      <c r="U58" s="27">
        <v>0</v>
      </c>
      <c r="V58" s="27">
        <v>5</v>
      </c>
      <c r="W58" s="26">
        <v>1</v>
      </c>
    </row>
    <row r="59" spans="3:23">
      <c r="C59" s="8" t="s">
        <v>196</v>
      </c>
      <c r="D59" s="27">
        <v>26</v>
      </c>
      <c r="E59" s="27" t="s">
        <v>26</v>
      </c>
      <c r="F59" s="27">
        <v>1</v>
      </c>
      <c r="G59" s="27">
        <v>0</v>
      </c>
      <c r="H59" s="27">
        <v>0</v>
      </c>
      <c r="I59" s="27">
        <v>1</v>
      </c>
      <c r="J59" s="27">
        <v>1</v>
      </c>
      <c r="K59" s="27">
        <v>0</v>
      </c>
      <c r="L59" s="27">
        <v>0</v>
      </c>
      <c r="M59" s="27">
        <v>1</v>
      </c>
      <c r="N59" s="27">
        <v>1</v>
      </c>
      <c r="O59" s="27">
        <v>1</v>
      </c>
      <c r="P59" s="27">
        <v>0</v>
      </c>
      <c r="Q59" s="27">
        <v>0</v>
      </c>
      <c r="R59" s="27">
        <v>2</v>
      </c>
      <c r="S59" s="27">
        <v>1</v>
      </c>
      <c r="T59" s="27">
        <v>0</v>
      </c>
      <c r="U59" s="27">
        <v>0</v>
      </c>
      <c r="V59" s="27">
        <v>1</v>
      </c>
      <c r="W59" s="26">
        <v>1</v>
      </c>
    </row>
    <row r="60" spans="3:23">
      <c r="C60" s="8" t="s">
        <v>197</v>
      </c>
      <c r="D60" s="27">
        <v>27</v>
      </c>
      <c r="E60" s="27" t="s">
        <v>27</v>
      </c>
      <c r="F60" s="27">
        <v>1</v>
      </c>
      <c r="G60" s="27">
        <v>0</v>
      </c>
      <c r="H60" s="27">
        <v>0</v>
      </c>
      <c r="I60" s="27">
        <v>1</v>
      </c>
      <c r="J60" s="27">
        <v>0</v>
      </c>
      <c r="K60" s="27">
        <v>0</v>
      </c>
      <c r="L60" s="27">
        <v>0</v>
      </c>
      <c r="M60" s="27">
        <v>1</v>
      </c>
      <c r="N60" s="27">
        <v>1</v>
      </c>
      <c r="O60" s="27">
        <v>1</v>
      </c>
      <c r="P60" s="27">
        <v>0</v>
      </c>
      <c r="Q60" s="27">
        <v>0</v>
      </c>
      <c r="R60" s="27">
        <v>4</v>
      </c>
      <c r="S60" s="27">
        <v>1</v>
      </c>
      <c r="T60" s="27">
        <v>0</v>
      </c>
      <c r="U60" s="27">
        <v>1</v>
      </c>
      <c r="V60" s="27">
        <v>1</v>
      </c>
      <c r="W60" s="26">
        <v>1</v>
      </c>
    </row>
    <row r="61" spans="3:23">
      <c r="C61" s="8" t="s">
        <v>198</v>
      </c>
      <c r="D61" s="27">
        <v>28</v>
      </c>
      <c r="E61" s="27" t="s">
        <v>29</v>
      </c>
      <c r="F61" s="27">
        <v>1</v>
      </c>
      <c r="G61" s="27">
        <v>0</v>
      </c>
      <c r="H61" s="27">
        <v>0</v>
      </c>
      <c r="I61" s="27">
        <v>1</v>
      </c>
      <c r="J61" s="27">
        <v>0</v>
      </c>
      <c r="K61" s="27">
        <v>0</v>
      </c>
      <c r="L61" s="27">
        <v>0</v>
      </c>
      <c r="M61" s="27">
        <v>1</v>
      </c>
      <c r="N61" s="27">
        <v>1</v>
      </c>
      <c r="O61" s="27">
        <v>1</v>
      </c>
      <c r="P61" s="27">
        <v>0</v>
      </c>
      <c r="Q61" s="27">
        <v>0</v>
      </c>
      <c r="R61" s="27">
        <v>4</v>
      </c>
      <c r="S61" s="27">
        <v>1</v>
      </c>
      <c r="T61" s="27">
        <v>1</v>
      </c>
      <c r="U61" s="27">
        <v>1</v>
      </c>
      <c r="V61" s="27">
        <v>1</v>
      </c>
      <c r="W61" s="26">
        <v>1</v>
      </c>
    </row>
    <row r="62" spans="3:23">
      <c r="C62" s="8" t="s">
        <v>199</v>
      </c>
      <c r="D62" s="27">
        <v>29</v>
      </c>
      <c r="E62" s="27" t="s">
        <v>30</v>
      </c>
      <c r="F62" s="27">
        <v>1</v>
      </c>
      <c r="G62" s="27">
        <v>0</v>
      </c>
      <c r="H62" s="27">
        <v>0</v>
      </c>
      <c r="I62" s="27">
        <v>1</v>
      </c>
      <c r="J62" s="27">
        <v>0</v>
      </c>
      <c r="K62" s="27">
        <v>0</v>
      </c>
      <c r="L62" s="27">
        <v>0</v>
      </c>
      <c r="M62" s="27">
        <v>1</v>
      </c>
      <c r="N62" s="27">
        <v>1</v>
      </c>
      <c r="O62" s="27">
        <v>1</v>
      </c>
      <c r="P62" s="27">
        <v>0</v>
      </c>
      <c r="Q62" s="27">
        <v>0</v>
      </c>
      <c r="R62" s="27">
        <v>2</v>
      </c>
      <c r="S62" s="27">
        <v>0</v>
      </c>
      <c r="T62" s="27">
        <v>0</v>
      </c>
      <c r="U62" s="27">
        <v>1</v>
      </c>
      <c r="V62" s="27">
        <v>1</v>
      </c>
      <c r="W62" s="26">
        <v>1</v>
      </c>
    </row>
    <row r="63" spans="3:23">
      <c r="C63" s="8" t="s">
        <v>200</v>
      </c>
      <c r="D63" s="27">
        <v>30</v>
      </c>
      <c r="E63" s="27" t="s">
        <v>31</v>
      </c>
      <c r="F63" s="27">
        <v>0</v>
      </c>
      <c r="G63" s="27">
        <v>1</v>
      </c>
      <c r="H63" s="27">
        <v>1</v>
      </c>
      <c r="I63" s="27">
        <v>0</v>
      </c>
      <c r="J63" s="27">
        <v>1</v>
      </c>
      <c r="K63" s="27">
        <v>1</v>
      </c>
      <c r="L63" s="27">
        <v>1</v>
      </c>
      <c r="M63" s="27">
        <v>0</v>
      </c>
      <c r="N63" s="27">
        <v>1</v>
      </c>
      <c r="O63" s="27">
        <v>1</v>
      </c>
      <c r="P63" s="27">
        <v>0</v>
      </c>
      <c r="Q63" s="27">
        <v>0</v>
      </c>
      <c r="R63" s="27">
        <v>2</v>
      </c>
      <c r="S63" s="27">
        <v>1</v>
      </c>
      <c r="T63" s="27">
        <v>0</v>
      </c>
      <c r="U63" s="27">
        <v>0</v>
      </c>
      <c r="V63" s="27">
        <v>2</v>
      </c>
      <c r="W63" s="26">
        <v>1</v>
      </c>
    </row>
    <row r="64" spans="3:23">
      <c r="C64" s="8" t="s">
        <v>201</v>
      </c>
      <c r="D64" s="27">
        <v>31</v>
      </c>
      <c r="E64" s="27" t="s">
        <v>32</v>
      </c>
      <c r="F64" s="27">
        <v>0</v>
      </c>
      <c r="G64" s="27">
        <v>0</v>
      </c>
      <c r="H64" s="27">
        <v>1</v>
      </c>
      <c r="I64" s="27">
        <v>0</v>
      </c>
      <c r="J64" s="27">
        <v>0</v>
      </c>
      <c r="K64" s="27">
        <v>1</v>
      </c>
      <c r="L64" s="27">
        <v>0</v>
      </c>
      <c r="M64" s="27">
        <v>1</v>
      </c>
      <c r="N64" s="27">
        <v>1</v>
      </c>
      <c r="O64" s="27">
        <v>0</v>
      </c>
      <c r="P64" s="27">
        <v>0</v>
      </c>
      <c r="Q64" s="27">
        <v>1</v>
      </c>
      <c r="R64" s="27">
        <v>0</v>
      </c>
      <c r="S64" s="27">
        <v>1</v>
      </c>
      <c r="T64" s="27">
        <v>0</v>
      </c>
      <c r="U64" s="27">
        <v>0</v>
      </c>
      <c r="V64" s="27">
        <v>4</v>
      </c>
      <c r="W64" s="26">
        <v>1</v>
      </c>
    </row>
    <row r="65" spans="3:23">
      <c r="C65" s="8" t="s">
        <v>202</v>
      </c>
      <c r="D65" s="27">
        <v>32</v>
      </c>
      <c r="E65" s="27" t="s">
        <v>33</v>
      </c>
      <c r="F65" s="27">
        <v>1</v>
      </c>
      <c r="G65" s="27">
        <v>0</v>
      </c>
      <c r="H65" s="27">
        <v>0</v>
      </c>
      <c r="I65" s="27">
        <v>1</v>
      </c>
      <c r="J65" s="27">
        <v>0</v>
      </c>
      <c r="K65" s="27">
        <v>0</v>
      </c>
      <c r="L65" s="27">
        <v>0</v>
      </c>
      <c r="M65" s="27">
        <v>1</v>
      </c>
      <c r="N65" s="27">
        <v>1</v>
      </c>
      <c r="O65" s="27">
        <v>1</v>
      </c>
      <c r="P65" s="27">
        <v>0</v>
      </c>
      <c r="Q65" s="27">
        <v>0</v>
      </c>
      <c r="R65" s="27">
        <v>4</v>
      </c>
      <c r="S65" s="27">
        <v>1</v>
      </c>
      <c r="T65" s="27">
        <v>1</v>
      </c>
      <c r="U65" s="27">
        <v>0</v>
      </c>
      <c r="V65" s="27">
        <v>1</v>
      </c>
      <c r="W65" s="26">
        <v>1</v>
      </c>
    </row>
    <row r="66" spans="3:23">
      <c r="C66" s="8" t="s">
        <v>203</v>
      </c>
      <c r="D66" s="27">
        <v>33</v>
      </c>
      <c r="E66" s="27" t="s">
        <v>34</v>
      </c>
      <c r="F66" s="27">
        <v>1</v>
      </c>
      <c r="G66" s="27">
        <v>0</v>
      </c>
      <c r="H66" s="27">
        <v>0</v>
      </c>
      <c r="I66" s="27">
        <v>1</v>
      </c>
      <c r="J66" s="27">
        <v>0</v>
      </c>
      <c r="K66" s="27">
        <v>0</v>
      </c>
      <c r="L66" s="27">
        <v>0</v>
      </c>
      <c r="M66" s="27">
        <v>1</v>
      </c>
      <c r="N66" s="27">
        <v>1</v>
      </c>
      <c r="O66" s="27">
        <v>1</v>
      </c>
      <c r="P66" s="27">
        <v>0</v>
      </c>
      <c r="Q66" s="27">
        <v>0</v>
      </c>
      <c r="R66" s="27">
        <v>4</v>
      </c>
      <c r="S66" s="27">
        <v>1</v>
      </c>
      <c r="T66" s="27">
        <v>0</v>
      </c>
      <c r="U66" s="27">
        <v>0</v>
      </c>
      <c r="V66" s="27">
        <v>1</v>
      </c>
      <c r="W66" s="26">
        <v>1</v>
      </c>
    </row>
    <row r="67" spans="3:23">
      <c r="C67" s="8" t="s">
        <v>204</v>
      </c>
      <c r="D67" s="27">
        <v>34</v>
      </c>
      <c r="E67" s="27" t="s">
        <v>35</v>
      </c>
      <c r="F67" s="27">
        <v>0</v>
      </c>
      <c r="G67" s="27">
        <v>1</v>
      </c>
      <c r="H67" s="27">
        <v>1</v>
      </c>
      <c r="I67" s="27">
        <v>0</v>
      </c>
      <c r="J67" s="27">
        <v>1</v>
      </c>
      <c r="K67" s="27">
        <v>0</v>
      </c>
      <c r="L67" s="27">
        <v>1</v>
      </c>
      <c r="M67" s="27">
        <v>0</v>
      </c>
      <c r="N67" s="27">
        <v>1</v>
      </c>
      <c r="O67" s="27">
        <v>1</v>
      </c>
      <c r="P67" s="27">
        <v>0</v>
      </c>
      <c r="Q67" s="27">
        <v>0</v>
      </c>
      <c r="R67" s="27">
        <v>2</v>
      </c>
      <c r="S67" s="27">
        <v>1</v>
      </c>
      <c r="T67" s="27">
        <v>0</v>
      </c>
      <c r="U67" s="27">
        <v>0</v>
      </c>
      <c r="V67" s="27">
        <v>2</v>
      </c>
      <c r="W67" s="26">
        <v>1</v>
      </c>
    </row>
    <row r="68" spans="3:23">
      <c r="C68" s="8" t="s">
        <v>205</v>
      </c>
      <c r="D68" s="27">
        <v>35</v>
      </c>
      <c r="E68" s="27" t="s">
        <v>36</v>
      </c>
      <c r="F68" s="27">
        <v>0</v>
      </c>
      <c r="G68" s="27">
        <v>0</v>
      </c>
      <c r="H68" s="27">
        <v>1</v>
      </c>
      <c r="I68" s="27">
        <v>0</v>
      </c>
      <c r="J68" s="27">
        <v>0</v>
      </c>
      <c r="K68" s="27">
        <v>1</v>
      </c>
      <c r="L68" s="27">
        <v>1</v>
      </c>
      <c r="M68" s="27">
        <v>1</v>
      </c>
      <c r="N68" s="27">
        <v>1</v>
      </c>
      <c r="O68" s="27">
        <v>0</v>
      </c>
      <c r="P68" s="27">
        <v>0</v>
      </c>
      <c r="Q68" s="27">
        <v>1</v>
      </c>
      <c r="R68" s="27">
        <v>0</v>
      </c>
      <c r="S68" s="27">
        <v>1</v>
      </c>
      <c r="T68" s="27">
        <v>0</v>
      </c>
      <c r="U68" s="27">
        <v>0</v>
      </c>
      <c r="V68" s="27">
        <v>4</v>
      </c>
      <c r="W68" s="26">
        <v>1</v>
      </c>
    </row>
    <row r="69" spans="3:23">
      <c r="C69" s="8" t="s">
        <v>206</v>
      </c>
      <c r="D69" s="27">
        <v>36</v>
      </c>
      <c r="E69" s="27" t="s">
        <v>37</v>
      </c>
      <c r="F69" s="27">
        <v>1</v>
      </c>
      <c r="G69" s="27">
        <v>0</v>
      </c>
      <c r="H69" s="27">
        <v>1</v>
      </c>
      <c r="I69" s="27">
        <v>0</v>
      </c>
      <c r="J69" s="27">
        <v>1</v>
      </c>
      <c r="K69" s="27">
        <v>0</v>
      </c>
      <c r="L69" s="27">
        <v>0</v>
      </c>
      <c r="M69" s="27">
        <v>0</v>
      </c>
      <c r="N69" s="27">
        <v>0</v>
      </c>
      <c r="O69" s="27">
        <v>1</v>
      </c>
      <c r="P69" s="27">
        <v>1</v>
      </c>
      <c r="Q69" s="27">
        <v>0</v>
      </c>
      <c r="R69" s="27">
        <v>6</v>
      </c>
      <c r="S69" s="27">
        <v>0</v>
      </c>
      <c r="T69" s="27">
        <v>1</v>
      </c>
      <c r="U69" s="27">
        <v>0</v>
      </c>
      <c r="V69" s="27">
        <v>6</v>
      </c>
      <c r="W69" s="26">
        <v>1</v>
      </c>
    </row>
    <row r="70" spans="3:23">
      <c r="C70" s="8" t="s">
        <v>207</v>
      </c>
      <c r="D70" s="27">
        <v>37</v>
      </c>
      <c r="E70" s="27" t="s">
        <v>38</v>
      </c>
      <c r="F70" s="27">
        <v>1</v>
      </c>
      <c r="G70" s="27">
        <v>0</v>
      </c>
      <c r="H70" s="27">
        <v>1</v>
      </c>
      <c r="I70" s="27">
        <v>0</v>
      </c>
      <c r="J70" s="27">
        <v>1</v>
      </c>
      <c r="K70" s="27">
        <v>0</v>
      </c>
      <c r="L70" s="27">
        <v>0</v>
      </c>
      <c r="M70" s="27">
        <v>0</v>
      </c>
      <c r="N70" s="27">
        <v>0</v>
      </c>
      <c r="O70" s="27">
        <v>1</v>
      </c>
      <c r="P70" s="27">
        <v>0</v>
      </c>
      <c r="Q70" s="27">
        <v>0</v>
      </c>
      <c r="R70" s="27">
        <v>6</v>
      </c>
      <c r="S70" s="27">
        <v>0</v>
      </c>
      <c r="T70" s="27">
        <v>0</v>
      </c>
      <c r="U70" s="27">
        <v>0</v>
      </c>
      <c r="V70" s="27">
        <v>6</v>
      </c>
      <c r="W70" s="26">
        <v>1</v>
      </c>
    </row>
    <row r="71" spans="3:23">
      <c r="C71" s="8" t="s">
        <v>208</v>
      </c>
      <c r="D71" s="27">
        <v>38</v>
      </c>
      <c r="E71" s="27" t="s">
        <v>40</v>
      </c>
      <c r="F71" s="27">
        <v>0</v>
      </c>
      <c r="G71" s="27">
        <v>0</v>
      </c>
      <c r="H71" s="27">
        <v>1</v>
      </c>
      <c r="I71" s="27">
        <v>0</v>
      </c>
      <c r="J71" s="27">
        <v>1</v>
      </c>
      <c r="K71" s="27">
        <v>0</v>
      </c>
      <c r="L71" s="27">
        <v>1</v>
      </c>
      <c r="M71" s="27">
        <v>0</v>
      </c>
      <c r="N71" s="27">
        <v>0</v>
      </c>
      <c r="O71" s="27">
        <v>1</v>
      </c>
      <c r="P71" s="27">
        <v>0</v>
      </c>
      <c r="Q71" s="27">
        <v>0</v>
      </c>
      <c r="R71" s="27">
        <v>6</v>
      </c>
      <c r="S71" s="27">
        <v>0</v>
      </c>
      <c r="T71" s="27">
        <v>0</v>
      </c>
      <c r="U71" s="27">
        <v>0</v>
      </c>
      <c r="V71" s="27">
        <v>6</v>
      </c>
      <c r="W71" s="26">
        <v>1</v>
      </c>
    </row>
    <row r="72" spans="3:23">
      <c r="C72" s="8" t="s">
        <v>209</v>
      </c>
      <c r="D72" s="27">
        <v>39</v>
      </c>
      <c r="E72" s="27" t="s">
        <v>41</v>
      </c>
      <c r="F72" s="27">
        <v>0</v>
      </c>
      <c r="G72" s="27">
        <v>1</v>
      </c>
      <c r="H72" s="27">
        <v>1</v>
      </c>
      <c r="I72" s="27">
        <v>0</v>
      </c>
      <c r="J72" s="27">
        <v>1</v>
      </c>
      <c r="K72" s="27">
        <v>0</v>
      </c>
      <c r="L72" s="27">
        <v>0</v>
      </c>
      <c r="M72" s="27">
        <v>0</v>
      </c>
      <c r="N72" s="27">
        <v>1</v>
      </c>
      <c r="O72" s="27">
        <v>1</v>
      </c>
      <c r="P72" s="27">
        <v>0</v>
      </c>
      <c r="Q72" s="27">
        <v>0</v>
      </c>
      <c r="R72" s="27">
        <v>2</v>
      </c>
      <c r="S72" s="27">
        <v>1</v>
      </c>
      <c r="T72" s="27">
        <v>0</v>
      </c>
      <c r="U72" s="27">
        <v>0</v>
      </c>
      <c r="V72" s="27">
        <v>2</v>
      </c>
      <c r="W72" s="26">
        <v>1</v>
      </c>
    </row>
    <row r="73" spans="3:23">
      <c r="C73" s="8" t="s">
        <v>210</v>
      </c>
      <c r="D73" s="27">
        <v>40</v>
      </c>
      <c r="E73" s="27" t="s">
        <v>43</v>
      </c>
      <c r="F73" s="27">
        <v>1</v>
      </c>
      <c r="G73" s="27">
        <v>0</v>
      </c>
      <c r="H73" s="27">
        <v>0</v>
      </c>
      <c r="I73" s="27">
        <v>1</v>
      </c>
      <c r="J73" s="27">
        <v>0</v>
      </c>
      <c r="K73" s="27">
        <v>0</v>
      </c>
      <c r="L73" s="27">
        <v>1</v>
      </c>
      <c r="M73" s="27">
        <v>1</v>
      </c>
      <c r="N73" s="27">
        <v>1</v>
      </c>
      <c r="O73" s="27">
        <v>1</v>
      </c>
      <c r="P73" s="27">
        <v>0</v>
      </c>
      <c r="Q73" s="27">
        <v>0</v>
      </c>
      <c r="R73" s="27">
        <v>4</v>
      </c>
      <c r="S73" s="27">
        <v>1</v>
      </c>
      <c r="T73" s="27">
        <v>0</v>
      </c>
      <c r="U73" s="27">
        <v>1</v>
      </c>
      <c r="V73" s="27">
        <v>1</v>
      </c>
      <c r="W73" s="26">
        <v>1</v>
      </c>
    </row>
    <row r="74" spans="3:23">
      <c r="C74" s="8" t="s">
        <v>211</v>
      </c>
      <c r="D74" s="27">
        <v>41</v>
      </c>
      <c r="E74" s="27" t="s">
        <v>44</v>
      </c>
      <c r="F74" s="27">
        <v>0</v>
      </c>
      <c r="G74" s="27">
        <v>0</v>
      </c>
      <c r="H74" s="27">
        <v>1</v>
      </c>
      <c r="I74" s="27">
        <v>0</v>
      </c>
      <c r="J74" s="27">
        <v>0</v>
      </c>
      <c r="K74" s="27">
        <v>1</v>
      </c>
      <c r="L74" s="27">
        <v>1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6</v>
      </c>
      <c r="S74" s="27">
        <v>0</v>
      </c>
      <c r="T74" s="27">
        <v>0</v>
      </c>
      <c r="U74" s="27">
        <v>0</v>
      </c>
      <c r="V74" s="27">
        <v>7</v>
      </c>
      <c r="W74" s="26">
        <v>1</v>
      </c>
    </row>
    <row r="75" spans="3:23">
      <c r="C75" s="8" t="s">
        <v>212</v>
      </c>
      <c r="D75" s="27">
        <v>42</v>
      </c>
      <c r="E75" s="27" t="s">
        <v>45</v>
      </c>
      <c r="F75" s="27">
        <v>1</v>
      </c>
      <c r="G75" s="27">
        <v>0</v>
      </c>
      <c r="H75" s="27">
        <v>0</v>
      </c>
      <c r="I75" s="27">
        <v>1</v>
      </c>
      <c r="J75" s="27">
        <v>0</v>
      </c>
      <c r="K75" s="27">
        <v>0</v>
      </c>
      <c r="L75" s="27">
        <v>1</v>
      </c>
      <c r="M75" s="27">
        <v>1</v>
      </c>
      <c r="N75" s="27">
        <v>1</v>
      </c>
      <c r="O75" s="27">
        <v>1</v>
      </c>
      <c r="P75" s="27">
        <v>0</v>
      </c>
      <c r="Q75" s="27">
        <v>0</v>
      </c>
      <c r="R75" s="27">
        <v>4</v>
      </c>
      <c r="S75" s="27">
        <v>1</v>
      </c>
      <c r="T75" s="27">
        <v>0</v>
      </c>
      <c r="U75" s="27">
        <v>1</v>
      </c>
      <c r="V75" s="27">
        <v>1</v>
      </c>
      <c r="W75" s="26">
        <v>1</v>
      </c>
    </row>
    <row r="76" spans="3:23">
      <c r="C76" s="8" t="s">
        <v>213</v>
      </c>
      <c r="D76" s="27">
        <v>43</v>
      </c>
      <c r="E76" s="27" t="s">
        <v>46</v>
      </c>
      <c r="F76" s="27">
        <v>1</v>
      </c>
      <c r="G76" s="27">
        <v>0</v>
      </c>
      <c r="H76" s="27">
        <v>0</v>
      </c>
      <c r="I76" s="27">
        <v>1</v>
      </c>
      <c r="J76" s="27">
        <v>0</v>
      </c>
      <c r="K76" s="27">
        <v>1</v>
      </c>
      <c r="L76" s="27">
        <v>1</v>
      </c>
      <c r="M76" s="27">
        <v>1</v>
      </c>
      <c r="N76" s="27">
        <v>1</v>
      </c>
      <c r="O76" s="27">
        <v>1</v>
      </c>
      <c r="P76" s="27">
        <v>0</v>
      </c>
      <c r="Q76" s="27">
        <v>0</v>
      </c>
      <c r="R76" s="27">
        <v>4</v>
      </c>
      <c r="S76" s="27">
        <v>1</v>
      </c>
      <c r="T76" s="27">
        <v>0</v>
      </c>
      <c r="U76" s="27">
        <v>1</v>
      </c>
      <c r="V76" s="27">
        <v>1</v>
      </c>
      <c r="W76" s="26">
        <v>1</v>
      </c>
    </row>
    <row r="77" spans="3:23">
      <c r="C77" s="8" t="s">
        <v>214</v>
      </c>
      <c r="D77" s="27">
        <v>44</v>
      </c>
      <c r="E77" s="27" t="s">
        <v>47</v>
      </c>
      <c r="F77" s="27">
        <v>1</v>
      </c>
      <c r="G77" s="27">
        <v>0</v>
      </c>
      <c r="H77" s="27">
        <v>0</v>
      </c>
      <c r="I77" s="27">
        <v>1</v>
      </c>
      <c r="J77" s="27">
        <v>0</v>
      </c>
      <c r="K77" s="27">
        <v>0</v>
      </c>
      <c r="L77" s="27">
        <v>1</v>
      </c>
      <c r="M77" s="27">
        <v>1</v>
      </c>
      <c r="N77" s="27">
        <v>1</v>
      </c>
      <c r="O77" s="27">
        <v>1</v>
      </c>
      <c r="P77" s="27">
        <v>0</v>
      </c>
      <c r="Q77" s="27">
        <v>0</v>
      </c>
      <c r="R77" s="27">
        <v>4</v>
      </c>
      <c r="S77" s="27">
        <v>1</v>
      </c>
      <c r="T77" s="27">
        <v>0</v>
      </c>
      <c r="U77" s="27">
        <v>0</v>
      </c>
      <c r="V77" s="27">
        <v>1</v>
      </c>
      <c r="W77" s="26">
        <v>1</v>
      </c>
    </row>
    <row r="78" spans="3:23">
      <c r="C78" s="8" t="s">
        <v>215</v>
      </c>
      <c r="D78" s="27">
        <v>45</v>
      </c>
      <c r="E78" s="27" t="s">
        <v>48</v>
      </c>
      <c r="F78" s="27">
        <v>1</v>
      </c>
      <c r="G78" s="27">
        <v>0</v>
      </c>
      <c r="H78" s="27">
        <v>0</v>
      </c>
      <c r="I78" s="27">
        <v>1</v>
      </c>
      <c r="J78" s="27">
        <v>0</v>
      </c>
      <c r="K78" s="27">
        <v>0</v>
      </c>
      <c r="L78" s="27">
        <v>1</v>
      </c>
      <c r="M78" s="27">
        <v>1</v>
      </c>
      <c r="N78" s="27">
        <v>1</v>
      </c>
      <c r="O78" s="27">
        <v>1</v>
      </c>
      <c r="P78" s="27">
        <v>0</v>
      </c>
      <c r="Q78" s="27">
        <v>0</v>
      </c>
      <c r="R78" s="27">
        <v>4</v>
      </c>
      <c r="S78" s="27">
        <v>1</v>
      </c>
      <c r="T78" s="27">
        <v>0</v>
      </c>
      <c r="U78" s="27">
        <v>1</v>
      </c>
      <c r="V78" s="27">
        <v>1</v>
      </c>
      <c r="W78" s="26">
        <v>1</v>
      </c>
    </row>
    <row r="79" spans="3:23">
      <c r="C79" s="8" t="s">
        <v>216</v>
      </c>
      <c r="D79" s="27">
        <v>46</v>
      </c>
      <c r="E79" s="27" t="s">
        <v>49</v>
      </c>
      <c r="F79" s="27">
        <v>1</v>
      </c>
      <c r="G79" s="27">
        <v>0</v>
      </c>
      <c r="H79" s="27">
        <v>1</v>
      </c>
      <c r="I79" s="27">
        <v>0</v>
      </c>
      <c r="J79" s="27">
        <v>1</v>
      </c>
      <c r="K79" s="27">
        <v>0</v>
      </c>
      <c r="L79" s="27">
        <v>0</v>
      </c>
      <c r="M79" s="27">
        <v>0</v>
      </c>
      <c r="N79" s="27">
        <v>0</v>
      </c>
      <c r="O79" s="27">
        <v>1</v>
      </c>
      <c r="P79" s="27">
        <v>0</v>
      </c>
      <c r="Q79" s="27">
        <v>0</v>
      </c>
      <c r="R79" s="27">
        <v>6</v>
      </c>
      <c r="S79" s="27">
        <v>0</v>
      </c>
      <c r="T79" s="27">
        <v>0</v>
      </c>
      <c r="U79" s="27">
        <v>0</v>
      </c>
      <c r="V79" s="27">
        <v>6</v>
      </c>
      <c r="W79" s="26">
        <v>1</v>
      </c>
    </row>
    <row r="80" spans="3:23">
      <c r="C80" s="8" t="s">
        <v>217</v>
      </c>
      <c r="D80" s="27">
        <v>47</v>
      </c>
      <c r="E80" s="27" t="s">
        <v>50</v>
      </c>
      <c r="F80" s="27">
        <v>0</v>
      </c>
      <c r="G80" s="27">
        <v>0</v>
      </c>
      <c r="H80" s="27">
        <v>1</v>
      </c>
      <c r="I80" s="27">
        <v>0</v>
      </c>
      <c r="J80" s="27">
        <v>0</v>
      </c>
      <c r="K80" s="27">
        <v>1</v>
      </c>
      <c r="L80" s="27">
        <v>1</v>
      </c>
      <c r="M80" s="27">
        <v>1</v>
      </c>
      <c r="N80" s="27">
        <v>1</v>
      </c>
      <c r="O80" s="27">
        <v>1</v>
      </c>
      <c r="P80" s="27">
        <v>0</v>
      </c>
      <c r="Q80" s="27">
        <v>0</v>
      </c>
      <c r="R80" s="27">
        <v>4</v>
      </c>
      <c r="S80" s="27">
        <v>1</v>
      </c>
      <c r="T80" s="27">
        <v>0</v>
      </c>
      <c r="U80" s="27">
        <v>0</v>
      </c>
      <c r="V80" s="27">
        <v>5</v>
      </c>
      <c r="W80" s="26">
        <v>1</v>
      </c>
    </row>
    <row r="81" spans="3:23">
      <c r="C81" s="8" t="s">
        <v>218</v>
      </c>
      <c r="D81" s="27">
        <v>48</v>
      </c>
      <c r="E81" s="27" t="s">
        <v>52</v>
      </c>
      <c r="F81" s="27">
        <v>1</v>
      </c>
      <c r="G81" s="27">
        <v>0</v>
      </c>
      <c r="H81" s="27">
        <v>0</v>
      </c>
      <c r="I81" s="27">
        <v>1</v>
      </c>
      <c r="J81" s="27">
        <v>0</v>
      </c>
      <c r="K81" s="27">
        <v>0</v>
      </c>
      <c r="L81" s="27">
        <v>1</v>
      </c>
      <c r="M81" s="27">
        <v>1</v>
      </c>
      <c r="N81" s="27">
        <v>1</v>
      </c>
      <c r="O81" s="27">
        <v>1</v>
      </c>
      <c r="P81" s="27">
        <v>0</v>
      </c>
      <c r="Q81" s="27">
        <v>0</v>
      </c>
      <c r="R81" s="27">
        <v>4</v>
      </c>
      <c r="S81" s="27">
        <v>1</v>
      </c>
      <c r="T81" s="27">
        <v>0</v>
      </c>
      <c r="U81" s="27">
        <v>0</v>
      </c>
      <c r="V81" s="27">
        <v>1</v>
      </c>
      <c r="W81" s="26">
        <v>1</v>
      </c>
    </row>
    <row r="82" spans="3:23">
      <c r="C82" s="8" t="s">
        <v>219</v>
      </c>
      <c r="D82" s="27">
        <v>49</v>
      </c>
      <c r="E82" s="27" t="s">
        <v>53</v>
      </c>
      <c r="F82" s="27">
        <v>1</v>
      </c>
      <c r="G82" s="27">
        <v>0</v>
      </c>
      <c r="H82" s="27">
        <v>0</v>
      </c>
      <c r="I82" s="27">
        <v>1</v>
      </c>
      <c r="J82" s="27">
        <v>0</v>
      </c>
      <c r="K82" s="27">
        <v>0</v>
      </c>
      <c r="L82" s="27">
        <v>0</v>
      </c>
      <c r="M82" s="27">
        <v>1</v>
      </c>
      <c r="N82" s="27">
        <v>1</v>
      </c>
      <c r="O82" s="27">
        <v>1</v>
      </c>
      <c r="P82" s="27">
        <v>0</v>
      </c>
      <c r="Q82" s="27">
        <v>0</v>
      </c>
      <c r="R82" s="27">
        <v>4</v>
      </c>
      <c r="S82" s="27">
        <v>1</v>
      </c>
      <c r="T82" s="27">
        <v>0</v>
      </c>
      <c r="U82" s="27">
        <v>1</v>
      </c>
      <c r="V82" s="27">
        <v>1</v>
      </c>
      <c r="W82" s="26">
        <v>1</v>
      </c>
    </row>
    <row r="83" spans="3:23">
      <c r="C83" s="8" t="s">
        <v>220</v>
      </c>
      <c r="D83" s="27">
        <v>50</v>
      </c>
      <c r="E83" s="27" t="s">
        <v>54</v>
      </c>
      <c r="F83" s="27">
        <v>0</v>
      </c>
      <c r="G83" s="27">
        <v>1</v>
      </c>
      <c r="H83" s="27">
        <v>1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1</v>
      </c>
      <c r="O83" s="27">
        <v>1</v>
      </c>
      <c r="P83" s="27">
        <v>0</v>
      </c>
      <c r="Q83" s="27">
        <v>0</v>
      </c>
      <c r="R83" s="27">
        <v>2</v>
      </c>
      <c r="S83" s="27">
        <v>1</v>
      </c>
      <c r="T83" s="27">
        <v>0</v>
      </c>
      <c r="U83" s="27">
        <v>1</v>
      </c>
      <c r="V83" s="27">
        <v>2</v>
      </c>
      <c r="W83" s="26">
        <v>1</v>
      </c>
    </row>
    <row r="84" spans="3:23">
      <c r="C84" s="8" t="s">
        <v>221</v>
      </c>
      <c r="D84" s="27">
        <v>51</v>
      </c>
      <c r="E84" s="27" t="s">
        <v>55</v>
      </c>
      <c r="F84" s="27">
        <v>0</v>
      </c>
      <c r="G84" s="27">
        <v>1</v>
      </c>
      <c r="H84" s="27">
        <v>1</v>
      </c>
      <c r="I84" s="27">
        <v>0</v>
      </c>
      <c r="J84" s="27">
        <v>1</v>
      </c>
      <c r="K84" s="27">
        <v>0</v>
      </c>
      <c r="L84" s="27">
        <v>0</v>
      </c>
      <c r="M84" s="27">
        <v>0</v>
      </c>
      <c r="N84" s="27">
        <v>1</v>
      </c>
      <c r="O84" s="27">
        <v>1</v>
      </c>
      <c r="P84" s="27">
        <v>0</v>
      </c>
      <c r="Q84" s="27">
        <v>0</v>
      </c>
      <c r="R84" s="27">
        <v>2</v>
      </c>
      <c r="S84" s="27">
        <v>1</v>
      </c>
      <c r="T84" s="27">
        <v>1</v>
      </c>
      <c r="U84" s="27">
        <v>0</v>
      </c>
      <c r="V84" s="27">
        <v>2</v>
      </c>
      <c r="W84" s="26">
        <v>1</v>
      </c>
    </row>
    <row r="85" spans="3:23">
      <c r="C85" s="8" t="s">
        <v>222</v>
      </c>
      <c r="D85" s="27">
        <v>52</v>
      </c>
      <c r="E85" s="27" t="s">
        <v>57</v>
      </c>
      <c r="F85" s="27">
        <v>0</v>
      </c>
      <c r="G85" s="27">
        <v>1</v>
      </c>
      <c r="H85" s="27">
        <v>1</v>
      </c>
      <c r="I85" s="27">
        <v>0</v>
      </c>
      <c r="J85" s="27">
        <v>1</v>
      </c>
      <c r="K85" s="27">
        <v>0</v>
      </c>
      <c r="L85" s="27">
        <v>0</v>
      </c>
      <c r="M85" s="27">
        <v>0</v>
      </c>
      <c r="N85" s="27">
        <v>1</v>
      </c>
      <c r="O85" s="27">
        <v>1</v>
      </c>
      <c r="P85" s="27">
        <v>0</v>
      </c>
      <c r="Q85" s="27">
        <v>0</v>
      </c>
      <c r="R85" s="27">
        <v>2</v>
      </c>
      <c r="S85" s="27">
        <v>1</v>
      </c>
      <c r="T85" s="27">
        <v>0</v>
      </c>
      <c r="U85" s="27">
        <v>0</v>
      </c>
      <c r="V85" s="27">
        <v>2</v>
      </c>
      <c r="W85" s="26">
        <v>1</v>
      </c>
    </row>
    <row r="86" spans="3:23">
      <c r="C86" s="8" t="s">
        <v>223</v>
      </c>
      <c r="D86" s="27">
        <v>53</v>
      </c>
      <c r="E86" s="27" t="s">
        <v>58</v>
      </c>
      <c r="F86" s="27">
        <v>0</v>
      </c>
      <c r="G86" s="27">
        <v>0</v>
      </c>
      <c r="H86" s="27">
        <v>1</v>
      </c>
      <c r="I86" s="27">
        <v>0</v>
      </c>
      <c r="J86" s="27">
        <v>0</v>
      </c>
      <c r="K86" s="27">
        <v>1</v>
      </c>
      <c r="L86" s="27">
        <v>1</v>
      </c>
      <c r="M86" s="27">
        <v>1</v>
      </c>
      <c r="N86" s="27">
        <v>1</v>
      </c>
      <c r="O86" s="27">
        <v>0</v>
      </c>
      <c r="P86" s="27">
        <v>0</v>
      </c>
      <c r="Q86" s="27">
        <v>1</v>
      </c>
      <c r="R86" s="27">
        <v>0</v>
      </c>
      <c r="S86" s="27">
        <v>1</v>
      </c>
      <c r="T86" s="27">
        <v>0</v>
      </c>
      <c r="U86" s="27">
        <v>1</v>
      </c>
      <c r="V86" s="27">
        <v>4</v>
      </c>
      <c r="W86" s="26">
        <v>1</v>
      </c>
    </row>
    <row r="87" spans="3:23">
      <c r="C87" s="8" t="s">
        <v>224</v>
      </c>
      <c r="D87" s="27">
        <v>54</v>
      </c>
      <c r="E87" s="27" t="s">
        <v>59</v>
      </c>
      <c r="F87" s="27">
        <v>0</v>
      </c>
      <c r="G87" s="27">
        <v>0</v>
      </c>
      <c r="H87" s="27">
        <v>1</v>
      </c>
      <c r="I87" s="27">
        <v>0</v>
      </c>
      <c r="J87" s="27">
        <v>0</v>
      </c>
      <c r="K87" s="27">
        <v>1</v>
      </c>
      <c r="L87" s="27">
        <v>1</v>
      </c>
      <c r="M87" s="27">
        <v>1</v>
      </c>
      <c r="N87" s="27">
        <v>1</v>
      </c>
      <c r="O87" s="27">
        <v>0</v>
      </c>
      <c r="P87" s="27">
        <v>0</v>
      </c>
      <c r="Q87" s="27">
        <v>1</v>
      </c>
      <c r="R87" s="27">
        <v>0</v>
      </c>
      <c r="S87" s="27">
        <v>1</v>
      </c>
      <c r="T87" s="27">
        <v>0</v>
      </c>
      <c r="U87" s="27">
        <v>0</v>
      </c>
      <c r="V87" s="27">
        <v>4</v>
      </c>
      <c r="W87" s="26">
        <v>1</v>
      </c>
    </row>
    <row r="88" spans="3:23">
      <c r="C88" s="8" t="s">
        <v>225</v>
      </c>
      <c r="D88" s="27">
        <v>55</v>
      </c>
      <c r="E88" s="27" t="s">
        <v>60</v>
      </c>
      <c r="F88" s="27">
        <v>0</v>
      </c>
      <c r="G88" s="27">
        <v>0</v>
      </c>
      <c r="H88" s="27">
        <v>1</v>
      </c>
      <c r="I88" s="27">
        <v>0</v>
      </c>
      <c r="J88" s="27">
        <v>0</v>
      </c>
      <c r="K88" s="27">
        <v>0</v>
      </c>
      <c r="L88" s="27">
        <v>1</v>
      </c>
      <c r="M88" s="27">
        <v>1</v>
      </c>
      <c r="N88" s="27">
        <v>1</v>
      </c>
      <c r="O88" s="27">
        <v>1</v>
      </c>
      <c r="P88" s="27">
        <v>1</v>
      </c>
      <c r="Q88" s="27">
        <v>0</v>
      </c>
      <c r="R88" s="27">
        <v>0</v>
      </c>
      <c r="S88" s="27">
        <v>1</v>
      </c>
      <c r="T88" s="27">
        <v>0</v>
      </c>
      <c r="U88" s="27">
        <v>0</v>
      </c>
      <c r="V88" s="27">
        <v>3</v>
      </c>
      <c r="W88" s="26">
        <v>1</v>
      </c>
    </row>
    <row r="89" spans="3:23">
      <c r="C89" s="8" t="s">
        <v>226</v>
      </c>
      <c r="D89" s="27">
        <v>56</v>
      </c>
      <c r="E89" s="27" t="s">
        <v>61</v>
      </c>
      <c r="F89" s="27">
        <v>1</v>
      </c>
      <c r="G89" s="27">
        <v>0</v>
      </c>
      <c r="H89" s="27">
        <v>1</v>
      </c>
      <c r="I89" s="27">
        <v>1</v>
      </c>
      <c r="J89" s="27">
        <v>0</v>
      </c>
      <c r="K89" s="27">
        <v>1</v>
      </c>
      <c r="L89" s="27">
        <v>1</v>
      </c>
      <c r="M89" s="27">
        <v>0</v>
      </c>
      <c r="N89" s="27">
        <v>1</v>
      </c>
      <c r="O89" s="27">
        <v>1</v>
      </c>
      <c r="P89" s="27">
        <v>0</v>
      </c>
      <c r="Q89" s="27">
        <v>0</v>
      </c>
      <c r="R89" s="27">
        <v>4</v>
      </c>
      <c r="S89" s="27">
        <v>1</v>
      </c>
      <c r="T89" s="27">
        <v>0</v>
      </c>
      <c r="U89" s="27">
        <v>1</v>
      </c>
      <c r="V89" s="27">
        <v>1</v>
      </c>
      <c r="W89" s="26">
        <v>1</v>
      </c>
    </row>
    <row r="90" spans="3:23">
      <c r="C90" s="8" t="s">
        <v>227</v>
      </c>
      <c r="D90" s="27">
        <v>57</v>
      </c>
      <c r="E90" s="27" t="s">
        <v>62</v>
      </c>
      <c r="F90" s="27">
        <v>1</v>
      </c>
      <c r="G90" s="27">
        <v>0</v>
      </c>
      <c r="H90" s="27">
        <v>0</v>
      </c>
      <c r="I90" s="27">
        <v>1</v>
      </c>
      <c r="J90" s="27">
        <v>0</v>
      </c>
      <c r="K90" s="27">
        <v>0</v>
      </c>
      <c r="L90" s="27">
        <v>1</v>
      </c>
      <c r="M90" s="27">
        <v>1</v>
      </c>
      <c r="N90" s="27">
        <v>1</v>
      </c>
      <c r="O90" s="27">
        <v>1</v>
      </c>
      <c r="P90" s="27">
        <v>0</v>
      </c>
      <c r="Q90" s="27">
        <v>0</v>
      </c>
      <c r="R90" s="27">
        <v>4</v>
      </c>
      <c r="S90" s="27">
        <v>1</v>
      </c>
      <c r="T90" s="27">
        <v>0</v>
      </c>
      <c r="U90" s="27">
        <v>1</v>
      </c>
      <c r="V90" s="27">
        <v>1</v>
      </c>
      <c r="W90" s="26">
        <v>1</v>
      </c>
    </row>
    <row r="91" spans="3:23">
      <c r="C91" s="8" t="s">
        <v>228</v>
      </c>
      <c r="D91" s="27">
        <v>58</v>
      </c>
      <c r="E91" s="27" t="s">
        <v>63</v>
      </c>
      <c r="F91" s="27">
        <v>1</v>
      </c>
      <c r="G91" s="27">
        <v>0</v>
      </c>
      <c r="H91" s="27">
        <v>0</v>
      </c>
      <c r="I91" s="27">
        <v>1</v>
      </c>
      <c r="J91" s="27">
        <v>0</v>
      </c>
      <c r="K91" s="27">
        <v>0</v>
      </c>
      <c r="L91" s="27">
        <v>0</v>
      </c>
      <c r="M91" s="27">
        <v>1</v>
      </c>
      <c r="N91" s="27">
        <v>1</v>
      </c>
      <c r="O91" s="27">
        <v>1</v>
      </c>
      <c r="P91" s="27">
        <v>0</v>
      </c>
      <c r="Q91" s="27">
        <v>0</v>
      </c>
      <c r="R91" s="27">
        <v>4</v>
      </c>
      <c r="S91" s="27">
        <v>1</v>
      </c>
      <c r="T91" s="27">
        <v>1</v>
      </c>
      <c r="U91" s="27">
        <v>1</v>
      </c>
      <c r="V91" s="27">
        <v>1</v>
      </c>
      <c r="W91" s="26">
        <v>1</v>
      </c>
    </row>
    <row r="92" spans="3:23">
      <c r="C92" s="8" t="s">
        <v>229</v>
      </c>
      <c r="D92" s="27">
        <v>59</v>
      </c>
      <c r="E92" s="27" t="s">
        <v>64</v>
      </c>
      <c r="F92" s="27">
        <v>0</v>
      </c>
      <c r="G92" s="27">
        <v>0</v>
      </c>
      <c r="H92" s="27">
        <v>0</v>
      </c>
      <c r="I92" s="27">
        <v>1</v>
      </c>
      <c r="J92" s="27">
        <v>0</v>
      </c>
      <c r="K92" s="27">
        <v>1</v>
      </c>
      <c r="L92" s="27">
        <v>1</v>
      </c>
      <c r="M92" s="27">
        <v>1</v>
      </c>
      <c r="N92" s="27">
        <v>1</v>
      </c>
      <c r="O92" s="27">
        <v>1</v>
      </c>
      <c r="P92" s="27">
        <v>0</v>
      </c>
      <c r="Q92" s="27">
        <v>1</v>
      </c>
      <c r="R92" s="27">
        <v>0</v>
      </c>
      <c r="S92" s="27">
        <v>1</v>
      </c>
      <c r="T92" s="27">
        <v>0</v>
      </c>
      <c r="U92" s="27">
        <v>1</v>
      </c>
      <c r="V92" s="27">
        <v>1</v>
      </c>
      <c r="W92" s="26">
        <v>1</v>
      </c>
    </row>
    <row r="93" spans="3:23">
      <c r="C93" s="8" t="s">
        <v>230</v>
      </c>
      <c r="D93" s="27">
        <v>60</v>
      </c>
      <c r="E93" s="27" t="s">
        <v>65</v>
      </c>
      <c r="F93" s="27">
        <v>1</v>
      </c>
      <c r="G93" s="27">
        <v>0</v>
      </c>
      <c r="H93" s="27">
        <v>0</v>
      </c>
      <c r="I93" s="27">
        <v>1</v>
      </c>
      <c r="J93" s="27">
        <v>0</v>
      </c>
      <c r="K93" s="27">
        <v>0</v>
      </c>
      <c r="L93" s="27">
        <v>1</v>
      </c>
      <c r="M93" s="27">
        <v>1</v>
      </c>
      <c r="N93" s="27">
        <v>1</v>
      </c>
      <c r="O93" s="27">
        <v>1</v>
      </c>
      <c r="P93" s="27">
        <v>0</v>
      </c>
      <c r="Q93" s="27">
        <v>0</v>
      </c>
      <c r="R93" s="27">
        <v>4</v>
      </c>
      <c r="S93" s="27">
        <v>1</v>
      </c>
      <c r="T93" s="27">
        <v>0</v>
      </c>
      <c r="U93" s="27">
        <v>1</v>
      </c>
      <c r="V93" s="27">
        <v>1</v>
      </c>
      <c r="W93" s="26">
        <v>1</v>
      </c>
    </row>
    <row r="94" spans="3:23">
      <c r="C94" s="8" t="s">
        <v>231</v>
      </c>
      <c r="D94" s="27">
        <v>61</v>
      </c>
      <c r="E94" s="27" t="s">
        <v>115</v>
      </c>
      <c r="F94" s="27">
        <v>1</v>
      </c>
      <c r="G94" s="27">
        <v>0</v>
      </c>
      <c r="H94" s="27">
        <v>0</v>
      </c>
      <c r="I94" s="27">
        <v>1</v>
      </c>
      <c r="J94" s="27">
        <v>0</v>
      </c>
      <c r="K94" s="27">
        <v>0</v>
      </c>
      <c r="L94" s="27">
        <v>1</v>
      </c>
      <c r="M94" s="27">
        <v>1</v>
      </c>
      <c r="N94" s="27">
        <v>1</v>
      </c>
      <c r="O94" s="27">
        <v>1</v>
      </c>
      <c r="P94" s="27">
        <v>0</v>
      </c>
      <c r="Q94" s="27">
        <v>0</v>
      </c>
      <c r="R94" s="27">
        <v>4</v>
      </c>
      <c r="S94" s="27">
        <v>1</v>
      </c>
      <c r="T94" s="27">
        <v>1</v>
      </c>
      <c r="U94" s="27">
        <v>1</v>
      </c>
      <c r="V94" s="27">
        <v>1</v>
      </c>
      <c r="W94" s="26">
        <v>1</v>
      </c>
    </row>
    <row r="95" spans="3:23">
      <c r="C95" s="8" t="s">
        <v>232</v>
      </c>
      <c r="D95" s="27">
        <v>62</v>
      </c>
      <c r="E95" s="27" t="s">
        <v>66</v>
      </c>
      <c r="F95" s="27">
        <v>1</v>
      </c>
      <c r="G95" s="27">
        <v>0</v>
      </c>
      <c r="H95" s="27">
        <v>0</v>
      </c>
      <c r="I95" s="27">
        <v>1</v>
      </c>
      <c r="J95" s="27">
        <v>0</v>
      </c>
      <c r="K95" s="27">
        <v>0</v>
      </c>
      <c r="L95" s="27">
        <v>1</v>
      </c>
      <c r="M95" s="27">
        <v>1</v>
      </c>
      <c r="N95" s="27">
        <v>1</v>
      </c>
      <c r="O95" s="27">
        <v>1</v>
      </c>
      <c r="P95" s="27">
        <v>0</v>
      </c>
      <c r="Q95" s="27">
        <v>0</v>
      </c>
      <c r="R95" s="27">
        <v>4</v>
      </c>
      <c r="S95" s="27">
        <v>1</v>
      </c>
      <c r="T95" s="27">
        <v>0</v>
      </c>
      <c r="U95" s="27">
        <v>1</v>
      </c>
      <c r="V95" s="27">
        <v>1</v>
      </c>
      <c r="W95" s="26">
        <v>1</v>
      </c>
    </row>
    <row r="96" spans="3:23">
      <c r="C96" s="8" t="s">
        <v>233</v>
      </c>
      <c r="D96" s="27">
        <v>63</v>
      </c>
      <c r="E96" s="27" t="s">
        <v>67</v>
      </c>
      <c r="F96" s="27">
        <v>1</v>
      </c>
      <c r="G96" s="27">
        <v>0</v>
      </c>
      <c r="H96" s="27">
        <v>0</v>
      </c>
      <c r="I96" s="27">
        <v>1</v>
      </c>
      <c r="J96" s="27">
        <v>0</v>
      </c>
      <c r="K96" s="27">
        <v>0</v>
      </c>
      <c r="L96" s="27">
        <v>0</v>
      </c>
      <c r="M96" s="27">
        <v>1</v>
      </c>
      <c r="N96" s="27">
        <v>1</v>
      </c>
      <c r="O96" s="27">
        <v>1</v>
      </c>
      <c r="P96" s="27">
        <v>0</v>
      </c>
      <c r="Q96" s="27">
        <v>0</v>
      </c>
      <c r="R96" s="27">
        <v>4</v>
      </c>
      <c r="S96" s="27">
        <v>1</v>
      </c>
      <c r="T96" s="27">
        <v>1</v>
      </c>
      <c r="U96" s="27">
        <v>1</v>
      </c>
      <c r="V96" s="27">
        <v>1</v>
      </c>
      <c r="W96" s="26">
        <v>1</v>
      </c>
    </row>
    <row r="97" spans="3:23">
      <c r="C97" s="8" t="s">
        <v>234</v>
      </c>
      <c r="D97" s="27">
        <v>64</v>
      </c>
      <c r="E97" s="27" t="s">
        <v>68</v>
      </c>
      <c r="F97" s="27">
        <v>0</v>
      </c>
      <c r="G97" s="27">
        <v>1</v>
      </c>
      <c r="H97" s="27">
        <v>1</v>
      </c>
      <c r="I97" s="27">
        <v>0</v>
      </c>
      <c r="J97" s="27">
        <v>0</v>
      </c>
      <c r="K97" s="27">
        <v>0</v>
      </c>
      <c r="L97" s="27">
        <v>1</v>
      </c>
      <c r="M97" s="27">
        <v>0</v>
      </c>
      <c r="N97" s="27">
        <v>1</v>
      </c>
      <c r="O97" s="27">
        <v>1</v>
      </c>
      <c r="P97" s="27">
        <v>0</v>
      </c>
      <c r="Q97" s="27">
        <v>0</v>
      </c>
      <c r="R97" s="27">
        <v>2</v>
      </c>
      <c r="S97" s="27">
        <v>1</v>
      </c>
      <c r="T97" s="27">
        <v>0</v>
      </c>
      <c r="U97" s="27">
        <v>1</v>
      </c>
      <c r="V97" s="27">
        <v>2</v>
      </c>
      <c r="W97" s="26">
        <v>1</v>
      </c>
    </row>
    <row r="98" spans="3:23">
      <c r="C98" s="8" t="s">
        <v>235</v>
      </c>
      <c r="D98" s="27">
        <v>65</v>
      </c>
      <c r="E98" s="27" t="s">
        <v>69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1</v>
      </c>
      <c r="M98" s="27">
        <v>0</v>
      </c>
      <c r="N98" s="27">
        <v>0</v>
      </c>
      <c r="O98" s="27">
        <v>1</v>
      </c>
      <c r="P98" s="27">
        <v>1</v>
      </c>
      <c r="Q98" s="27">
        <v>0</v>
      </c>
      <c r="R98" s="27">
        <v>8</v>
      </c>
      <c r="S98" s="27">
        <v>1</v>
      </c>
      <c r="T98" s="27">
        <v>0</v>
      </c>
      <c r="U98" s="27">
        <v>0</v>
      </c>
      <c r="V98" s="27">
        <v>7</v>
      </c>
      <c r="W98" s="26">
        <v>1</v>
      </c>
    </row>
    <row r="99" spans="3:23">
      <c r="C99" s="8" t="s">
        <v>236</v>
      </c>
      <c r="D99" s="27">
        <v>66</v>
      </c>
      <c r="E99" s="27" t="s">
        <v>70</v>
      </c>
      <c r="F99" s="27">
        <v>0</v>
      </c>
      <c r="G99" s="27">
        <v>0</v>
      </c>
      <c r="H99" s="27">
        <v>1</v>
      </c>
      <c r="I99" s="27">
        <v>0</v>
      </c>
      <c r="J99" s="27">
        <v>0</v>
      </c>
      <c r="K99" s="27">
        <v>1</v>
      </c>
      <c r="L99" s="27">
        <v>0</v>
      </c>
      <c r="M99" s="27">
        <v>1</v>
      </c>
      <c r="N99" s="27">
        <v>1</v>
      </c>
      <c r="O99" s="27">
        <v>0</v>
      </c>
      <c r="P99" s="27">
        <v>0</v>
      </c>
      <c r="Q99" s="27">
        <v>1</v>
      </c>
      <c r="R99" s="27">
        <v>0</v>
      </c>
      <c r="S99" s="27">
        <v>1</v>
      </c>
      <c r="T99" s="27">
        <v>0</v>
      </c>
      <c r="U99" s="27">
        <v>0</v>
      </c>
      <c r="V99" s="27">
        <v>4</v>
      </c>
      <c r="W99" s="26">
        <v>1</v>
      </c>
    </row>
    <row r="100" spans="3:23">
      <c r="C100" s="8" t="s">
        <v>237</v>
      </c>
      <c r="D100" s="27">
        <v>67</v>
      </c>
      <c r="E100" s="27" t="s">
        <v>71</v>
      </c>
      <c r="F100" s="27">
        <v>1</v>
      </c>
      <c r="G100" s="27">
        <v>0</v>
      </c>
      <c r="H100" s="27">
        <v>0</v>
      </c>
      <c r="I100" s="27">
        <v>1</v>
      </c>
      <c r="J100" s="27">
        <v>0</v>
      </c>
      <c r="K100" s="27">
        <v>1</v>
      </c>
      <c r="L100" s="27">
        <v>1</v>
      </c>
      <c r="M100" s="27">
        <v>1</v>
      </c>
      <c r="N100" s="27">
        <v>1</v>
      </c>
      <c r="O100" s="27">
        <v>1</v>
      </c>
      <c r="P100" s="27">
        <v>0</v>
      </c>
      <c r="Q100" s="27">
        <v>1</v>
      </c>
      <c r="R100" s="27">
        <v>0</v>
      </c>
      <c r="S100" s="27">
        <v>0</v>
      </c>
      <c r="T100" s="27">
        <v>0</v>
      </c>
      <c r="U100" s="27">
        <v>1</v>
      </c>
      <c r="V100" s="27">
        <v>1</v>
      </c>
      <c r="W100" s="26">
        <v>1</v>
      </c>
    </row>
    <row r="101" spans="3:23">
      <c r="C101" s="8" t="s">
        <v>238</v>
      </c>
      <c r="D101" s="27">
        <v>68</v>
      </c>
      <c r="E101" s="27" t="s">
        <v>72</v>
      </c>
      <c r="F101" s="27">
        <v>1</v>
      </c>
      <c r="G101" s="27">
        <v>0</v>
      </c>
      <c r="H101" s="27">
        <v>0</v>
      </c>
      <c r="I101" s="27">
        <v>1</v>
      </c>
      <c r="J101" s="27">
        <v>0</v>
      </c>
      <c r="K101" s="27">
        <v>1</v>
      </c>
      <c r="L101" s="27">
        <v>1</v>
      </c>
      <c r="M101" s="27">
        <v>1</v>
      </c>
      <c r="N101" s="27">
        <v>1</v>
      </c>
      <c r="O101" s="27">
        <v>1</v>
      </c>
      <c r="P101" s="27">
        <v>0</v>
      </c>
      <c r="Q101" s="27">
        <v>1</v>
      </c>
      <c r="R101" s="27">
        <v>2</v>
      </c>
      <c r="S101" s="27">
        <v>1</v>
      </c>
      <c r="T101" s="27">
        <v>0</v>
      </c>
      <c r="U101" s="27">
        <v>1</v>
      </c>
      <c r="V101" s="27">
        <v>1</v>
      </c>
      <c r="W101" s="26">
        <v>1</v>
      </c>
    </row>
    <row r="102" spans="3:23">
      <c r="C102" s="8" t="s">
        <v>239</v>
      </c>
      <c r="D102" s="27">
        <v>69</v>
      </c>
      <c r="E102" s="27" t="s">
        <v>73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1</v>
      </c>
      <c r="L102" s="27">
        <v>1</v>
      </c>
      <c r="M102" s="27">
        <v>1</v>
      </c>
      <c r="N102" s="27">
        <v>1</v>
      </c>
      <c r="O102" s="27">
        <v>0</v>
      </c>
      <c r="P102" s="27">
        <v>1</v>
      </c>
      <c r="Q102" s="27">
        <v>0</v>
      </c>
      <c r="R102" s="27">
        <v>0</v>
      </c>
      <c r="S102" s="27">
        <v>1</v>
      </c>
      <c r="T102" s="27">
        <v>0</v>
      </c>
      <c r="U102" s="27">
        <v>0</v>
      </c>
      <c r="V102" s="27">
        <v>3</v>
      </c>
      <c r="W102" s="26">
        <v>1</v>
      </c>
    </row>
    <row r="103" spans="3:23">
      <c r="C103" s="8" t="s">
        <v>240</v>
      </c>
      <c r="D103" s="27">
        <v>70</v>
      </c>
      <c r="E103" s="27" t="s">
        <v>74</v>
      </c>
      <c r="F103" s="27">
        <v>0</v>
      </c>
      <c r="G103" s="27">
        <v>0</v>
      </c>
      <c r="H103" s="27">
        <v>1</v>
      </c>
      <c r="I103" s="27">
        <v>0</v>
      </c>
      <c r="J103" s="27">
        <v>0</v>
      </c>
      <c r="K103" s="27">
        <v>1</v>
      </c>
      <c r="L103" s="27">
        <v>1</v>
      </c>
      <c r="M103" s="27">
        <v>0</v>
      </c>
      <c r="N103" s="27">
        <v>0</v>
      </c>
      <c r="O103" s="27">
        <v>0</v>
      </c>
      <c r="P103" s="27">
        <v>1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  <c r="V103" s="27">
        <v>7</v>
      </c>
      <c r="W103" s="26">
        <v>1</v>
      </c>
    </row>
    <row r="104" spans="3:23">
      <c r="C104" s="8" t="s">
        <v>241</v>
      </c>
      <c r="D104" s="27">
        <v>71</v>
      </c>
      <c r="E104" s="27" t="s">
        <v>75</v>
      </c>
      <c r="F104" s="27">
        <v>0</v>
      </c>
      <c r="G104" s="27">
        <v>1</v>
      </c>
      <c r="H104" s="27">
        <v>1</v>
      </c>
      <c r="I104" s="27">
        <v>0</v>
      </c>
      <c r="J104" s="27">
        <v>1</v>
      </c>
      <c r="K104" s="27">
        <v>1</v>
      </c>
      <c r="L104" s="27">
        <v>1</v>
      </c>
      <c r="M104" s="27">
        <v>0</v>
      </c>
      <c r="N104" s="27">
        <v>1</v>
      </c>
      <c r="O104" s="27">
        <v>1</v>
      </c>
      <c r="P104" s="27">
        <v>0</v>
      </c>
      <c r="Q104" s="27">
        <v>0</v>
      </c>
      <c r="R104" s="27">
        <v>2</v>
      </c>
      <c r="S104" s="27">
        <v>1</v>
      </c>
      <c r="T104" s="27">
        <v>0</v>
      </c>
      <c r="U104" s="27">
        <v>0</v>
      </c>
      <c r="V104" s="27">
        <v>2</v>
      </c>
      <c r="W104" s="26">
        <v>1</v>
      </c>
    </row>
    <row r="105" spans="3:23">
      <c r="C105" s="8" t="s">
        <v>242</v>
      </c>
      <c r="D105" s="27">
        <v>72</v>
      </c>
      <c r="E105" s="27" t="s">
        <v>76</v>
      </c>
      <c r="F105" s="27">
        <v>0</v>
      </c>
      <c r="G105" s="27">
        <v>1</v>
      </c>
      <c r="H105" s="27">
        <v>1</v>
      </c>
      <c r="I105" s="27">
        <v>0</v>
      </c>
      <c r="J105" s="27">
        <v>1</v>
      </c>
      <c r="K105" s="27">
        <v>1</v>
      </c>
      <c r="L105" s="27">
        <v>1</v>
      </c>
      <c r="M105" s="27">
        <v>0</v>
      </c>
      <c r="N105" s="27">
        <v>1</v>
      </c>
      <c r="O105" s="27">
        <v>1</v>
      </c>
      <c r="P105" s="27">
        <v>0</v>
      </c>
      <c r="Q105" s="27">
        <v>0</v>
      </c>
      <c r="R105" s="27">
        <v>2</v>
      </c>
      <c r="S105" s="27">
        <v>1</v>
      </c>
      <c r="T105" s="27">
        <v>0</v>
      </c>
      <c r="U105" s="27">
        <v>0</v>
      </c>
      <c r="V105" s="27">
        <v>2</v>
      </c>
      <c r="W105" s="26">
        <v>1</v>
      </c>
    </row>
    <row r="106" spans="3:23">
      <c r="C106" s="8" t="s">
        <v>243</v>
      </c>
      <c r="D106" s="27">
        <v>73</v>
      </c>
      <c r="E106" s="27" t="s">
        <v>77</v>
      </c>
      <c r="F106" s="27">
        <v>0</v>
      </c>
      <c r="G106" s="27">
        <v>0</v>
      </c>
      <c r="H106" s="27">
        <v>1</v>
      </c>
      <c r="I106" s="27">
        <v>0</v>
      </c>
      <c r="J106" s="27">
        <v>0</v>
      </c>
      <c r="K106" s="27">
        <v>0</v>
      </c>
      <c r="L106" s="27">
        <v>1</v>
      </c>
      <c r="M106" s="27">
        <v>1</v>
      </c>
      <c r="N106" s="27">
        <v>1</v>
      </c>
      <c r="O106" s="27">
        <v>1</v>
      </c>
      <c r="P106" s="27">
        <v>0</v>
      </c>
      <c r="Q106" s="27">
        <v>0</v>
      </c>
      <c r="R106" s="27">
        <v>0</v>
      </c>
      <c r="S106" s="27">
        <v>1</v>
      </c>
      <c r="T106" s="27">
        <v>0</v>
      </c>
      <c r="U106" s="27">
        <v>0</v>
      </c>
      <c r="V106" s="27">
        <v>3</v>
      </c>
      <c r="W106" s="26">
        <v>1</v>
      </c>
    </row>
    <row r="107" spans="3:23">
      <c r="C107" s="8" t="s">
        <v>244</v>
      </c>
      <c r="D107" s="27">
        <v>74</v>
      </c>
      <c r="E107" s="27" t="s">
        <v>78</v>
      </c>
      <c r="F107" s="27">
        <v>0</v>
      </c>
      <c r="G107" s="27">
        <v>0</v>
      </c>
      <c r="H107" s="27">
        <v>1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1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  <c r="V107" s="27">
        <v>7</v>
      </c>
      <c r="W107" s="26">
        <v>1</v>
      </c>
    </row>
    <row r="108" spans="3:23">
      <c r="C108" s="8" t="s">
        <v>245</v>
      </c>
      <c r="D108" s="27">
        <v>75</v>
      </c>
      <c r="E108" s="27" t="s">
        <v>79</v>
      </c>
      <c r="F108" s="27">
        <v>0</v>
      </c>
      <c r="G108" s="27">
        <v>0</v>
      </c>
      <c r="H108" s="27">
        <v>1</v>
      </c>
      <c r="I108" s="27">
        <v>0</v>
      </c>
      <c r="J108" s="27">
        <v>0</v>
      </c>
      <c r="K108" s="27">
        <v>1</v>
      </c>
      <c r="L108" s="27">
        <v>0</v>
      </c>
      <c r="M108" s="27">
        <v>1</v>
      </c>
      <c r="N108" s="27">
        <v>1</v>
      </c>
      <c r="O108" s="27">
        <v>0</v>
      </c>
      <c r="P108" s="27">
        <v>0</v>
      </c>
      <c r="Q108" s="27">
        <v>1</v>
      </c>
      <c r="R108" s="27">
        <v>0</v>
      </c>
      <c r="S108" s="27">
        <v>1</v>
      </c>
      <c r="T108" s="27">
        <v>0</v>
      </c>
      <c r="U108" s="27">
        <v>0</v>
      </c>
      <c r="V108" s="27">
        <v>4</v>
      </c>
      <c r="W108" s="26">
        <v>1</v>
      </c>
    </row>
    <row r="109" spans="3:23">
      <c r="C109" s="8" t="s">
        <v>246</v>
      </c>
      <c r="D109" s="27">
        <v>76</v>
      </c>
      <c r="E109" s="27" t="s">
        <v>80</v>
      </c>
      <c r="F109" s="27">
        <v>0</v>
      </c>
      <c r="G109" s="27">
        <v>1</v>
      </c>
      <c r="H109" s="27">
        <v>1</v>
      </c>
      <c r="I109" s="27">
        <v>0</v>
      </c>
      <c r="J109" s="27">
        <v>1</v>
      </c>
      <c r="K109" s="27">
        <v>0</v>
      </c>
      <c r="L109" s="27">
        <v>0</v>
      </c>
      <c r="M109" s="27">
        <v>0</v>
      </c>
      <c r="N109" s="27">
        <v>1</v>
      </c>
      <c r="O109" s="27">
        <v>1</v>
      </c>
      <c r="P109" s="27">
        <v>0</v>
      </c>
      <c r="Q109" s="27">
        <v>0</v>
      </c>
      <c r="R109" s="27">
        <v>2</v>
      </c>
      <c r="S109" s="27">
        <v>1</v>
      </c>
      <c r="T109" s="27">
        <v>0</v>
      </c>
      <c r="U109" s="27">
        <v>0</v>
      </c>
      <c r="V109" s="27">
        <v>2</v>
      </c>
      <c r="W109" s="26">
        <v>1</v>
      </c>
    </row>
    <row r="110" spans="3:23">
      <c r="C110" s="8" t="s">
        <v>247</v>
      </c>
      <c r="D110" s="27">
        <v>77</v>
      </c>
      <c r="E110" s="27" t="s">
        <v>81</v>
      </c>
      <c r="F110" s="27">
        <v>1</v>
      </c>
      <c r="G110" s="27">
        <v>0</v>
      </c>
      <c r="H110" s="27">
        <v>0</v>
      </c>
      <c r="I110" s="27">
        <v>1</v>
      </c>
      <c r="J110" s="27">
        <v>0</v>
      </c>
      <c r="K110" s="27">
        <v>0</v>
      </c>
      <c r="L110" s="27">
        <v>0</v>
      </c>
      <c r="M110" s="27">
        <v>1</v>
      </c>
      <c r="N110" s="27">
        <v>1</v>
      </c>
      <c r="O110" s="27">
        <v>1</v>
      </c>
      <c r="P110" s="27">
        <v>0</v>
      </c>
      <c r="Q110" s="27">
        <v>0</v>
      </c>
      <c r="R110" s="27">
        <v>2</v>
      </c>
      <c r="S110" s="27">
        <v>1</v>
      </c>
      <c r="T110" s="27">
        <v>0</v>
      </c>
      <c r="U110" s="27">
        <v>0</v>
      </c>
      <c r="V110" s="27">
        <v>1</v>
      </c>
      <c r="W110" s="26">
        <v>1</v>
      </c>
    </row>
    <row r="111" spans="3:23">
      <c r="C111" s="8" t="s">
        <v>248</v>
      </c>
      <c r="D111" s="27">
        <v>78</v>
      </c>
      <c r="E111" s="27" t="s">
        <v>83</v>
      </c>
      <c r="F111" s="27">
        <v>0</v>
      </c>
      <c r="G111" s="27">
        <v>0</v>
      </c>
      <c r="H111" s="27">
        <v>1</v>
      </c>
      <c r="I111" s="27">
        <v>0</v>
      </c>
      <c r="J111" s="27">
        <v>0</v>
      </c>
      <c r="K111" s="27">
        <v>1</v>
      </c>
      <c r="L111" s="27">
        <v>1</v>
      </c>
      <c r="M111" s="27">
        <v>1</v>
      </c>
      <c r="N111" s="27">
        <v>1</v>
      </c>
      <c r="O111" s="27">
        <v>0</v>
      </c>
      <c r="P111" s="27">
        <v>1</v>
      </c>
      <c r="Q111" s="27">
        <v>1</v>
      </c>
      <c r="R111" s="27">
        <v>0</v>
      </c>
      <c r="S111" s="27">
        <v>1</v>
      </c>
      <c r="T111" s="27">
        <v>0</v>
      </c>
      <c r="U111" s="27">
        <v>1</v>
      </c>
      <c r="V111" s="27">
        <v>4</v>
      </c>
      <c r="W111" s="26">
        <v>1</v>
      </c>
    </row>
    <row r="112" spans="3:23">
      <c r="C112" s="8" t="s">
        <v>249</v>
      </c>
      <c r="D112" s="27">
        <v>79</v>
      </c>
      <c r="E112" s="27" t="s">
        <v>84</v>
      </c>
      <c r="F112" s="27">
        <v>0</v>
      </c>
      <c r="G112" s="27">
        <v>1</v>
      </c>
      <c r="H112" s="27">
        <v>1</v>
      </c>
      <c r="I112" s="27">
        <v>0</v>
      </c>
      <c r="J112" s="27">
        <v>1</v>
      </c>
      <c r="K112" s="27">
        <v>1</v>
      </c>
      <c r="L112" s="27">
        <v>0</v>
      </c>
      <c r="M112" s="27">
        <v>0</v>
      </c>
      <c r="N112" s="27">
        <v>1</v>
      </c>
      <c r="O112" s="27">
        <v>1</v>
      </c>
      <c r="P112" s="27">
        <v>0</v>
      </c>
      <c r="Q112" s="27">
        <v>0</v>
      </c>
      <c r="R112" s="27">
        <v>2</v>
      </c>
      <c r="S112" s="27">
        <v>1</v>
      </c>
      <c r="T112" s="27">
        <v>0</v>
      </c>
      <c r="U112" s="27">
        <v>1</v>
      </c>
      <c r="V112" s="27">
        <v>2</v>
      </c>
      <c r="W112" s="26">
        <v>1</v>
      </c>
    </row>
    <row r="113" spans="3:23">
      <c r="C113" s="8" t="s">
        <v>250</v>
      </c>
      <c r="D113" s="27">
        <v>80</v>
      </c>
      <c r="E113" s="27" t="s">
        <v>85</v>
      </c>
      <c r="F113" s="27">
        <v>0</v>
      </c>
      <c r="G113" s="27">
        <v>0</v>
      </c>
      <c r="H113" s="27">
        <v>1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1</v>
      </c>
      <c r="P113" s="27">
        <v>0</v>
      </c>
      <c r="Q113" s="27">
        <v>0</v>
      </c>
      <c r="R113" s="27">
        <v>6</v>
      </c>
      <c r="S113" s="27">
        <v>0</v>
      </c>
      <c r="T113" s="27">
        <v>0</v>
      </c>
      <c r="U113" s="27">
        <v>0</v>
      </c>
      <c r="V113" s="27">
        <v>6</v>
      </c>
      <c r="W113" s="26">
        <v>1</v>
      </c>
    </row>
    <row r="114" spans="3:23">
      <c r="C114" s="8" t="s">
        <v>251</v>
      </c>
      <c r="D114" s="27">
        <v>81</v>
      </c>
      <c r="E114" s="27" t="s">
        <v>86</v>
      </c>
      <c r="F114" s="27">
        <v>0</v>
      </c>
      <c r="G114" s="27">
        <v>0</v>
      </c>
      <c r="H114" s="27">
        <v>1</v>
      </c>
      <c r="I114" s="27">
        <v>0</v>
      </c>
      <c r="J114" s="27">
        <v>0</v>
      </c>
      <c r="K114" s="27">
        <v>1</v>
      </c>
      <c r="L114" s="27">
        <v>0</v>
      </c>
      <c r="M114" s="27">
        <v>1</v>
      </c>
      <c r="N114" s="27">
        <v>1</v>
      </c>
      <c r="O114" s="27">
        <v>1</v>
      </c>
      <c r="P114" s="27">
        <v>0</v>
      </c>
      <c r="Q114" s="27">
        <v>0</v>
      </c>
      <c r="R114" s="27">
        <v>4</v>
      </c>
      <c r="S114" s="27">
        <v>0</v>
      </c>
      <c r="T114" s="27">
        <v>0</v>
      </c>
      <c r="U114" s="27">
        <v>0</v>
      </c>
      <c r="V114" s="27">
        <v>5</v>
      </c>
      <c r="W114" s="26">
        <v>1</v>
      </c>
    </row>
    <row r="115" spans="3:23">
      <c r="C115" s="8" t="s">
        <v>252</v>
      </c>
      <c r="D115" s="27">
        <v>82</v>
      </c>
      <c r="E115" s="27" t="s">
        <v>87</v>
      </c>
      <c r="F115" s="27">
        <v>0</v>
      </c>
      <c r="G115" s="27">
        <v>0</v>
      </c>
      <c r="H115" s="27">
        <v>1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1</v>
      </c>
      <c r="O115" s="27">
        <v>1</v>
      </c>
      <c r="P115" s="27">
        <v>0</v>
      </c>
      <c r="Q115" s="27">
        <v>0</v>
      </c>
      <c r="R115" s="27">
        <v>4</v>
      </c>
      <c r="S115" s="27">
        <v>1</v>
      </c>
      <c r="T115" s="27">
        <v>0</v>
      </c>
      <c r="U115" s="27">
        <v>1</v>
      </c>
      <c r="V115" s="27">
        <v>3</v>
      </c>
      <c r="W115" s="26">
        <v>1</v>
      </c>
    </row>
    <row r="116" spans="3:23">
      <c r="C116" s="8" t="s">
        <v>253</v>
      </c>
      <c r="D116" s="27">
        <v>83</v>
      </c>
      <c r="E116" s="27" t="s">
        <v>88</v>
      </c>
      <c r="F116" s="27">
        <v>0</v>
      </c>
      <c r="G116" s="27">
        <v>0</v>
      </c>
      <c r="H116" s="27">
        <v>1</v>
      </c>
      <c r="I116" s="27">
        <v>0</v>
      </c>
      <c r="J116" s="27">
        <v>0</v>
      </c>
      <c r="K116" s="27">
        <v>0</v>
      </c>
      <c r="L116" s="27">
        <v>1</v>
      </c>
      <c r="M116" s="27">
        <v>1</v>
      </c>
      <c r="N116" s="27">
        <v>1</v>
      </c>
      <c r="O116" s="27">
        <v>1</v>
      </c>
      <c r="P116" s="27">
        <v>0</v>
      </c>
      <c r="Q116" s="27">
        <v>0</v>
      </c>
      <c r="R116" s="27">
        <v>4</v>
      </c>
      <c r="S116" s="27">
        <v>1</v>
      </c>
      <c r="T116" s="27">
        <v>0</v>
      </c>
      <c r="U116" s="27">
        <v>0</v>
      </c>
      <c r="V116" s="27">
        <v>3</v>
      </c>
      <c r="W116" s="26">
        <v>1</v>
      </c>
    </row>
    <row r="117" spans="3:23">
      <c r="C117" s="8" t="s">
        <v>254</v>
      </c>
      <c r="D117" s="27">
        <v>84</v>
      </c>
      <c r="E117" s="27" t="s">
        <v>89</v>
      </c>
      <c r="F117" s="27">
        <v>0</v>
      </c>
      <c r="G117" s="27">
        <v>0</v>
      </c>
      <c r="H117" s="27">
        <v>1</v>
      </c>
      <c r="I117" s="27">
        <v>0</v>
      </c>
      <c r="J117" s="27">
        <v>0</v>
      </c>
      <c r="K117" s="27">
        <v>1</v>
      </c>
      <c r="L117" s="27">
        <v>1</v>
      </c>
      <c r="M117" s="27">
        <v>1</v>
      </c>
      <c r="N117" s="27">
        <v>1</v>
      </c>
      <c r="O117" s="27">
        <v>0</v>
      </c>
      <c r="P117" s="27">
        <v>0</v>
      </c>
      <c r="Q117" s="27">
        <v>1</v>
      </c>
      <c r="R117" s="27">
        <v>0</v>
      </c>
      <c r="S117" s="27">
        <v>1</v>
      </c>
      <c r="T117" s="27">
        <v>0</v>
      </c>
      <c r="U117" s="27">
        <v>1</v>
      </c>
      <c r="V117" s="27">
        <v>4</v>
      </c>
      <c r="W117" s="26">
        <v>1</v>
      </c>
    </row>
    <row r="118" spans="3:23">
      <c r="C118" s="8" t="s">
        <v>255</v>
      </c>
      <c r="D118" s="27">
        <v>85</v>
      </c>
      <c r="E118" s="27" t="s">
        <v>90</v>
      </c>
      <c r="F118" s="27">
        <v>1</v>
      </c>
      <c r="G118" s="27">
        <v>0</v>
      </c>
      <c r="H118" s="27">
        <v>0</v>
      </c>
      <c r="I118" s="27">
        <v>1</v>
      </c>
      <c r="J118" s="27">
        <v>1</v>
      </c>
      <c r="K118" s="27">
        <v>0</v>
      </c>
      <c r="L118" s="27">
        <v>0</v>
      </c>
      <c r="M118" s="27">
        <v>1</v>
      </c>
      <c r="N118" s="27">
        <v>1</v>
      </c>
      <c r="O118" s="27">
        <v>1</v>
      </c>
      <c r="P118" s="27">
        <v>0</v>
      </c>
      <c r="Q118" s="27">
        <v>0</v>
      </c>
      <c r="R118" s="27">
        <v>2</v>
      </c>
      <c r="S118" s="27">
        <v>1</v>
      </c>
      <c r="T118" s="27">
        <v>0</v>
      </c>
      <c r="U118" s="27">
        <v>0</v>
      </c>
      <c r="V118" s="27">
        <v>1</v>
      </c>
      <c r="W118" s="26">
        <v>1</v>
      </c>
    </row>
    <row r="119" spans="3:23">
      <c r="C119" s="8" t="s">
        <v>256</v>
      </c>
      <c r="D119" s="27">
        <v>86</v>
      </c>
      <c r="E119" s="27" t="s">
        <v>91</v>
      </c>
      <c r="F119" s="27">
        <v>1</v>
      </c>
      <c r="G119" s="27">
        <v>0</v>
      </c>
      <c r="H119" s="27">
        <v>0</v>
      </c>
      <c r="I119" s="27">
        <v>1</v>
      </c>
      <c r="J119" s="27">
        <v>0</v>
      </c>
      <c r="K119" s="27">
        <v>0</v>
      </c>
      <c r="L119" s="27">
        <v>0</v>
      </c>
      <c r="M119" s="27">
        <v>1</v>
      </c>
      <c r="N119" s="27">
        <v>1</v>
      </c>
      <c r="O119" s="27">
        <v>1</v>
      </c>
      <c r="P119" s="27">
        <v>0</v>
      </c>
      <c r="Q119" s="27">
        <v>0</v>
      </c>
      <c r="R119" s="27">
        <v>4</v>
      </c>
      <c r="S119" s="27">
        <v>1</v>
      </c>
      <c r="T119" s="27">
        <v>0</v>
      </c>
      <c r="U119" s="27">
        <v>0</v>
      </c>
      <c r="V119" s="27">
        <v>1</v>
      </c>
      <c r="W119" s="26">
        <v>1</v>
      </c>
    </row>
    <row r="120" spans="3:23">
      <c r="C120" s="8" t="s">
        <v>257</v>
      </c>
      <c r="D120" s="27">
        <v>87</v>
      </c>
      <c r="E120" s="27" t="s">
        <v>92</v>
      </c>
      <c r="F120" s="27">
        <v>0</v>
      </c>
      <c r="G120" s="27">
        <v>1</v>
      </c>
      <c r="H120" s="27">
        <v>1</v>
      </c>
      <c r="I120" s="27">
        <v>0</v>
      </c>
      <c r="J120" s="27">
        <v>1</v>
      </c>
      <c r="K120" s="27">
        <v>0</v>
      </c>
      <c r="L120" s="27">
        <v>1</v>
      </c>
      <c r="M120" s="27">
        <v>0</v>
      </c>
      <c r="N120" s="27">
        <v>1</v>
      </c>
      <c r="O120" s="27">
        <v>1</v>
      </c>
      <c r="P120" s="27">
        <v>0</v>
      </c>
      <c r="Q120" s="27">
        <v>0</v>
      </c>
      <c r="R120" s="27">
        <v>2</v>
      </c>
      <c r="S120" s="27">
        <v>1</v>
      </c>
      <c r="T120" s="27">
        <v>0</v>
      </c>
      <c r="U120" s="27">
        <v>1</v>
      </c>
      <c r="V120" s="27">
        <v>2</v>
      </c>
      <c r="W120" s="26">
        <v>1</v>
      </c>
    </row>
    <row r="121" spans="3:23">
      <c r="C121" s="8" t="s">
        <v>258</v>
      </c>
      <c r="D121" s="27">
        <v>88</v>
      </c>
      <c r="E121" s="27" t="s">
        <v>93</v>
      </c>
      <c r="F121" s="27">
        <v>1</v>
      </c>
      <c r="G121" s="27">
        <v>0</v>
      </c>
      <c r="H121" s="27">
        <v>0</v>
      </c>
      <c r="I121" s="27">
        <v>1</v>
      </c>
      <c r="J121" s="27">
        <v>0</v>
      </c>
      <c r="K121" s="27">
        <v>0</v>
      </c>
      <c r="L121" s="27">
        <v>0</v>
      </c>
      <c r="M121" s="27">
        <v>1</v>
      </c>
      <c r="N121" s="27">
        <v>1</v>
      </c>
      <c r="O121" s="27">
        <v>1</v>
      </c>
      <c r="P121" s="27">
        <v>0</v>
      </c>
      <c r="Q121" s="27">
        <v>0</v>
      </c>
      <c r="R121" s="27">
        <v>2</v>
      </c>
      <c r="S121" s="27">
        <v>1</v>
      </c>
      <c r="T121" s="27">
        <v>0</v>
      </c>
      <c r="U121" s="27">
        <v>1</v>
      </c>
      <c r="V121" s="27">
        <v>1</v>
      </c>
      <c r="W121" s="26">
        <v>1</v>
      </c>
    </row>
    <row r="122" spans="3:23">
      <c r="C122" s="8" t="s">
        <v>259</v>
      </c>
      <c r="D122" s="27">
        <v>89</v>
      </c>
      <c r="E122" s="27" t="s">
        <v>94</v>
      </c>
      <c r="F122" s="27">
        <v>1</v>
      </c>
      <c r="G122" s="27">
        <v>0</v>
      </c>
      <c r="H122" s="27">
        <v>1</v>
      </c>
      <c r="I122" s="27">
        <v>0</v>
      </c>
      <c r="J122" s="27">
        <v>1</v>
      </c>
      <c r="K122" s="27">
        <v>0</v>
      </c>
      <c r="L122" s="27">
        <v>0</v>
      </c>
      <c r="M122" s="27">
        <v>0</v>
      </c>
      <c r="N122" s="27">
        <v>0</v>
      </c>
      <c r="O122" s="27">
        <v>1</v>
      </c>
      <c r="P122" s="27">
        <v>1</v>
      </c>
      <c r="Q122" s="27">
        <v>0</v>
      </c>
      <c r="R122" s="27">
        <v>6</v>
      </c>
      <c r="S122" s="27">
        <v>0</v>
      </c>
      <c r="T122" s="27">
        <v>0</v>
      </c>
      <c r="U122" s="27">
        <v>0</v>
      </c>
      <c r="V122" s="27">
        <v>6</v>
      </c>
      <c r="W122" s="26">
        <v>1</v>
      </c>
    </row>
    <row r="123" spans="3:23">
      <c r="C123" s="8" t="s">
        <v>260</v>
      </c>
      <c r="D123" s="27">
        <v>90</v>
      </c>
      <c r="E123" s="27" t="s">
        <v>95</v>
      </c>
      <c r="F123" s="27">
        <v>1</v>
      </c>
      <c r="G123" s="27">
        <v>0</v>
      </c>
      <c r="H123" s="27">
        <v>0</v>
      </c>
      <c r="I123" s="27">
        <v>1</v>
      </c>
      <c r="J123" s="27">
        <v>0</v>
      </c>
      <c r="K123" s="27">
        <v>0</v>
      </c>
      <c r="L123" s="27">
        <v>1</v>
      </c>
      <c r="M123" s="27">
        <v>1</v>
      </c>
      <c r="N123" s="27">
        <v>1</v>
      </c>
      <c r="O123" s="27">
        <v>1</v>
      </c>
      <c r="P123" s="27">
        <v>0</v>
      </c>
      <c r="Q123" s="27">
        <v>0</v>
      </c>
      <c r="R123" s="27">
        <v>4</v>
      </c>
      <c r="S123" s="27">
        <v>1</v>
      </c>
      <c r="T123" s="27">
        <v>0</v>
      </c>
      <c r="U123" s="27">
        <v>1</v>
      </c>
      <c r="V123" s="27">
        <v>1</v>
      </c>
      <c r="W123" s="26">
        <v>1</v>
      </c>
    </row>
    <row r="124" spans="3:23">
      <c r="C124" s="8" t="s">
        <v>261</v>
      </c>
      <c r="D124" s="27">
        <v>91</v>
      </c>
      <c r="E124" s="27" t="s">
        <v>96</v>
      </c>
      <c r="F124" s="27">
        <v>0</v>
      </c>
      <c r="G124" s="27">
        <v>0</v>
      </c>
      <c r="H124" s="27">
        <v>1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1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7</v>
      </c>
      <c r="W124" s="26">
        <v>1</v>
      </c>
    </row>
    <row r="125" spans="3:23">
      <c r="C125" s="8" t="s">
        <v>262</v>
      </c>
      <c r="D125" s="27">
        <v>92</v>
      </c>
      <c r="E125" s="27" t="s">
        <v>97</v>
      </c>
      <c r="F125" s="27">
        <v>0</v>
      </c>
      <c r="G125" s="27">
        <v>1</v>
      </c>
      <c r="H125" s="27">
        <v>1</v>
      </c>
      <c r="I125" s="27">
        <v>0</v>
      </c>
      <c r="J125" s="27">
        <v>1</v>
      </c>
      <c r="K125" s="27">
        <v>0</v>
      </c>
      <c r="L125" s="27">
        <v>0</v>
      </c>
      <c r="M125" s="27">
        <v>0</v>
      </c>
      <c r="N125" s="27">
        <v>1</v>
      </c>
      <c r="O125" s="27">
        <v>1</v>
      </c>
      <c r="P125" s="27">
        <v>0</v>
      </c>
      <c r="Q125" s="27">
        <v>0</v>
      </c>
      <c r="R125" s="27">
        <v>2</v>
      </c>
      <c r="S125" s="27">
        <v>1</v>
      </c>
      <c r="T125" s="27">
        <v>0</v>
      </c>
      <c r="U125" s="27">
        <v>0</v>
      </c>
      <c r="V125" s="27">
        <v>2</v>
      </c>
      <c r="W125" s="26">
        <v>1</v>
      </c>
    </row>
    <row r="126" spans="3:23">
      <c r="C126" s="8" t="s">
        <v>263</v>
      </c>
      <c r="D126" s="27">
        <v>93</v>
      </c>
      <c r="E126" s="27" t="s">
        <v>51</v>
      </c>
      <c r="F126" s="27">
        <v>0</v>
      </c>
      <c r="G126" s="27">
        <v>0</v>
      </c>
      <c r="H126" s="27">
        <v>1</v>
      </c>
      <c r="I126" s="27">
        <v>0</v>
      </c>
      <c r="J126" s="27">
        <v>0</v>
      </c>
      <c r="K126" s="27">
        <v>1</v>
      </c>
      <c r="L126" s="27">
        <v>1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8</v>
      </c>
      <c r="S126" s="27">
        <v>0</v>
      </c>
      <c r="T126" s="27">
        <v>0</v>
      </c>
      <c r="U126" s="27">
        <v>1</v>
      </c>
      <c r="V126" s="27">
        <v>7</v>
      </c>
      <c r="W126" s="26">
        <v>1</v>
      </c>
    </row>
  </sheetData>
  <mergeCells count="27">
    <mergeCell ref="B4:C4"/>
    <mergeCell ref="D4:E4"/>
    <mergeCell ref="B3:E3"/>
    <mergeCell ref="J3:M3"/>
    <mergeCell ref="C24:E24"/>
    <mergeCell ref="C25:E25"/>
    <mergeCell ref="C26:E26"/>
    <mergeCell ref="C27:E27"/>
    <mergeCell ref="C28:E28"/>
    <mergeCell ref="F26:Y26"/>
    <mergeCell ref="F27:Y27"/>
    <mergeCell ref="F28:Y28"/>
    <mergeCell ref="C18:Y18"/>
    <mergeCell ref="C19:E19"/>
    <mergeCell ref="C20:E20"/>
    <mergeCell ref="F19:Y19"/>
    <mergeCell ref="C22:Y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Imputation'!$B$10:$B$10" display="Inputs" xr:uid="{DD781DE2-AC8B-4519-AE53-47F0F1302C02}"/>
    <hyperlink ref="D4" location="'Imputation'!$B$31:$B$31" display="Transformed Data" xr:uid="{075FBFDC-CE41-4544-9A8B-B4020B7998D7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54CE-8B93-4DDC-A3D7-6E3C9C5DB750}">
  <dimension ref="B1:CV129"/>
  <sheetViews>
    <sheetView showGridLines="0" topLeftCell="A43" workbookViewId="0">
      <selection activeCell="H62" sqref="H62"/>
    </sheetView>
  </sheetViews>
  <sheetFormatPr defaultRowHeight="13.2"/>
  <cols>
    <col min="3" max="3" width="11.5546875" customWidth="1"/>
    <col min="4" max="4" width="14.44140625" customWidth="1"/>
    <col min="5" max="5" width="18.21875" customWidth="1"/>
    <col min="6" max="6" width="15.33203125" customWidth="1"/>
    <col min="7" max="7" width="14.5546875" customWidth="1"/>
    <col min="8" max="8" width="18.44140625" customWidth="1"/>
    <col min="9" max="9" width="17.44140625" customWidth="1"/>
    <col min="10" max="10" width="29.109375" bestFit="1" customWidth="1"/>
    <col min="11" max="11" width="17.88671875" customWidth="1"/>
    <col min="12" max="12" width="19.5546875" customWidth="1"/>
    <col min="13" max="13" width="18.77734375" customWidth="1"/>
    <col min="14" max="14" width="20.109375" customWidth="1"/>
    <col min="15" max="15" width="14.21875" customWidth="1"/>
    <col min="16" max="16" width="14.6640625" customWidth="1"/>
    <col min="17" max="17" width="13.6640625" customWidth="1"/>
    <col min="18" max="18" width="19" customWidth="1"/>
    <col min="19" max="19" width="17.21875" customWidth="1"/>
    <col min="20" max="20" width="19.88671875" customWidth="1"/>
  </cols>
  <sheetData>
    <row r="1" spans="2:100" ht="18">
      <c r="B1" s="5" t="s">
        <v>264</v>
      </c>
      <c r="N1" t="s">
        <v>528</v>
      </c>
      <c r="CV1" s="25" t="s">
        <v>529</v>
      </c>
    </row>
    <row r="3" spans="2:100" ht="15.6">
      <c r="B3" s="28" t="s">
        <v>122</v>
      </c>
      <c r="C3" s="29"/>
      <c r="D3" s="29"/>
      <c r="E3" s="29"/>
      <c r="F3" s="29"/>
      <c r="G3" s="30"/>
      <c r="J3" s="28" t="s">
        <v>145</v>
      </c>
      <c r="K3" s="29"/>
      <c r="L3" s="29"/>
      <c r="M3" s="30"/>
    </row>
    <row r="4" spans="2:100" ht="13.8">
      <c r="B4" s="19" t="s">
        <v>123</v>
      </c>
      <c r="C4" s="19"/>
      <c r="D4" s="19" t="s">
        <v>265</v>
      </c>
      <c r="E4" s="19"/>
      <c r="F4" s="19" t="s">
        <v>276</v>
      </c>
      <c r="G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00" ht="13.8">
      <c r="J5" s="15">
        <v>52</v>
      </c>
      <c r="K5" s="15">
        <v>1</v>
      </c>
      <c r="L5" s="15">
        <v>3</v>
      </c>
      <c r="M5" s="15">
        <v>56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</row>
    <row r="13" spans="2:100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00" ht="13.8">
      <c r="C14" s="22" t="s">
        <v>127</v>
      </c>
      <c r="D14" s="22"/>
      <c r="E14" s="23"/>
      <c r="F14" s="11" t="s">
        <v>271</v>
      </c>
      <c r="G14" s="11"/>
      <c r="H14" s="11"/>
      <c r="I14" s="11"/>
    </row>
    <row r="15" spans="2:100" ht="13.8">
      <c r="C15" s="22" t="s">
        <v>128</v>
      </c>
      <c r="D15" s="22"/>
      <c r="E15" s="23"/>
      <c r="F15" s="11" t="s">
        <v>272</v>
      </c>
      <c r="G15" s="11"/>
      <c r="H15" s="11"/>
      <c r="I15" s="11"/>
    </row>
    <row r="16" spans="2:100" ht="13.8">
      <c r="C16" s="22" t="s">
        <v>129</v>
      </c>
      <c r="D16" s="22"/>
      <c r="E16" s="23"/>
      <c r="F16" s="12">
        <v>93</v>
      </c>
      <c r="G16" s="12"/>
      <c r="H16" s="12"/>
      <c r="I16" s="12"/>
    </row>
    <row r="18" spans="2:22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2:22" ht="13.8">
      <c r="C19" s="22" t="s">
        <v>131</v>
      </c>
      <c r="D19" s="22"/>
      <c r="E19" s="23"/>
      <c r="F19" s="12">
        <v>17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2:22" ht="13.8">
      <c r="C20" s="22" t="s">
        <v>132</v>
      </c>
      <c r="D20" s="22"/>
      <c r="E20" s="23"/>
      <c r="F20" s="15" t="s">
        <v>153</v>
      </c>
      <c r="G20" s="15" t="s">
        <v>154</v>
      </c>
      <c r="H20" s="15" t="s">
        <v>155</v>
      </c>
      <c r="I20" s="15" t="s">
        <v>156</v>
      </c>
      <c r="J20" s="15" t="s">
        <v>157</v>
      </c>
      <c r="K20" s="15" t="s">
        <v>158</v>
      </c>
      <c r="L20" s="15" t="s">
        <v>159</v>
      </c>
      <c r="M20" s="15" t="s">
        <v>160</v>
      </c>
      <c r="N20" s="15" t="s">
        <v>161</v>
      </c>
      <c r="O20" s="15" t="s">
        <v>162</v>
      </c>
      <c r="P20" s="15" t="s">
        <v>163</v>
      </c>
      <c r="Q20" s="15" t="s">
        <v>164</v>
      </c>
      <c r="R20" s="15" t="s">
        <v>165</v>
      </c>
      <c r="S20" s="15" t="s">
        <v>166</v>
      </c>
      <c r="T20" s="15" t="s">
        <v>167</v>
      </c>
      <c r="U20" s="15" t="s">
        <v>168</v>
      </c>
      <c r="V20" s="15" t="s">
        <v>169</v>
      </c>
    </row>
    <row r="22" spans="2:22" ht="15.6">
      <c r="C22" s="21" t="s">
        <v>266</v>
      </c>
      <c r="D22" s="21"/>
      <c r="E22" s="21"/>
      <c r="F22" s="21"/>
      <c r="G22" s="21"/>
      <c r="H22" s="21"/>
      <c r="I22" s="21"/>
    </row>
    <row r="23" spans="2:22" ht="13.8">
      <c r="C23" s="22" t="s">
        <v>267</v>
      </c>
      <c r="D23" s="22"/>
      <c r="E23" s="23"/>
      <c r="F23" s="12" t="s">
        <v>273</v>
      </c>
      <c r="G23" s="12"/>
      <c r="H23" s="12"/>
      <c r="I23" s="12"/>
    </row>
    <row r="24" spans="2:22" ht="13.8">
      <c r="C24" s="22" t="s">
        <v>268</v>
      </c>
      <c r="D24" s="22"/>
      <c r="E24" s="23"/>
      <c r="F24" s="12">
        <v>12345</v>
      </c>
      <c r="G24" s="12"/>
      <c r="H24" s="12"/>
      <c r="I24" s="12"/>
    </row>
    <row r="25" spans="2:22" ht="13.8">
      <c r="C25" s="22" t="s">
        <v>269</v>
      </c>
      <c r="D25" s="22"/>
      <c r="E25" s="23"/>
      <c r="F25" s="12">
        <v>0.75</v>
      </c>
      <c r="G25" s="12"/>
      <c r="H25" s="12"/>
      <c r="I25" s="12"/>
    </row>
    <row r="26" spans="2:22" ht="13.8">
      <c r="C26" s="22" t="s">
        <v>270</v>
      </c>
      <c r="D26" s="22"/>
      <c r="E26" s="23"/>
      <c r="F26" s="12">
        <v>0.25</v>
      </c>
      <c r="G26" s="12"/>
      <c r="H26" s="12"/>
      <c r="I26" s="12"/>
    </row>
    <row r="28" spans="2:22" ht="18">
      <c r="B28" s="6" t="s">
        <v>265</v>
      </c>
    </row>
    <row r="30" spans="2:22">
      <c r="C30" s="8" t="s">
        <v>277</v>
      </c>
      <c r="D30" t="s">
        <v>278</v>
      </c>
    </row>
    <row r="31" spans="2:22">
      <c r="C31" s="8" t="s">
        <v>279</v>
      </c>
      <c r="D31">
        <v>70</v>
      </c>
    </row>
    <row r="32" spans="2:22">
      <c r="C32" s="8" t="s">
        <v>280</v>
      </c>
      <c r="D32">
        <v>23</v>
      </c>
    </row>
    <row r="34" spans="2:20" ht="18">
      <c r="B34" s="6" t="s">
        <v>276</v>
      </c>
    </row>
    <row r="36" spans="2:20">
      <c r="C36" s="8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160</v>
      </c>
      <c r="L36" t="s">
        <v>161</v>
      </c>
      <c r="M36" t="s">
        <v>162</v>
      </c>
      <c r="N36" t="s">
        <v>163</v>
      </c>
      <c r="O36" t="s">
        <v>164</v>
      </c>
      <c r="P36" t="s">
        <v>165</v>
      </c>
      <c r="Q36" t="s">
        <v>166</v>
      </c>
      <c r="R36" t="s">
        <v>167</v>
      </c>
      <c r="S36" t="s">
        <v>168</v>
      </c>
      <c r="T36" t="s">
        <v>169</v>
      </c>
    </row>
    <row r="37" spans="2:20">
      <c r="C37" s="8" t="s">
        <v>171</v>
      </c>
      <c r="D37" s="27">
        <v>1</v>
      </c>
      <c r="E37" s="27">
        <v>0</v>
      </c>
      <c r="F37" s="27">
        <v>0</v>
      </c>
      <c r="G37" s="27">
        <v>1</v>
      </c>
      <c r="H37" s="27">
        <v>0</v>
      </c>
      <c r="I37" s="27">
        <v>0</v>
      </c>
      <c r="J37" s="27">
        <v>1</v>
      </c>
      <c r="K37" s="27">
        <v>1</v>
      </c>
      <c r="L37" s="27">
        <v>1</v>
      </c>
      <c r="M37" s="27">
        <v>1</v>
      </c>
      <c r="N37" s="27">
        <v>0</v>
      </c>
      <c r="O37" s="27">
        <v>0</v>
      </c>
      <c r="P37" s="27">
        <v>4</v>
      </c>
      <c r="Q37" s="27">
        <v>0</v>
      </c>
      <c r="R37" s="27">
        <v>0</v>
      </c>
      <c r="S37" s="27">
        <v>1</v>
      </c>
      <c r="T37" s="26">
        <v>1</v>
      </c>
    </row>
    <row r="38" spans="2:20">
      <c r="C38" s="8" t="s">
        <v>175</v>
      </c>
      <c r="D38" s="27">
        <v>1</v>
      </c>
      <c r="E38" s="27">
        <v>0</v>
      </c>
      <c r="F38" s="27">
        <v>0</v>
      </c>
      <c r="G38" s="27">
        <v>1</v>
      </c>
      <c r="H38" s="27">
        <v>0</v>
      </c>
      <c r="I38" s="27">
        <v>0</v>
      </c>
      <c r="J38" s="27">
        <v>0</v>
      </c>
      <c r="K38" s="27">
        <v>1</v>
      </c>
      <c r="L38" s="27">
        <v>1</v>
      </c>
      <c r="M38" s="27">
        <v>1</v>
      </c>
      <c r="N38" s="27">
        <v>0</v>
      </c>
      <c r="O38" s="27">
        <v>0</v>
      </c>
      <c r="P38" s="27">
        <v>4</v>
      </c>
      <c r="Q38" s="27">
        <v>1</v>
      </c>
      <c r="R38" s="27">
        <v>0</v>
      </c>
      <c r="S38" s="27">
        <v>1</v>
      </c>
      <c r="T38" s="26">
        <v>1</v>
      </c>
    </row>
    <row r="39" spans="2:20">
      <c r="C39" s="8" t="s">
        <v>178</v>
      </c>
      <c r="D39" s="27">
        <v>0</v>
      </c>
      <c r="E39" s="27">
        <v>0</v>
      </c>
      <c r="F39" s="27">
        <v>1</v>
      </c>
      <c r="G39" s="27">
        <v>0</v>
      </c>
      <c r="H39" s="27">
        <v>0</v>
      </c>
      <c r="I39" s="27">
        <v>1</v>
      </c>
      <c r="J39" s="27">
        <v>1</v>
      </c>
      <c r="K39" s="27">
        <v>1</v>
      </c>
      <c r="L39" s="27">
        <v>1</v>
      </c>
      <c r="M39" s="27">
        <v>0</v>
      </c>
      <c r="N39" s="27">
        <v>0</v>
      </c>
      <c r="O39" s="27">
        <v>1</v>
      </c>
      <c r="P39" s="27">
        <v>0</v>
      </c>
      <c r="Q39" s="27">
        <v>1</v>
      </c>
      <c r="R39" s="27">
        <v>0</v>
      </c>
      <c r="S39" s="27">
        <v>0</v>
      </c>
      <c r="T39" s="26">
        <v>4</v>
      </c>
    </row>
    <row r="40" spans="2:20">
      <c r="C40" s="8" t="s">
        <v>185</v>
      </c>
      <c r="D40" s="27">
        <v>0</v>
      </c>
      <c r="E40" s="27">
        <v>1</v>
      </c>
      <c r="F40" s="27">
        <v>1</v>
      </c>
      <c r="G40" s="27">
        <v>0</v>
      </c>
      <c r="H40" s="27">
        <v>1</v>
      </c>
      <c r="I40" s="27">
        <v>0</v>
      </c>
      <c r="J40" s="27">
        <v>1</v>
      </c>
      <c r="K40" s="27">
        <v>0</v>
      </c>
      <c r="L40" s="27">
        <v>1</v>
      </c>
      <c r="M40" s="27">
        <v>1</v>
      </c>
      <c r="N40" s="27">
        <v>0</v>
      </c>
      <c r="O40" s="27">
        <v>0</v>
      </c>
      <c r="P40" s="27">
        <v>2</v>
      </c>
      <c r="Q40" s="27">
        <v>1</v>
      </c>
      <c r="R40" s="27">
        <v>0</v>
      </c>
      <c r="S40" s="27">
        <v>0</v>
      </c>
      <c r="T40" s="26">
        <v>2</v>
      </c>
    </row>
    <row r="41" spans="2:20">
      <c r="C41" s="8" t="s">
        <v>188</v>
      </c>
      <c r="D41" s="27">
        <v>0</v>
      </c>
      <c r="E41" s="27">
        <v>0</v>
      </c>
      <c r="F41" s="27">
        <v>0</v>
      </c>
      <c r="G41" s="27">
        <v>1</v>
      </c>
      <c r="H41" s="27">
        <v>0</v>
      </c>
      <c r="I41" s="27">
        <v>1</v>
      </c>
      <c r="J41" s="27">
        <v>1</v>
      </c>
      <c r="K41" s="27">
        <v>1</v>
      </c>
      <c r="L41" s="27">
        <v>1</v>
      </c>
      <c r="M41" s="27">
        <v>1</v>
      </c>
      <c r="N41" s="27">
        <v>0</v>
      </c>
      <c r="O41" s="27">
        <v>1</v>
      </c>
      <c r="P41" s="27">
        <v>0</v>
      </c>
      <c r="Q41" s="27">
        <v>1</v>
      </c>
      <c r="R41" s="27">
        <v>0</v>
      </c>
      <c r="S41" s="27">
        <v>1</v>
      </c>
      <c r="T41" s="26">
        <v>1</v>
      </c>
    </row>
    <row r="42" spans="2:20">
      <c r="C42" s="8" t="s">
        <v>190</v>
      </c>
      <c r="D42" s="27">
        <v>0</v>
      </c>
      <c r="E42" s="27">
        <v>1</v>
      </c>
      <c r="F42" s="27">
        <v>1</v>
      </c>
      <c r="G42" s="27">
        <v>0</v>
      </c>
      <c r="H42" s="27">
        <v>1</v>
      </c>
      <c r="I42" s="27">
        <v>1</v>
      </c>
      <c r="J42" s="27">
        <v>0</v>
      </c>
      <c r="K42" s="27">
        <v>0</v>
      </c>
      <c r="L42" s="27">
        <v>1</v>
      </c>
      <c r="M42" s="27">
        <v>1</v>
      </c>
      <c r="N42" s="27">
        <v>0</v>
      </c>
      <c r="O42" s="27">
        <v>0</v>
      </c>
      <c r="P42" s="27">
        <v>2</v>
      </c>
      <c r="Q42" s="27">
        <v>1</v>
      </c>
      <c r="R42" s="27">
        <v>0</v>
      </c>
      <c r="S42" s="27">
        <v>0</v>
      </c>
      <c r="T42" s="26">
        <v>2</v>
      </c>
    </row>
    <row r="43" spans="2:20">
      <c r="C43" s="8" t="s">
        <v>191</v>
      </c>
      <c r="D43" s="27">
        <v>1</v>
      </c>
      <c r="E43" s="27">
        <v>0</v>
      </c>
      <c r="F43" s="27">
        <v>0</v>
      </c>
      <c r="G43" s="27">
        <v>1</v>
      </c>
      <c r="H43" s="27">
        <v>0</v>
      </c>
      <c r="I43" s="27">
        <v>0</v>
      </c>
      <c r="J43" s="27">
        <v>0</v>
      </c>
      <c r="K43" s="27">
        <v>1</v>
      </c>
      <c r="L43" s="27">
        <v>1</v>
      </c>
      <c r="M43" s="27">
        <v>1</v>
      </c>
      <c r="N43" s="27">
        <v>0</v>
      </c>
      <c r="O43" s="27">
        <v>0</v>
      </c>
      <c r="P43" s="27">
        <v>4</v>
      </c>
      <c r="Q43" s="27">
        <v>1</v>
      </c>
      <c r="R43" s="27">
        <v>0</v>
      </c>
      <c r="S43" s="27">
        <v>1</v>
      </c>
      <c r="T43" s="26">
        <v>1</v>
      </c>
    </row>
    <row r="44" spans="2:20">
      <c r="C44" s="8" t="s">
        <v>192</v>
      </c>
      <c r="D44" s="27">
        <v>0</v>
      </c>
      <c r="E44" s="27">
        <v>1</v>
      </c>
      <c r="F44" s="27">
        <v>1</v>
      </c>
      <c r="G44" s="27">
        <v>0</v>
      </c>
      <c r="H44" s="27">
        <v>1</v>
      </c>
      <c r="I44" s="27">
        <v>0</v>
      </c>
      <c r="J44" s="27">
        <v>0</v>
      </c>
      <c r="K44" s="27">
        <v>0</v>
      </c>
      <c r="L44" s="27">
        <v>1</v>
      </c>
      <c r="M44" s="27">
        <v>1</v>
      </c>
      <c r="N44" s="27">
        <v>0</v>
      </c>
      <c r="O44" s="27">
        <v>0</v>
      </c>
      <c r="P44" s="27">
        <v>2</v>
      </c>
      <c r="Q44" s="27">
        <v>1</v>
      </c>
      <c r="R44" s="27">
        <v>0</v>
      </c>
      <c r="S44" s="27">
        <v>1</v>
      </c>
      <c r="T44" s="26">
        <v>2</v>
      </c>
    </row>
    <row r="45" spans="2:20">
      <c r="C45" s="8" t="s">
        <v>193</v>
      </c>
      <c r="D45" s="27">
        <v>0</v>
      </c>
      <c r="E45" s="27">
        <v>0</v>
      </c>
      <c r="F45" s="27">
        <v>1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1</v>
      </c>
      <c r="N45" s="27">
        <v>0</v>
      </c>
      <c r="O45" s="27">
        <v>0</v>
      </c>
      <c r="P45" s="27">
        <v>6</v>
      </c>
      <c r="Q45" s="27">
        <v>0</v>
      </c>
      <c r="R45" s="27">
        <v>0</v>
      </c>
      <c r="S45" s="27">
        <v>0</v>
      </c>
      <c r="T45" s="26">
        <v>6</v>
      </c>
    </row>
    <row r="46" spans="2:20">
      <c r="C46" s="8" t="s">
        <v>195</v>
      </c>
      <c r="D46" s="27">
        <v>0</v>
      </c>
      <c r="E46" s="27">
        <v>0</v>
      </c>
      <c r="F46" s="27">
        <v>1</v>
      </c>
      <c r="G46" s="27">
        <v>0</v>
      </c>
      <c r="H46" s="27">
        <v>0</v>
      </c>
      <c r="I46" s="27">
        <v>1</v>
      </c>
      <c r="J46" s="27">
        <v>1</v>
      </c>
      <c r="K46" s="27">
        <v>1</v>
      </c>
      <c r="L46" s="27">
        <v>1</v>
      </c>
      <c r="M46" s="27">
        <v>1</v>
      </c>
      <c r="N46" s="27">
        <v>1</v>
      </c>
      <c r="O46" s="27">
        <v>0</v>
      </c>
      <c r="P46" s="27">
        <v>4</v>
      </c>
      <c r="Q46" s="27">
        <v>0</v>
      </c>
      <c r="R46" s="27">
        <v>0</v>
      </c>
      <c r="S46" s="27">
        <v>0</v>
      </c>
      <c r="T46" s="26">
        <v>5</v>
      </c>
    </row>
    <row r="47" spans="2:20">
      <c r="C47" s="8" t="s">
        <v>196</v>
      </c>
      <c r="D47" s="27">
        <v>1</v>
      </c>
      <c r="E47" s="27">
        <v>0</v>
      </c>
      <c r="F47" s="27">
        <v>0</v>
      </c>
      <c r="G47" s="27">
        <v>1</v>
      </c>
      <c r="H47" s="27">
        <v>1</v>
      </c>
      <c r="I47" s="27">
        <v>0</v>
      </c>
      <c r="J47" s="27">
        <v>0</v>
      </c>
      <c r="K47" s="27">
        <v>1</v>
      </c>
      <c r="L47" s="27">
        <v>1</v>
      </c>
      <c r="M47" s="27">
        <v>1</v>
      </c>
      <c r="N47" s="27">
        <v>0</v>
      </c>
      <c r="O47" s="27">
        <v>0</v>
      </c>
      <c r="P47" s="27">
        <v>2</v>
      </c>
      <c r="Q47" s="27">
        <v>1</v>
      </c>
      <c r="R47" s="27">
        <v>0</v>
      </c>
      <c r="S47" s="27">
        <v>0</v>
      </c>
      <c r="T47" s="26">
        <v>1</v>
      </c>
    </row>
    <row r="48" spans="2:20">
      <c r="C48" s="8" t="s">
        <v>198</v>
      </c>
      <c r="D48" s="27">
        <v>1</v>
      </c>
      <c r="E48" s="27">
        <v>0</v>
      </c>
      <c r="F48" s="27">
        <v>0</v>
      </c>
      <c r="G48" s="27">
        <v>1</v>
      </c>
      <c r="H48" s="27">
        <v>0</v>
      </c>
      <c r="I48" s="27">
        <v>0</v>
      </c>
      <c r="J48" s="27">
        <v>0</v>
      </c>
      <c r="K48" s="27">
        <v>1</v>
      </c>
      <c r="L48" s="27">
        <v>1</v>
      </c>
      <c r="M48" s="27">
        <v>1</v>
      </c>
      <c r="N48" s="27">
        <v>0</v>
      </c>
      <c r="O48" s="27">
        <v>0</v>
      </c>
      <c r="P48" s="27">
        <v>4</v>
      </c>
      <c r="Q48" s="27">
        <v>1</v>
      </c>
      <c r="R48" s="27">
        <v>1</v>
      </c>
      <c r="S48" s="27">
        <v>1</v>
      </c>
      <c r="T48" s="26">
        <v>1</v>
      </c>
    </row>
    <row r="49" spans="3:20">
      <c r="C49" s="8" t="s">
        <v>199</v>
      </c>
      <c r="D49" s="27">
        <v>1</v>
      </c>
      <c r="E49" s="27">
        <v>0</v>
      </c>
      <c r="F49" s="27">
        <v>0</v>
      </c>
      <c r="G49" s="27">
        <v>1</v>
      </c>
      <c r="H49" s="27">
        <v>0</v>
      </c>
      <c r="I49" s="27">
        <v>0</v>
      </c>
      <c r="J49" s="27">
        <v>0</v>
      </c>
      <c r="K49" s="27">
        <v>1</v>
      </c>
      <c r="L49" s="27">
        <v>1</v>
      </c>
      <c r="M49" s="27">
        <v>1</v>
      </c>
      <c r="N49" s="27">
        <v>0</v>
      </c>
      <c r="O49" s="27">
        <v>0</v>
      </c>
      <c r="P49" s="27">
        <v>2</v>
      </c>
      <c r="Q49" s="27">
        <v>0</v>
      </c>
      <c r="R49" s="27">
        <v>0</v>
      </c>
      <c r="S49" s="27">
        <v>1</v>
      </c>
      <c r="T49" s="26">
        <v>1</v>
      </c>
    </row>
    <row r="50" spans="3:20">
      <c r="C50" s="8" t="s">
        <v>202</v>
      </c>
      <c r="D50" s="27">
        <v>1</v>
      </c>
      <c r="E50" s="27">
        <v>0</v>
      </c>
      <c r="F50" s="27">
        <v>0</v>
      </c>
      <c r="G50" s="27">
        <v>1</v>
      </c>
      <c r="H50" s="27">
        <v>0</v>
      </c>
      <c r="I50" s="27">
        <v>0</v>
      </c>
      <c r="J50" s="27">
        <v>0</v>
      </c>
      <c r="K50" s="27">
        <v>1</v>
      </c>
      <c r="L50" s="27">
        <v>1</v>
      </c>
      <c r="M50" s="27">
        <v>1</v>
      </c>
      <c r="N50" s="27">
        <v>0</v>
      </c>
      <c r="O50" s="27">
        <v>0</v>
      </c>
      <c r="P50" s="27">
        <v>4</v>
      </c>
      <c r="Q50" s="27">
        <v>1</v>
      </c>
      <c r="R50" s="27">
        <v>1</v>
      </c>
      <c r="S50" s="27">
        <v>0</v>
      </c>
      <c r="T50" s="26">
        <v>1</v>
      </c>
    </row>
    <row r="51" spans="3:20">
      <c r="C51" s="8" t="s">
        <v>203</v>
      </c>
      <c r="D51" s="27">
        <v>1</v>
      </c>
      <c r="E51" s="27">
        <v>0</v>
      </c>
      <c r="F51" s="27">
        <v>0</v>
      </c>
      <c r="G51" s="27">
        <v>1</v>
      </c>
      <c r="H51" s="27">
        <v>0</v>
      </c>
      <c r="I51" s="27">
        <v>0</v>
      </c>
      <c r="J51" s="27">
        <v>0</v>
      </c>
      <c r="K51" s="27">
        <v>1</v>
      </c>
      <c r="L51" s="27">
        <v>1</v>
      </c>
      <c r="M51" s="27">
        <v>1</v>
      </c>
      <c r="N51" s="27">
        <v>0</v>
      </c>
      <c r="O51" s="27">
        <v>0</v>
      </c>
      <c r="P51" s="27">
        <v>4</v>
      </c>
      <c r="Q51" s="27">
        <v>1</v>
      </c>
      <c r="R51" s="27">
        <v>0</v>
      </c>
      <c r="S51" s="27">
        <v>0</v>
      </c>
      <c r="T51" s="26">
        <v>1</v>
      </c>
    </row>
    <row r="52" spans="3:20">
      <c r="C52" s="8" t="s">
        <v>205</v>
      </c>
      <c r="D52" s="27">
        <v>0</v>
      </c>
      <c r="E52" s="27">
        <v>0</v>
      </c>
      <c r="F52" s="27">
        <v>1</v>
      </c>
      <c r="G52" s="27">
        <v>0</v>
      </c>
      <c r="H52" s="27">
        <v>0</v>
      </c>
      <c r="I52" s="27">
        <v>1</v>
      </c>
      <c r="J52" s="27">
        <v>1</v>
      </c>
      <c r="K52" s="27">
        <v>1</v>
      </c>
      <c r="L52" s="27">
        <v>1</v>
      </c>
      <c r="M52" s="27">
        <v>0</v>
      </c>
      <c r="N52" s="27">
        <v>0</v>
      </c>
      <c r="O52" s="27">
        <v>1</v>
      </c>
      <c r="P52" s="27">
        <v>0</v>
      </c>
      <c r="Q52" s="27">
        <v>1</v>
      </c>
      <c r="R52" s="27">
        <v>0</v>
      </c>
      <c r="S52" s="27">
        <v>0</v>
      </c>
      <c r="T52" s="26">
        <v>4</v>
      </c>
    </row>
    <row r="53" spans="3:20">
      <c r="C53" s="8" t="s">
        <v>207</v>
      </c>
      <c r="D53" s="27">
        <v>1</v>
      </c>
      <c r="E53" s="27">
        <v>0</v>
      </c>
      <c r="F53" s="27">
        <v>1</v>
      </c>
      <c r="G53" s="27">
        <v>0</v>
      </c>
      <c r="H53" s="27">
        <v>1</v>
      </c>
      <c r="I53" s="27">
        <v>0</v>
      </c>
      <c r="J53" s="27">
        <v>0</v>
      </c>
      <c r="K53" s="27">
        <v>0</v>
      </c>
      <c r="L53" s="27">
        <v>0</v>
      </c>
      <c r="M53" s="27">
        <v>1</v>
      </c>
      <c r="N53" s="27">
        <v>0</v>
      </c>
      <c r="O53" s="27">
        <v>0</v>
      </c>
      <c r="P53" s="27">
        <v>6</v>
      </c>
      <c r="Q53" s="27">
        <v>0</v>
      </c>
      <c r="R53" s="27">
        <v>0</v>
      </c>
      <c r="S53" s="27">
        <v>0</v>
      </c>
      <c r="T53" s="26">
        <v>6</v>
      </c>
    </row>
    <row r="54" spans="3:20">
      <c r="C54" s="8" t="s">
        <v>215</v>
      </c>
      <c r="D54" s="27">
        <v>1</v>
      </c>
      <c r="E54" s="27">
        <v>0</v>
      </c>
      <c r="F54" s="27">
        <v>0</v>
      </c>
      <c r="G54" s="27">
        <v>1</v>
      </c>
      <c r="H54" s="27">
        <v>0</v>
      </c>
      <c r="I54" s="27">
        <v>0</v>
      </c>
      <c r="J54" s="27">
        <v>1</v>
      </c>
      <c r="K54" s="27">
        <v>1</v>
      </c>
      <c r="L54" s="27">
        <v>1</v>
      </c>
      <c r="M54" s="27">
        <v>1</v>
      </c>
      <c r="N54" s="27">
        <v>0</v>
      </c>
      <c r="O54" s="27">
        <v>0</v>
      </c>
      <c r="P54" s="27">
        <v>4</v>
      </c>
      <c r="Q54" s="27">
        <v>1</v>
      </c>
      <c r="R54" s="27">
        <v>0</v>
      </c>
      <c r="S54" s="27">
        <v>1</v>
      </c>
      <c r="T54" s="26">
        <v>1</v>
      </c>
    </row>
    <row r="55" spans="3:20">
      <c r="C55" s="8" t="s">
        <v>217</v>
      </c>
      <c r="D55" s="27">
        <v>0</v>
      </c>
      <c r="E55" s="27">
        <v>0</v>
      </c>
      <c r="F55" s="27">
        <v>1</v>
      </c>
      <c r="G55" s="27">
        <v>0</v>
      </c>
      <c r="H55" s="27">
        <v>0</v>
      </c>
      <c r="I55" s="27">
        <v>1</v>
      </c>
      <c r="J55" s="27">
        <v>1</v>
      </c>
      <c r="K55" s="27">
        <v>1</v>
      </c>
      <c r="L55" s="27">
        <v>1</v>
      </c>
      <c r="M55" s="27">
        <v>1</v>
      </c>
      <c r="N55" s="27">
        <v>0</v>
      </c>
      <c r="O55" s="27">
        <v>0</v>
      </c>
      <c r="P55" s="27">
        <v>4</v>
      </c>
      <c r="Q55" s="27">
        <v>1</v>
      </c>
      <c r="R55" s="27">
        <v>0</v>
      </c>
      <c r="S55" s="27">
        <v>0</v>
      </c>
      <c r="T55" s="26">
        <v>5</v>
      </c>
    </row>
    <row r="56" spans="3:20">
      <c r="C56" s="8" t="s">
        <v>218</v>
      </c>
      <c r="D56" s="27">
        <v>1</v>
      </c>
      <c r="E56" s="27">
        <v>0</v>
      </c>
      <c r="F56" s="27">
        <v>0</v>
      </c>
      <c r="G56" s="27">
        <v>1</v>
      </c>
      <c r="H56" s="27">
        <v>0</v>
      </c>
      <c r="I56" s="27">
        <v>0</v>
      </c>
      <c r="J56" s="27">
        <v>1</v>
      </c>
      <c r="K56" s="27">
        <v>1</v>
      </c>
      <c r="L56" s="27">
        <v>1</v>
      </c>
      <c r="M56" s="27">
        <v>1</v>
      </c>
      <c r="N56" s="27">
        <v>0</v>
      </c>
      <c r="O56" s="27">
        <v>0</v>
      </c>
      <c r="P56" s="27">
        <v>4</v>
      </c>
      <c r="Q56" s="27">
        <v>1</v>
      </c>
      <c r="R56" s="27">
        <v>0</v>
      </c>
      <c r="S56" s="27">
        <v>0</v>
      </c>
      <c r="T56" s="26">
        <v>1</v>
      </c>
    </row>
    <row r="57" spans="3:20">
      <c r="C57" s="8" t="s">
        <v>219</v>
      </c>
      <c r="D57" s="27">
        <v>1</v>
      </c>
      <c r="E57" s="27">
        <v>0</v>
      </c>
      <c r="F57" s="27">
        <v>0</v>
      </c>
      <c r="G57" s="27">
        <v>1</v>
      </c>
      <c r="H57" s="27">
        <v>0</v>
      </c>
      <c r="I57" s="27">
        <v>0</v>
      </c>
      <c r="J57" s="27">
        <v>0</v>
      </c>
      <c r="K57" s="27">
        <v>1</v>
      </c>
      <c r="L57" s="27">
        <v>1</v>
      </c>
      <c r="M57" s="27">
        <v>1</v>
      </c>
      <c r="N57" s="27">
        <v>0</v>
      </c>
      <c r="O57" s="27">
        <v>0</v>
      </c>
      <c r="P57" s="27">
        <v>4</v>
      </c>
      <c r="Q57" s="27">
        <v>1</v>
      </c>
      <c r="R57" s="27">
        <v>0</v>
      </c>
      <c r="S57" s="27">
        <v>1</v>
      </c>
      <c r="T57" s="26">
        <v>1</v>
      </c>
    </row>
    <row r="58" spans="3:20">
      <c r="C58" s="8" t="s">
        <v>224</v>
      </c>
      <c r="D58" s="27">
        <v>0</v>
      </c>
      <c r="E58" s="27">
        <v>0</v>
      </c>
      <c r="F58" s="27">
        <v>1</v>
      </c>
      <c r="G58" s="27">
        <v>0</v>
      </c>
      <c r="H58" s="27">
        <v>0</v>
      </c>
      <c r="I58" s="27">
        <v>1</v>
      </c>
      <c r="J58" s="27">
        <v>1</v>
      </c>
      <c r="K58" s="27">
        <v>1</v>
      </c>
      <c r="L58" s="27">
        <v>1</v>
      </c>
      <c r="M58" s="27">
        <v>0</v>
      </c>
      <c r="N58" s="27">
        <v>0</v>
      </c>
      <c r="O58" s="27">
        <v>1</v>
      </c>
      <c r="P58" s="27">
        <v>0</v>
      </c>
      <c r="Q58" s="27">
        <v>1</v>
      </c>
      <c r="R58" s="27">
        <v>0</v>
      </c>
      <c r="S58" s="27">
        <v>0</v>
      </c>
      <c r="T58" s="26">
        <v>4</v>
      </c>
    </row>
    <row r="59" spans="3:20">
      <c r="C59" s="8" t="s">
        <v>226</v>
      </c>
      <c r="D59" s="27">
        <v>1</v>
      </c>
      <c r="E59" s="27">
        <v>0</v>
      </c>
      <c r="F59" s="27">
        <v>1</v>
      </c>
      <c r="G59" s="27">
        <v>1</v>
      </c>
      <c r="H59" s="27">
        <v>0</v>
      </c>
      <c r="I59" s="27">
        <v>1</v>
      </c>
      <c r="J59" s="27">
        <v>1</v>
      </c>
      <c r="K59" s="27">
        <v>0</v>
      </c>
      <c r="L59" s="27">
        <v>1</v>
      </c>
      <c r="M59" s="27">
        <v>1</v>
      </c>
      <c r="N59" s="27">
        <v>0</v>
      </c>
      <c r="O59" s="27">
        <v>0</v>
      </c>
      <c r="P59" s="27">
        <v>4</v>
      </c>
      <c r="Q59" s="27">
        <v>1</v>
      </c>
      <c r="R59" s="27">
        <v>0</v>
      </c>
      <c r="S59" s="27">
        <v>1</v>
      </c>
      <c r="T59" s="26">
        <v>1</v>
      </c>
    </row>
    <row r="60" spans="3:20">
      <c r="C60" s="8" t="s">
        <v>227</v>
      </c>
      <c r="D60" s="27">
        <v>1</v>
      </c>
      <c r="E60" s="27">
        <v>0</v>
      </c>
      <c r="F60" s="27">
        <v>0</v>
      </c>
      <c r="G60" s="27">
        <v>1</v>
      </c>
      <c r="H60" s="27">
        <v>0</v>
      </c>
      <c r="I60" s="27">
        <v>0</v>
      </c>
      <c r="J60" s="27">
        <v>1</v>
      </c>
      <c r="K60" s="27">
        <v>1</v>
      </c>
      <c r="L60" s="27">
        <v>1</v>
      </c>
      <c r="M60" s="27">
        <v>1</v>
      </c>
      <c r="N60" s="27">
        <v>0</v>
      </c>
      <c r="O60" s="27">
        <v>0</v>
      </c>
      <c r="P60" s="27">
        <v>4</v>
      </c>
      <c r="Q60" s="27">
        <v>1</v>
      </c>
      <c r="R60" s="27">
        <v>0</v>
      </c>
      <c r="S60" s="27">
        <v>1</v>
      </c>
      <c r="T60" s="26">
        <v>1</v>
      </c>
    </row>
    <row r="61" spans="3:20">
      <c r="C61" s="8" t="s">
        <v>229</v>
      </c>
      <c r="D61" s="27">
        <v>0</v>
      </c>
      <c r="E61" s="27">
        <v>0</v>
      </c>
      <c r="F61" s="27">
        <v>0</v>
      </c>
      <c r="G61" s="27">
        <v>1</v>
      </c>
      <c r="H61" s="27">
        <v>0</v>
      </c>
      <c r="I61" s="27">
        <v>1</v>
      </c>
      <c r="J61" s="27">
        <v>1</v>
      </c>
      <c r="K61" s="27">
        <v>1</v>
      </c>
      <c r="L61" s="27">
        <v>1</v>
      </c>
      <c r="M61" s="27">
        <v>1</v>
      </c>
      <c r="N61" s="27">
        <v>0</v>
      </c>
      <c r="O61" s="27">
        <v>1</v>
      </c>
      <c r="P61" s="27">
        <v>0</v>
      </c>
      <c r="Q61" s="27">
        <v>1</v>
      </c>
      <c r="R61" s="27">
        <v>0</v>
      </c>
      <c r="S61" s="27">
        <v>1</v>
      </c>
      <c r="T61" s="26">
        <v>1</v>
      </c>
    </row>
    <row r="62" spans="3:20">
      <c r="C62" s="8" t="s">
        <v>230</v>
      </c>
      <c r="D62" s="27">
        <v>1</v>
      </c>
      <c r="E62" s="27">
        <v>0</v>
      </c>
      <c r="F62" s="27">
        <v>0</v>
      </c>
      <c r="G62" s="27">
        <v>1</v>
      </c>
      <c r="H62" s="27">
        <v>0</v>
      </c>
      <c r="I62" s="27">
        <v>0</v>
      </c>
      <c r="J62" s="27">
        <v>1</v>
      </c>
      <c r="K62" s="27">
        <v>1</v>
      </c>
      <c r="L62" s="27">
        <v>1</v>
      </c>
      <c r="M62" s="27">
        <v>1</v>
      </c>
      <c r="N62" s="27">
        <v>0</v>
      </c>
      <c r="O62" s="27">
        <v>0</v>
      </c>
      <c r="P62" s="27">
        <v>4</v>
      </c>
      <c r="Q62" s="27">
        <v>1</v>
      </c>
      <c r="R62" s="27">
        <v>0</v>
      </c>
      <c r="S62" s="27">
        <v>1</v>
      </c>
      <c r="T62" s="26">
        <v>1</v>
      </c>
    </row>
    <row r="63" spans="3:20">
      <c r="C63" s="8" t="s">
        <v>231</v>
      </c>
      <c r="D63" s="27">
        <v>1</v>
      </c>
      <c r="E63" s="27">
        <v>0</v>
      </c>
      <c r="F63" s="27">
        <v>0</v>
      </c>
      <c r="G63" s="27">
        <v>1</v>
      </c>
      <c r="H63" s="27">
        <v>0</v>
      </c>
      <c r="I63" s="27">
        <v>0</v>
      </c>
      <c r="J63" s="27">
        <v>1</v>
      </c>
      <c r="K63" s="27">
        <v>1</v>
      </c>
      <c r="L63" s="27">
        <v>1</v>
      </c>
      <c r="M63" s="27">
        <v>1</v>
      </c>
      <c r="N63" s="27">
        <v>0</v>
      </c>
      <c r="O63" s="27">
        <v>0</v>
      </c>
      <c r="P63" s="27">
        <v>4</v>
      </c>
      <c r="Q63" s="27">
        <v>1</v>
      </c>
      <c r="R63" s="27">
        <v>1</v>
      </c>
      <c r="S63" s="27">
        <v>1</v>
      </c>
      <c r="T63" s="26">
        <v>1</v>
      </c>
    </row>
    <row r="64" spans="3:20">
      <c r="C64" s="8" t="s">
        <v>232</v>
      </c>
      <c r="D64" s="27">
        <v>1</v>
      </c>
      <c r="E64" s="27">
        <v>0</v>
      </c>
      <c r="F64" s="27">
        <v>0</v>
      </c>
      <c r="G64" s="27">
        <v>1</v>
      </c>
      <c r="H64" s="27">
        <v>0</v>
      </c>
      <c r="I64" s="27">
        <v>0</v>
      </c>
      <c r="J64" s="27">
        <v>1</v>
      </c>
      <c r="K64" s="27">
        <v>1</v>
      </c>
      <c r="L64" s="27">
        <v>1</v>
      </c>
      <c r="M64" s="27">
        <v>1</v>
      </c>
      <c r="N64" s="27">
        <v>0</v>
      </c>
      <c r="O64" s="27">
        <v>0</v>
      </c>
      <c r="P64" s="27">
        <v>4</v>
      </c>
      <c r="Q64" s="27">
        <v>1</v>
      </c>
      <c r="R64" s="27">
        <v>0</v>
      </c>
      <c r="S64" s="27">
        <v>1</v>
      </c>
      <c r="T64" s="26">
        <v>1</v>
      </c>
    </row>
    <row r="65" spans="3:20">
      <c r="C65" s="8" t="s">
        <v>235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1</v>
      </c>
      <c r="K65" s="27">
        <v>0</v>
      </c>
      <c r="L65" s="27">
        <v>0</v>
      </c>
      <c r="M65" s="27">
        <v>1</v>
      </c>
      <c r="N65" s="27">
        <v>1</v>
      </c>
      <c r="O65" s="27">
        <v>0</v>
      </c>
      <c r="P65" s="27">
        <v>8</v>
      </c>
      <c r="Q65" s="27">
        <v>1</v>
      </c>
      <c r="R65" s="27">
        <v>0</v>
      </c>
      <c r="S65" s="27">
        <v>0</v>
      </c>
      <c r="T65" s="26">
        <v>7</v>
      </c>
    </row>
    <row r="66" spans="3:20">
      <c r="C66" s="8" t="s">
        <v>236</v>
      </c>
      <c r="D66" s="27">
        <v>0</v>
      </c>
      <c r="E66" s="27">
        <v>0</v>
      </c>
      <c r="F66" s="27">
        <v>1</v>
      </c>
      <c r="G66" s="27">
        <v>0</v>
      </c>
      <c r="H66" s="27">
        <v>0</v>
      </c>
      <c r="I66" s="27">
        <v>1</v>
      </c>
      <c r="J66" s="27">
        <v>0</v>
      </c>
      <c r="K66" s="27">
        <v>1</v>
      </c>
      <c r="L66" s="27">
        <v>1</v>
      </c>
      <c r="M66" s="27">
        <v>0</v>
      </c>
      <c r="N66" s="27">
        <v>0</v>
      </c>
      <c r="O66" s="27">
        <v>1</v>
      </c>
      <c r="P66" s="27">
        <v>0</v>
      </c>
      <c r="Q66" s="27">
        <v>1</v>
      </c>
      <c r="R66" s="27">
        <v>0</v>
      </c>
      <c r="S66" s="27">
        <v>0</v>
      </c>
      <c r="T66" s="26">
        <v>4</v>
      </c>
    </row>
    <row r="67" spans="3:20">
      <c r="C67" s="8" t="s">
        <v>238</v>
      </c>
      <c r="D67" s="27">
        <v>1</v>
      </c>
      <c r="E67" s="27">
        <v>0</v>
      </c>
      <c r="F67" s="27">
        <v>0</v>
      </c>
      <c r="G67" s="27">
        <v>1</v>
      </c>
      <c r="H67" s="27">
        <v>0</v>
      </c>
      <c r="I67" s="27">
        <v>1</v>
      </c>
      <c r="J67" s="27">
        <v>1</v>
      </c>
      <c r="K67" s="27">
        <v>1</v>
      </c>
      <c r="L67" s="27">
        <v>1</v>
      </c>
      <c r="M67" s="27">
        <v>1</v>
      </c>
      <c r="N67" s="27">
        <v>0</v>
      </c>
      <c r="O67" s="27">
        <v>1</v>
      </c>
      <c r="P67" s="27">
        <v>2</v>
      </c>
      <c r="Q67" s="27">
        <v>1</v>
      </c>
      <c r="R67" s="27">
        <v>0</v>
      </c>
      <c r="S67" s="27">
        <v>1</v>
      </c>
      <c r="T67" s="26">
        <v>1</v>
      </c>
    </row>
    <row r="68" spans="3:20">
      <c r="C68" s="8" t="s">
        <v>243</v>
      </c>
      <c r="D68" s="27">
        <v>0</v>
      </c>
      <c r="E68" s="27">
        <v>0</v>
      </c>
      <c r="F68" s="27">
        <v>1</v>
      </c>
      <c r="G68" s="27">
        <v>0</v>
      </c>
      <c r="H68" s="27">
        <v>0</v>
      </c>
      <c r="I68" s="27">
        <v>0</v>
      </c>
      <c r="J68" s="27">
        <v>1</v>
      </c>
      <c r="K68" s="27">
        <v>1</v>
      </c>
      <c r="L68" s="27">
        <v>1</v>
      </c>
      <c r="M68" s="27">
        <v>1</v>
      </c>
      <c r="N68" s="27">
        <v>0</v>
      </c>
      <c r="O68" s="27">
        <v>0</v>
      </c>
      <c r="P68" s="27">
        <v>0</v>
      </c>
      <c r="Q68" s="27">
        <v>1</v>
      </c>
      <c r="R68" s="27">
        <v>0</v>
      </c>
      <c r="S68" s="27">
        <v>0</v>
      </c>
      <c r="T68" s="26">
        <v>3</v>
      </c>
    </row>
    <row r="69" spans="3:20">
      <c r="C69" s="8" t="s">
        <v>251</v>
      </c>
      <c r="D69" s="27">
        <v>0</v>
      </c>
      <c r="E69" s="27">
        <v>0</v>
      </c>
      <c r="F69" s="27">
        <v>1</v>
      </c>
      <c r="G69" s="27">
        <v>0</v>
      </c>
      <c r="H69" s="27">
        <v>0</v>
      </c>
      <c r="I69" s="27">
        <v>1</v>
      </c>
      <c r="J69" s="27">
        <v>0</v>
      </c>
      <c r="K69" s="27">
        <v>1</v>
      </c>
      <c r="L69" s="27">
        <v>1</v>
      </c>
      <c r="M69" s="27">
        <v>1</v>
      </c>
      <c r="N69" s="27">
        <v>0</v>
      </c>
      <c r="O69" s="27">
        <v>0</v>
      </c>
      <c r="P69" s="27">
        <v>4</v>
      </c>
      <c r="Q69" s="27">
        <v>0</v>
      </c>
      <c r="R69" s="27">
        <v>0</v>
      </c>
      <c r="S69" s="27">
        <v>0</v>
      </c>
      <c r="T69" s="26">
        <v>5</v>
      </c>
    </row>
    <row r="70" spans="3:20">
      <c r="C70" s="8" t="s">
        <v>252</v>
      </c>
      <c r="D70" s="27">
        <v>0</v>
      </c>
      <c r="E70" s="27">
        <v>0</v>
      </c>
      <c r="F70" s="27">
        <v>1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1</v>
      </c>
      <c r="M70" s="27">
        <v>1</v>
      </c>
      <c r="N70" s="27">
        <v>0</v>
      </c>
      <c r="O70" s="27">
        <v>0</v>
      </c>
      <c r="P70" s="27">
        <v>4</v>
      </c>
      <c r="Q70" s="27">
        <v>1</v>
      </c>
      <c r="R70" s="27">
        <v>0</v>
      </c>
      <c r="S70" s="27">
        <v>1</v>
      </c>
      <c r="T70" s="26">
        <v>3</v>
      </c>
    </row>
    <row r="71" spans="3:20">
      <c r="C71" s="8" t="s">
        <v>253</v>
      </c>
      <c r="D71" s="27">
        <v>0</v>
      </c>
      <c r="E71" s="27">
        <v>0</v>
      </c>
      <c r="F71" s="27">
        <v>1</v>
      </c>
      <c r="G71" s="27">
        <v>0</v>
      </c>
      <c r="H71" s="27">
        <v>0</v>
      </c>
      <c r="I71" s="27">
        <v>0</v>
      </c>
      <c r="J71" s="27">
        <v>1</v>
      </c>
      <c r="K71" s="27">
        <v>1</v>
      </c>
      <c r="L71" s="27">
        <v>1</v>
      </c>
      <c r="M71" s="27">
        <v>1</v>
      </c>
      <c r="N71" s="27">
        <v>0</v>
      </c>
      <c r="O71" s="27">
        <v>0</v>
      </c>
      <c r="P71" s="27">
        <v>4</v>
      </c>
      <c r="Q71" s="27">
        <v>1</v>
      </c>
      <c r="R71" s="27">
        <v>0</v>
      </c>
      <c r="S71" s="27">
        <v>0</v>
      </c>
      <c r="T71" s="26">
        <v>3</v>
      </c>
    </row>
    <row r="72" spans="3:20">
      <c r="C72" s="8" t="s">
        <v>254</v>
      </c>
      <c r="D72" s="27">
        <v>0</v>
      </c>
      <c r="E72" s="27">
        <v>0</v>
      </c>
      <c r="F72" s="27">
        <v>1</v>
      </c>
      <c r="G72" s="27">
        <v>0</v>
      </c>
      <c r="H72" s="27">
        <v>0</v>
      </c>
      <c r="I72" s="27">
        <v>1</v>
      </c>
      <c r="J72" s="27">
        <v>1</v>
      </c>
      <c r="K72" s="27">
        <v>1</v>
      </c>
      <c r="L72" s="27">
        <v>1</v>
      </c>
      <c r="M72" s="27">
        <v>0</v>
      </c>
      <c r="N72" s="27">
        <v>0</v>
      </c>
      <c r="O72" s="27">
        <v>1</v>
      </c>
      <c r="P72" s="27">
        <v>0</v>
      </c>
      <c r="Q72" s="27">
        <v>1</v>
      </c>
      <c r="R72" s="27">
        <v>0</v>
      </c>
      <c r="S72" s="27">
        <v>1</v>
      </c>
      <c r="T72" s="26">
        <v>4</v>
      </c>
    </row>
    <row r="73" spans="3:20">
      <c r="C73" s="8" t="s">
        <v>258</v>
      </c>
      <c r="D73" s="27">
        <v>1</v>
      </c>
      <c r="E73" s="27">
        <v>0</v>
      </c>
      <c r="F73" s="27">
        <v>0</v>
      </c>
      <c r="G73" s="27">
        <v>1</v>
      </c>
      <c r="H73" s="27">
        <v>0</v>
      </c>
      <c r="I73" s="27">
        <v>0</v>
      </c>
      <c r="J73" s="27">
        <v>0</v>
      </c>
      <c r="K73" s="27">
        <v>1</v>
      </c>
      <c r="L73" s="27">
        <v>1</v>
      </c>
      <c r="M73" s="27">
        <v>1</v>
      </c>
      <c r="N73" s="27">
        <v>0</v>
      </c>
      <c r="O73" s="27">
        <v>0</v>
      </c>
      <c r="P73" s="27">
        <v>2</v>
      </c>
      <c r="Q73" s="27">
        <v>1</v>
      </c>
      <c r="R73" s="27">
        <v>0</v>
      </c>
      <c r="S73" s="27">
        <v>1</v>
      </c>
      <c r="T73" s="26">
        <v>1</v>
      </c>
    </row>
    <row r="74" spans="3:20">
      <c r="C74" s="8" t="s">
        <v>261</v>
      </c>
      <c r="D74" s="27">
        <v>0</v>
      </c>
      <c r="E74" s="27">
        <v>0</v>
      </c>
      <c r="F74" s="27">
        <v>1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1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6">
        <v>7</v>
      </c>
    </row>
    <row r="75" spans="3:20">
      <c r="C75" s="8" t="s">
        <v>262</v>
      </c>
      <c r="D75" s="27">
        <v>0</v>
      </c>
      <c r="E75" s="27">
        <v>1</v>
      </c>
      <c r="F75" s="27">
        <v>1</v>
      </c>
      <c r="G75" s="27">
        <v>0</v>
      </c>
      <c r="H75" s="27">
        <v>1</v>
      </c>
      <c r="I75" s="27">
        <v>0</v>
      </c>
      <c r="J75" s="27">
        <v>0</v>
      </c>
      <c r="K75" s="27">
        <v>0</v>
      </c>
      <c r="L75" s="27">
        <v>1</v>
      </c>
      <c r="M75" s="27">
        <v>1</v>
      </c>
      <c r="N75" s="27">
        <v>0</v>
      </c>
      <c r="O75" s="27">
        <v>0</v>
      </c>
      <c r="P75" s="27">
        <v>2</v>
      </c>
      <c r="Q75" s="27">
        <v>1</v>
      </c>
      <c r="R75" s="27">
        <v>0</v>
      </c>
      <c r="S75" s="27">
        <v>0</v>
      </c>
      <c r="T75" s="26">
        <v>2</v>
      </c>
    </row>
    <row r="76" spans="3:20">
      <c r="C76" s="8" t="s">
        <v>212</v>
      </c>
      <c r="D76" s="27">
        <v>1</v>
      </c>
      <c r="E76" s="27">
        <v>0</v>
      </c>
      <c r="F76" s="27">
        <v>0</v>
      </c>
      <c r="G76" s="27">
        <v>1</v>
      </c>
      <c r="H76" s="27">
        <v>0</v>
      </c>
      <c r="I76" s="27">
        <v>0</v>
      </c>
      <c r="J76" s="27">
        <v>1</v>
      </c>
      <c r="K76" s="27">
        <v>1</v>
      </c>
      <c r="L76" s="27">
        <v>1</v>
      </c>
      <c r="M76" s="27">
        <v>1</v>
      </c>
      <c r="N76" s="27">
        <v>0</v>
      </c>
      <c r="O76" s="27">
        <v>0</v>
      </c>
      <c r="P76" s="27">
        <v>4</v>
      </c>
      <c r="Q76" s="27">
        <v>1</v>
      </c>
      <c r="R76" s="27">
        <v>0</v>
      </c>
      <c r="S76" s="27">
        <v>1</v>
      </c>
      <c r="T76" s="26">
        <v>1</v>
      </c>
    </row>
    <row r="77" spans="3:20">
      <c r="C77" s="8" t="s">
        <v>259</v>
      </c>
      <c r="D77" s="27">
        <v>1</v>
      </c>
      <c r="E77" s="27">
        <v>0</v>
      </c>
      <c r="F77" s="27">
        <v>1</v>
      </c>
      <c r="G77" s="27">
        <v>0</v>
      </c>
      <c r="H77" s="27">
        <v>1</v>
      </c>
      <c r="I77" s="27">
        <v>0</v>
      </c>
      <c r="J77" s="27">
        <v>0</v>
      </c>
      <c r="K77" s="27">
        <v>0</v>
      </c>
      <c r="L77" s="27">
        <v>0</v>
      </c>
      <c r="M77" s="27">
        <v>1</v>
      </c>
      <c r="N77" s="27">
        <v>1</v>
      </c>
      <c r="O77" s="27">
        <v>0</v>
      </c>
      <c r="P77" s="27">
        <v>6</v>
      </c>
      <c r="Q77" s="27">
        <v>0</v>
      </c>
      <c r="R77" s="27">
        <v>0</v>
      </c>
      <c r="S77" s="27">
        <v>0</v>
      </c>
      <c r="T77" s="26">
        <v>6</v>
      </c>
    </row>
    <row r="78" spans="3:20">
      <c r="C78" s="8" t="s">
        <v>186</v>
      </c>
      <c r="D78" s="27">
        <v>1</v>
      </c>
      <c r="E78" s="27">
        <v>0</v>
      </c>
      <c r="F78" s="27">
        <v>0</v>
      </c>
      <c r="G78" s="27">
        <v>1</v>
      </c>
      <c r="H78" s="27">
        <v>0</v>
      </c>
      <c r="I78" s="27">
        <v>0</v>
      </c>
      <c r="J78" s="27">
        <v>0</v>
      </c>
      <c r="K78" s="27">
        <v>1</v>
      </c>
      <c r="L78" s="27">
        <v>1</v>
      </c>
      <c r="M78" s="27">
        <v>1</v>
      </c>
      <c r="N78" s="27">
        <v>0</v>
      </c>
      <c r="O78" s="27">
        <v>0</v>
      </c>
      <c r="P78" s="27">
        <v>4</v>
      </c>
      <c r="Q78" s="27">
        <v>1</v>
      </c>
      <c r="R78" s="27">
        <v>0</v>
      </c>
      <c r="S78" s="27">
        <v>1</v>
      </c>
      <c r="T78" s="26">
        <v>1</v>
      </c>
    </row>
    <row r="79" spans="3:20">
      <c r="C79" s="8" t="s">
        <v>250</v>
      </c>
      <c r="D79" s="27">
        <v>0</v>
      </c>
      <c r="E79" s="27">
        <v>0</v>
      </c>
      <c r="F79" s="27">
        <v>1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1</v>
      </c>
      <c r="N79" s="27">
        <v>0</v>
      </c>
      <c r="O79" s="27">
        <v>0</v>
      </c>
      <c r="P79" s="27">
        <v>6</v>
      </c>
      <c r="Q79" s="27">
        <v>0</v>
      </c>
      <c r="R79" s="27">
        <v>0</v>
      </c>
      <c r="S79" s="27">
        <v>0</v>
      </c>
      <c r="T79" s="26">
        <v>6</v>
      </c>
    </row>
    <row r="80" spans="3:20">
      <c r="C80" s="8" t="s">
        <v>248</v>
      </c>
      <c r="D80" s="27">
        <v>0</v>
      </c>
      <c r="E80" s="27">
        <v>0</v>
      </c>
      <c r="F80" s="27">
        <v>1</v>
      </c>
      <c r="G80" s="27">
        <v>0</v>
      </c>
      <c r="H80" s="27">
        <v>0</v>
      </c>
      <c r="I80" s="27">
        <v>1</v>
      </c>
      <c r="J80" s="27">
        <v>1</v>
      </c>
      <c r="K80" s="27">
        <v>1</v>
      </c>
      <c r="L80" s="27">
        <v>1</v>
      </c>
      <c r="M80" s="27">
        <v>0</v>
      </c>
      <c r="N80" s="27">
        <v>1</v>
      </c>
      <c r="O80" s="27">
        <v>1</v>
      </c>
      <c r="P80" s="27">
        <v>0</v>
      </c>
      <c r="Q80" s="27">
        <v>1</v>
      </c>
      <c r="R80" s="27">
        <v>0</v>
      </c>
      <c r="S80" s="27">
        <v>1</v>
      </c>
      <c r="T80" s="26">
        <v>4</v>
      </c>
    </row>
    <row r="81" spans="3:20">
      <c r="C81" s="8" t="s">
        <v>246</v>
      </c>
      <c r="D81" s="27">
        <v>0</v>
      </c>
      <c r="E81" s="27">
        <v>1</v>
      </c>
      <c r="F81" s="27">
        <v>1</v>
      </c>
      <c r="G81" s="27">
        <v>0</v>
      </c>
      <c r="H81" s="27">
        <v>1</v>
      </c>
      <c r="I81" s="27">
        <v>0</v>
      </c>
      <c r="J81" s="27">
        <v>0</v>
      </c>
      <c r="K81" s="27">
        <v>0</v>
      </c>
      <c r="L81" s="27">
        <v>1</v>
      </c>
      <c r="M81" s="27">
        <v>1</v>
      </c>
      <c r="N81" s="27">
        <v>0</v>
      </c>
      <c r="O81" s="27">
        <v>0</v>
      </c>
      <c r="P81" s="27">
        <v>2</v>
      </c>
      <c r="Q81" s="27">
        <v>1</v>
      </c>
      <c r="R81" s="27">
        <v>0</v>
      </c>
      <c r="S81" s="27">
        <v>0</v>
      </c>
      <c r="T81" s="26">
        <v>2</v>
      </c>
    </row>
    <row r="82" spans="3:20">
      <c r="C82" s="8" t="s">
        <v>182</v>
      </c>
      <c r="D82" s="27">
        <v>0</v>
      </c>
      <c r="E82" s="27">
        <v>0</v>
      </c>
      <c r="F82" s="27">
        <v>1</v>
      </c>
      <c r="G82" s="27">
        <v>0</v>
      </c>
      <c r="H82" s="27">
        <v>0</v>
      </c>
      <c r="I82" s="27">
        <v>0</v>
      </c>
      <c r="J82" s="27">
        <v>1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6">
        <v>7</v>
      </c>
    </row>
    <row r="83" spans="3:20">
      <c r="C83" s="8" t="s">
        <v>181</v>
      </c>
      <c r="D83" s="27">
        <v>0</v>
      </c>
      <c r="E83" s="27">
        <v>1</v>
      </c>
      <c r="F83" s="27">
        <v>1</v>
      </c>
      <c r="G83" s="27">
        <v>0</v>
      </c>
      <c r="H83" s="27">
        <v>1</v>
      </c>
      <c r="I83" s="27">
        <v>0</v>
      </c>
      <c r="J83" s="27">
        <v>0</v>
      </c>
      <c r="K83" s="27">
        <v>0</v>
      </c>
      <c r="L83" s="27">
        <v>1</v>
      </c>
      <c r="M83" s="27">
        <v>1</v>
      </c>
      <c r="N83" s="27">
        <v>0</v>
      </c>
      <c r="O83" s="27">
        <v>0</v>
      </c>
      <c r="P83" s="27">
        <v>2</v>
      </c>
      <c r="Q83" s="27">
        <v>1</v>
      </c>
      <c r="R83" s="27">
        <v>1</v>
      </c>
      <c r="S83" s="27">
        <v>0</v>
      </c>
      <c r="T83" s="26">
        <v>2</v>
      </c>
    </row>
    <row r="84" spans="3:20">
      <c r="C84" s="8" t="s">
        <v>211</v>
      </c>
      <c r="D84" s="27">
        <v>0</v>
      </c>
      <c r="E84" s="27">
        <v>0</v>
      </c>
      <c r="F84" s="27">
        <v>1</v>
      </c>
      <c r="G84" s="27">
        <v>0</v>
      </c>
      <c r="H84" s="27">
        <v>0</v>
      </c>
      <c r="I84" s="27">
        <v>1</v>
      </c>
      <c r="J84" s="27">
        <v>1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6</v>
      </c>
      <c r="Q84" s="27">
        <v>0</v>
      </c>
      <c r="R84" s="27">
        <v>0</v>
      </c>
      <c r="S84" s="27">
        <v>0</v>
      </c>
      <c r="T84" s="26">
        <v>7</v>
      </c>
    </row>
    <row r="85" spans="3:20">
      <c r="C85" s="8" t="s">
        <v>241</v>
      </c>
      <c r="D85" s="27">
        <v>0</v>
      </c>
      <c r="E85" s="27">
        <v>1</v>
      </c>
      <c r="F85" s="27">
        <v>1</v>
      </c>
      <c r="G85" s="27">
        <v>0</v>
      </c>
      <c r="H85" s="27">
        <v>1</v>
      </c>
      <c r="I85" s="27">
        <v>1</v>
      </c>
      <c r="J85" s="27">
        <v>1</v>
      </c>
      <c r="K85" s="27">
        <v>0</v>
      </c>
      <c r="L85" s="27">
        <v>1</v>
      </c>
      <c r="M85" s="27">
        <v>1</v>
      </c>
      <c r="N85" s="27">
        <v>0</v>
      </c>
      <c r="O85" s="27">
        <v>0</v>
      </c>
      <c r="P85" s="27">
        <v>2</v>
      </c>
      <c r="Q85" s="27">
        <v>1</v>
      </c>
      <c r="R85" s="27">
        <v>0</v>
      </c>
      <c r="S85" s="27">
        <v>0</v>
      </c>
      <c r="T85" s="26">
        <v>2</v>
      </c>
    </row>
    <row r="86" spans="3:20">
      <c r="C86" s="8" t="s">
        <v>194</v>
      </c>
      <c r="D86" s="27">
        <v>0</v>
      </c>
      <c r="E86" s="27">
        <v>0</v>
      </c>
      <c r="F86" s="27">
        <v>1</v>
      </c>
      <c r="G86" s="27">
        <v>0</v>
      </c>
      <c r="H86" s="27">
        <v>0</v>
      </c>
      <c r="I86" s="27">
        <v>1</v>
      </c>
      <c r="J86" s="27">
        <v>1</v>
      </c>
      <c r="K86" s="27">
        <v>1</v>
      </c>
      <c r="L86" s="27">
        <v>1</v>
      </c>
      <c r="M86" s="27">
        <v>1</v>
      </c>
      <c r="N86" s="27">
        <v>0</v>
      </c>
      <c r="O86" s="27">
        <v>0</v>
      </c>
      <c r="P86" s="27">
        <v>4</v>
      </c>
      <c r="Q86" s="27">
        <v>0</v>
      </c>
      <c r="R86" s="27">
        <v>0</v>
      </c>
      <c r="S86" s="27">
        <v>0</v>
      </c>
      <c r="T86" s="26">
        <v>5</v>
      </c>
    </row>
    <row r="87" spans="3:20">
      <c r="C87" s="8" t="s">
        <v>209</v>
      </c>
      <c r="D87" s="27">
        <v>0</v>
      </c>
      <c r="E87" s="27">
        <v>1</v>
      </c>
      <c r="F87" s="27">
        <v>1</v>
      </c>
      <c r="G87" s="27">
        <v>0</v>
      </c>
      <c r="H87" s="27">
        <v>1</v>
      </c>
      <c r="I87" s="27">
        <v>0</v>
      </c>
      <c r="J87" s="27">
        <v>0</v>
      </c>
      <c r="K87" s="27">
        <v>0</v>
      </c>
      <c r="L87" s="27">
        <v>1</v>
      </c>
      <c r="M87" s="27">
        <v>1</v>
      </c>
      <c r="N87" s="27">
        <v>0</v>
      </c>
      <c r="O87" s="27">
        <v>0</v>
      </c>
      <c r="P87" s="27">
        <v>2</v>
      </c>
      <c r="Q87" s="27">
        <v>1</v>
      </c>
      <c r="R87" s="27">
        <v>0</v>
      </c>
      <c r="S87" s="27">
        <v>0</v>
      </c>
      <c r="T87" s="26">
        <v>2</v>
      </c>
    </row>
    <row r="88" spans="3:20">
      <c r="C88" s="8" t="s">
        <v>240</v>
      </c>
      <c r="D88" s="27">
        <v>0</v>
      </c>
      <c r="E88" s="27">
        <v>0</v>
      </c>
      <c r="F88" s="27">
        <v>1</v>
      </c>
      <c r="G88" s="27">
        <v>0</v>
      </c>
      <c r="H88" s="27">
        <v>0</v>
      </c>
      <c r="I88" s="27">
        <v>1</v>
      </c>
      <c r="J88" s="27">
        <v>1</v>
      </c>
      <c r="K88" s="27">
        <v>0</v>
      </c>
      <c r="L88" s="27">
        <v>0</v>
      </c>
      <c r="M88" s="27">
        <v>0</v>
      </c>
      <c r="N88" s="27">
        <v>1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6">
        <v>7</v>
      </c>
    </row>
    <row r="89" spans="3:20">
      <c r="C89" s="8" t="s">
        <v>220</v>
      </c>
      <c r="D89" s="27">
        <v>0</v>
      </c>
      <c r="E89" s="27">
        <v>1</v>
      </c>
      <c r="F89" s="27">
        <v>1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1</v>
      </c>
      <c r="M89" s="27">
        <v>1</v>
      </c>
      <c r="N89" s="27">
        <v>0</v>
      </c>
      <c r="O89" s="27">
        <v>0</v>
      </c>
      <c r="P89" s="27">
        <v>2</v>
      </c>
      <c r="Q89" s="27">
        <v>1</v>
      </c>
      <c r="R89" s="27">
        <v>0</v>
      </c>
      <c r="S89" s="27">
        <v>1</v>
      </c>
      <c r="T89" s="26">
        <v>2</v>
      </c>
    </row>
    <row r="90" spans="3:20">
      <c r="C90" s="8" t="s">
        <v>225</v>
      </c>
      <c r="D90" s="27">
        <v>0</v>
      </c>
      <c r="E90" s="27">
        <v>0</v>
      </c>
      <c r="F90" s="27">
        <v>1</v>
      </c>
      <c r="G90" s="27">
        <v>0</v>
      </c>
      <c r="H90" s="27">
        <v>0</v>
      </c>
      <c r="I90" s="27">
        <v>0</v>
      </c>
      <c r="J90" s="27">
        <v>1</v>
      </c>
      <c r="K90" s="27">
        <v>1</v>
      </c>
      <c r="L90" s="27">
        <v>1</v>
      </c>
      <c r="M90" s="27">
        <v>1</v>
      </c>
      <c r="N90" s="27">
        <v>1</v>
      </c>
      <c r="O90" s="27">
        <v>0</v>
      </c>
      <c r="P90" s="27">
        <v>0</v>
      </c>
      <c r="Q90" s="27">
        <v>1</v>
      </c>
      <c r="R90" s="27">
        <v>0</v>
      </c>
      <c r="S90" s="27">
        <v>0</v>
      </c>
      <c r="T90" s="26">
        <v>3</v>
      </c>
    </row>
    <row r="91" spans="3:20">
      <c r="C91" s="8" t="s">
        <v>247</v>
      </c>
      <c r="D91" s="27">
        <v>1</v>
      </c>
      <c r="E91" s="27">
        <v>0</v>
      </c>
      <c r="F91" s="27">
        <v>0</v>
      </c>
      <c r="G91" s="27">
        <v>1</v>
      </c>
      <c r="H91" s="27">
        <v>0</v>
      </c>
      <c r="I91" s="27">
        <v>0</v>
      </c>
      <c r="J91" s="27">
        <v>0</v>
      </c>
      <c r="K91" s="27">
        <v>1</v>
      </c>
      <c r="L91" s="27">
        <v>1</v>
      </c>
      <c r="M91" s="27">
        <v>1</v>
      </c>
      <c r="N91" s="27">
        <v>0</v>
      </c>
      <c r="O91" s="27">
        <v>0</v>
      </c>
      <c r="P91" s="27">
        <v>2</v>
      </c>
      <c r="Q91" s="27">
        <v>1</v>
      </c>
      <c r="R91" s="27">
        <v>0</v>
      </c>
      <c r="S91" s="27">
        <v>0</v>
      </c>
      <c r="T91" s="26">
        <v>1</v>
      </c>
    </row>
    <row r="92" spans="3:20">
      <c r="C92" s="8" t="s">
        <v>223</v>
      </c>
      <c r="D92" s="27">
        <v>0</v>
      </c>
      <c r="E92" s="27">
        <v>0</v>
      </c>
      <c r="F92" s="27">
        <v>1</v>
      </c>
      <c r="G92" s="27">
        <v>0</v>
      </c>
      <c r="H92" s="27">
        <v>0</v>
      </c>
      <c r="I92" s="27">
        <v>1</v>
      </c>
      <c r="J92" s="27">
        <v>1</v>
      </c>
      <c r="K92" s="27">
        <v>1</v>
      </c>
      <c r="L92" s="27">
        <v>1</v>
      </c>
      <c r="M92" s="27">
        <v>0</v>
      </c>
      <c r="N92" s="27">
        <v>0</v>
      </c>
      <c r="O92" s="27">
        <v>1</v>
      </c>
      <c r="P92" s="27">
        <v>0</v>
      </c>
      <c r="Q92" s="27">
        <v>1</v>
      </c>
      <c r="R92" s="27">
        <v>0</v>
      </c>
      <c r="S92" s="27">
        <v>1</v>
      </c>
      <c r="T92" s="26">
        <v>4</v>
      </c>
    </row>
    <row r="93" spans="3:20">
      <c r="C93" s="8" t="s">
        <v>172</v>
      </c>
      <c r="D93" s="27">
        <v>0</v>
      </c>
      <c r="E93" s="27">
        <v>0</v>
      </c>
      <c r="F93" s="27">
        <v>1</v>
      </c>
      <c r="G93" s="27">
        <v>0</v>
      </c>
      <c r="H93" s="27">
        <v>0</v>
      </c>
      <c r="I93" s="27">
        <v>1</v>
      </c>
      <c r="J93" s="27">
        <v>1</v>
      </c>
      <c r="K93" s="27">
        <v>1</v>
      </c>
      <c r="L93" s="27">
        <v>1</v>
      </c>
      <c r="M93" s="27">
        <v>0</v>
      </c>
      <c r="N93" s="27">
        <v>0</v>
      </c>
      <c r="O93" s="27">
        <v>1</v>
      </c>
      <c r="P93" s="27">
        <v>0</v>
      </c>
      <c r="Q93" s="27">
        <v>1</v>
      </c>
      <c r="R93" s="27">
        <v>0</v>
      </c>
      <c r="S93" s="27">
        <v>0</v>
      </c>
      <c r="T93" s="26">
        <v>4</v>
      </c>
    </row>
    <row r="94" spans="3:20">
      <c r="C94" s="8" t="s">
        <v>183</v>
      </c>
      <c r="D94" s="27">
        <v>0</v>
      </c>
      <c r="E94" s="27">
        <v>0</v>
      </c>
      <c r="F94" s="27">
        <v>1</v>
      </c>
      <c r="G94" s="27">
        <v>0</v>
      </c>
      <c r="H94" s="27">
        <v>0</v>
      </c>
      <c r="I94" s="27">
        <v>1</v>
      </c>
      <c r="J94" s="27">
        <v>1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4</v>
      </c>
      <c r="Q94" s="27">
        <v>0</v>
      </c>
      <c r="R94" s="27">
        <v>0</v>
      </c>
      <c r="S94" s="27">
        <v>0</v>
      </c>
      <c r="T94" s="26">
        <v>7</v>
      </c>
    </row>
    <row r="95" spans="3:20">
      <c r="C95" s="8" t="s">
        <v>208</v>
      </c>
      <c r="D95" s="27">
        <v>0</v>
      </c>
      <c r="E95" s="27">
        <v>0</v>
      </c>
      <c r="F95" s="27">
        <v>1</v>
      </c>
      <c r="G95" s="27">
        <v>0</v>
      </c>
      <c r="H95" s="27">
        <v>1</v>
      </c>
      <c r="I95" s="27">
        <v>0</v>
      </c>
      <c r="J95" s="27">
        <v>1</v>
      </c>
      <c r="K95" s="27">
        <v>0</v>
      </c>
      <c r="L95" s="27">
        <v>0</v>
      </c>
      <c r="M95" s="27">
        <v>1</v>
      </c>
      <c r="N95" s="27">
        <v>0</v>
      </c>
      <c r="O95" s="27">
        <v>0</v>
      </c>
      <c r="P95" s="27">
        <v>6</v>
      </c>
      <c r="Q95" s="27">
        <v>0</v>
      </c>
      <c r="R95" s="27">
        <v>0</v>
      </c>
      <c r="S95" s="27">
        <v>0</v>
      </c>
      <c r="T95" s="26">
        <v>6</v>
      </c>
    </row>
    <row r="96" spans="3:20">
      <c r="C96" s="8" t="s">
        <v>201</v>
      </c>
      <c r="D96" s="27">
        <v>0</v>
      </c>
      <c r="E96" s="27">
        <v>0</v>
      </c>
      <c r="F96" s="27">
        <v>1</v>
      </c>
      <c r="G96" s="27">
        <v>0</v>
      </c>
      <c r="H96" s="27">
        <v>0</v>
      </c>
      <c r="I96" s="27">
        <v>1</v>
      </c>
      <c r="J96" s="27">
        <v>0</v>
      </c>
      <c r="K96" s="27">
        <v>1</v>
      </c>
      <c r="L96" s="27">
        <v>1</v>
      </c>
      <c r="M96" s="27">
        <v>0</v>
      </c>
      <c r="N96" s="27">
        <v>0</v>
      </c>
      <c r="O96" s="27">
        <v>1</v>
      </c>
      <c r="P96" s="27">
        <v>0</v>
      </c>
      <c r="Q96" s="27">
        <v>1</v>
      </c>
      <c r="R96" s="27">
        <v>0</v>
      </c>
      <c r="S96" s="27">
        <v>0</v>
      </c>
      <c r="T96" s="26">
        <v>4</v>
      </c>
    </row>
    <row r="97" spans="3:20">
      <c r="C97" s="8" t="s">
        <v>197</v>
      </c>
      <c r="D97" s="27">
        <v>1</v>
      </c>
      <c r="E97" s="27">
        <v>0</v>
      </c>
      <c r="F97" s="27">
        <v>0</v>
      </c>
      <c r="G97" s="27">
        <v>1</v>
      </c>
      <c r="H97" s="27">
        <v>0</v>
      </c>
      <c r="I97" s="27">
        <v>0</v>
      </c>
      <c r="J97" s="27">
        <v>0</v>
      </c>
      <c r="K97" s="27">
        <v>1</v>
      </c>
      <c r="L97" s="27">
        <v>1</v>
      </c>
      <c r="M97" s="27">
        <v>1</v>
      </c>
      <c r="N97" s="27">
        <v>0</v>
      </c>
      <c r="O97" s="27">
        <v>0</v>
      </c>
      <c r="P97" s="27">
        <v>4</v>
      </c>
      <c r="Q97" s="27">
        <v>1</v>
      </c>
      <c r="R97" s="27">
        <v>0</v>
      </c>
      <c r="S97" s="27">
        <v>1</v>
      </c>
      <c r="T97" s="26">
        <v>1</v>
      </c>
    </row>
    <row r="98" spans="3:20">
      <c r="C98" s="8" t="s">
        <v>184</v>
      </c>
      <c r="D98" s="27">
        <v>0</v>
      </c>
      <c r="E98" s="27">
        <v>0</v>
      </c>
      <c r="F98" s="27">
        <v>1</v>
      </c>
      <c r="G98" s="27">
        <v>0</v>
      </c>
      <c r="H98" s="27">
        <v>0</v>
      </c>
      <c r="I98" s="27">
        <v>1</v>
      </c>
      <c r="J98" s="27">
        <v>1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6</v>
      </c>
      <c r="Q98" s="27">
        <v>0</v>
      </c>
      <c r="R98" s="27">
        <v>0</v>
      </c>
      <c r="S98" s="27">
        <v>0</v>
      </c>
      <c r="T98" s="26">
        <v>7</v>
      </c>
    </row>
    <row r="99" spans="3:20">
      <c r="C99" s="8" t="s">
        <v>187</v>
      </c>
      <c r="D99" s="27">
        <v>0</v>
      </c>
      <c r="E99" s="27">
        <v>0</v>
      </c>
      <c r="F99" s="27">
        <v>1</v>
      </c>
      <c r="G99" s="27">
        <v>0</v>
      </c>
      <c r="H99" s="27">
        <v>0</v>
      </c>
      <c r="I99" s="27">
        <v>1</v>
      </c>
      <c r="J99" s="27">
        <v>1</v>
      </c>
      <c r="K99" s="27">
        <v>1</v>
      </c>
      <c r="L99" s="27">
        <v>1</v>
      </c>
      <c r="M99" s="27">
        <v>0</v>
      </c>
      <c r="N99" s="27">
        <v>0</v>
      </c>
      <c r="O99" s="27">
        <v>1</v>
      </c>
      <c r="P99" s="27">
        <v>0</v>
      </c>
      <c r="Q99" s="27">
        <v>1</v>
      </c>
      <c r="R99" s="27">
        <v>0</v>
      </c>
      <c r="S99" s="27">
        <v>1</v>
      </c>
      <c r="T99" s="26">
        <v>4</v>
      </c>
    </row>
    <row r="100" spans="3:20">
      <c r="C100" s="8" t="s">
        <v>242</v>
      </c>
      <c r="D100" s="27">
        <v>0</v>
      </c>
      <c r="E100" s="27">
        <v>1</v>
      </c>
      <c r="F100" s="27">
        <v>1</v>
      </c>
      <c r="G100" s="27">
        <v>0</v>
      </c>
      <c r="H100" s="27">
        <v>1</v>
      </c>
      <c r="I100" s="27">
        <v>1</v>
      </c>
      <c r="J100" s="27">
        <v>1</v>
      </c>
      <c r="K100" s="27">
        <v>0</v>
      </c>
      <c r="L100" s="27">
        <v>1</v>
      </c>
      <c r="M100" s="27">
        <v>1</v>
      </c>
      <c r="N100" s="27">
        <v>0</v>
      </c>
      <c r="O100" s="27">
        <v>0</v>
      </c>
      <c r="P100" s="27">
        <v>2</v>
      </c>
      <c r="Q100" s="27">
        <v>1</v>
      </c>
      <c r="R100" s="27">
        <v>0</v>
      </c>
      <c r="S100" s="27">
        <v>0</v>
      </c>
      <c r="T100" s="26">
        <v>2</v>
      </c>
    </row>
    <row r="101" spans="3:20">
      <c r="C101" s="8" t="s">
        <v>174</v>
      </c>
      <c r="D101" s="27">
        <v>1</v>
      </c>
      <c r="E101" s="27">
        <v>0</v>
      </c>
      <c r="F101" s="27">
        <v>0</v>
      </c>
      <c r="G101" s="27">
        <v>1</v>
      </c>
      <c r="H101" s="27">
        <v>0</v>
      </c>
      <c r="I101" s="27">
        <v>0</v>
      </c>
      <c r="J101" s="27">
        <v>1</v>
      </c>
      <c r="K101" s="27">
        <v>1</v>
      </c>
      <c r="L101" s="27">
        <v>1</v>
      </c>
      <c r="M101" s="27">
        <v>1</v>
      </c>
      <c r="N101" s="27">
        <v>0</v>
      </c>
      <c r="O101" s="27">
        <v>0</v>
      </c>
      <c r="P101" s="27">
        <v>4</v>
      </c>
      <c r="Q101" s="27">
        <v>1</v>
      </c>
      <c r="R101" s="27">
        <v>0</v>
      </c>
      <c r="S101" s="27">
        <v>1</v>
      </c>
      <c r="T101" s="26">
        <v>1</v>
      </c>
    </row>
    <row r="102" spans="3:20">
      <c r="C102" s="8" t="s">
        <v>213</v>
      </c>
      <c r="D102" s="27">
        <v>1</v>
      </c>
      <c r="E102" s="27">
        <v>0</v>
      </c>
      <c r="F102" s="27">
        <v>0</v>
      </c>
      <c r="G102" s="27">
        <v>1</v>
      </c>
      <c r="H102" s="27">
        <v>0</v>
      </c>
      <c r="I102" s="27">
        <v>1</v>
      </c>
      <c r="J102" s="27">
        <v>1</v>
      </c>
      <c r="K102" s="27">
        <v>1</v>
      </c>
      <c r="L102" s="27">
        <v>1</v>
      </c>
      <c r="M102" s="27">
        <v>1</v>
      </c>
      <c r="N102" s="27">
        <v>0</v>
      </c>
      <c r="O102" s="27">
        <v>0</v>
      </c>
      <c r="P102" s="27">
        <v>4</v>
      </c>
      <c r="Q102" s="27">
        <v>1</v>
      </c>
      <c r="R102" s="27">
        <v>0</v>
      </c>
      <c r="S102" s="27">
        <v>1</v>
      </c>
      <c r="T102" s="26">
        <v>1</v>
      </c>
    </row>
    <row r="103" spans="3:20">
      <c r="C103" s="8" t="s">
        <v>206</v>
      </c>
      <c r="D103" s="27">
        <v>1</v>
      </c>
      <c r="E103" s="27">
        <v>0</v>
      </c>
      <c r="F103" s="27">
        <v>1</v>
      </c>
      <c r="G103" s="27">
        <v>0</v>
      </c>
      <c r="H103" s="27">
        <v>1</v>
      </c>
      <c r="I103" s="27">
        <v>0</v>
      </c>
      <c r="J103" s="27">
        <v>0</v>
      </c>
      <c r="K103" s="27">
        <v>0</v>
      </c>
      <c r="L103" s="27">
        <v>0</v>
      </c>
      <c r="M103" s="27">
        <v>1</v>
      </c>
      <c r="N103" s="27">
        <v>1</v>
      </c>
      <c r="O103" s="27">
        <v>0</v>
      </c>
      <c r="P103" s="27">
        <v>6</v>
      </c>
      <c r="Q103" s="27">
        <v>0</v>
      </c>
      <c r="R103" s="27">
        <v>1</v>
      </c>
      <c r="S103" s="27">
        <v>0</v>
      </c>
      <c r="T103" s="26">
        <v>6</v>
      </c>
    </row>
    <row r="104" spans="3:20">
      <c r="C104" s="8" t="s">
        <v>180</v>
      </c>
      <c r="D104" s="27">
        <v>1</v>
      </c>
      <c r="E104" s="27">
        <v>0</v>
      </c>
      <c r="F104" s="27">
        <v>0</v>
      </c>
      <c r="G104" s="27">
        <v>1</v>
      </c>
      <c r="H104" s="27">
        <v>0</v>
      </c>
      <c r="I104" s="27">
        <v>0</v>
      </c>
      <c r="J104" s="27">
        <v>1</v>
      </c>
      <c r="K104" s="27">
        <v>1</v>
      </c>
      <c r="L104" s="27">
        <v>1</v>
      </c>
      <c r="M104" s="27">
        <v>1</v>
      </c>
      <c r="N104" s="27">
        <v>0</v>
      </c>
      <c r="O104" s="27">
        <v>0</v>
      </c>
      <c r="P104" s="27">
        <v>4</v>
      </c>
      <c r="Q104" s="27">
        <v>1</v>
      </c>
      <c r="R104" s="27">
        <v>0</v>
      </c>
      <c r="S104" s="27">
        <v>1</v>
      </c>
      <c r="T104" s="26">
        <v>1</v>
      </c>
    </row>
    <row r="105" spans="3:20">
      <c r="C105" s="8" t="s">
        <v>176</v>
      </c>
      <c r="D105" s="27">
        <v>1</v>
      </c>
      <c r="E105" s="27">
        <v>0</v>
      </c>
      <c r="F105" s="27">
        <v>0</v>
      </c>
      <c r="G105" s="27">
        <v>1</v>
      </c>
      <c r="H105" s="27">
        <v>0</v>
      </c>
      <c r="I105" s="27">
        <v>0</v>
      </c>
      <c r="J105" s="27">
        <v>0</v>
      </c>
      <c r="K105" s="27">
        <v>1</v>
      </c>
      <c r="L105" s="27">
        <v>1</v>
      </c>
      <c r="M105" s="27">
        <v>1</v>
      </c>
      <c r="N105" s="27">
        <v>0</v>
      </c>
      <c r="O105" s="27">
        <v>0</v>
      </c>
      <c r="P105" s="27">
        <v>4</v>
      </c>
      <c r="Q105" s="27">
        <v>1</v>
      </c>
      <c r="R105" s="27">
        <v>1</v>
      </c>
      <c r="S105" s="27">
        <v>1</v>
      </c>
      <c r="T105" s="26">
        <v>1</v>
      </c>
    </row>
    <row r="106" spans="3:20">
      <c r="C106" s="8" t="s">
        <v>234</v>
      </c>
      <c r="D106" s="27">
        <v>0</v>
      </c>
      <c r="E106" s="27">
        <v>1</v>
      </c>
      <c r="F106" s="27">
        <v>1</v>
      </c>
      <c r="G106" s="27">
        <v>0</v>
      </c>
      <c r="H106" s="27">
        <v>0</v>
      </c>
      <c r="I106" s="27">
        <v>0</v>
      </c>
      <c r="J106" s="27">
        <v>1</v>
      </c>
      <c r="K106" s="27">
        <v>0</v>
      </c>
      <c r="L106" s="27">
        <v>1</v>
      </c>
      <c r="M106" s="27">
        <v>1</v>
      </c>
      <c r="N106" s="27">
        <v>0</v>
      </c>
      <c r="O106" s="27">
        <v>0</v>
      </c>
      <c r="P106" s="27">
        <v>2</v>
      </c>
      <c r="Q106" s="27">
        <v>1</v>
      </c>
      <c r="R106" s="27">
        <v>0</v>
      </c>
      <c r="S106" s="27">
        <v>1</v>
      </c>
      <c r="T106" s="26">
        <v>2</v>
      </c>
    </row>
    <row r="107" spans="3:20">
      <c r="C107" s="8" t="s">
        <v>221</v>
      </c>
      <c r="D107" s="27">
        <v>0</v>
      </c>
      <c r="E107" s="27">
        <v>1</v>
      </c>
      <c r="F107" s="27">
        <v>1</v>
      </c>
      <c r="G107" s="27">
        <v>0</v>
      </c>
      <c r="H107" s="27">
        <v>1</v>
      </c>
      <c r="I107" s="27">
        <v>0</v>
      </c>
      <c r="J107" s="27">
        <v>0</v>
      </c>
      <c r="K107" s="27">
        <v>0</v>
      </c>
      <c r="L107" s="27">
        <v>1</v>
      </c>
      <c r="M107" s="27">
        <v>1</v>
      </c>
      <c r="N107" s="27">
        <v>0</v>
      </c>
      <c r="O107" s="27">
        <v>0</v>
      </c>
      <c r="P107" s="27">
        <v>2</v>
      </c>
      <c r="Q107" s="27">
        <v>1</v>
      </c>
      <c r="R107" s="27">
        <v>1</v>
      </c>
      <c r="S107" s="27">
        <v>0</v>
      </c>
      <c r="T107" s="26">
        <v>2</v>
      </c>
    </row>
    <row r="108" spans="3:20">
      <c r="C108" s="8" t="s">
        <v>239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1</v>
      </c>
      <c r="J108" s="27">
        <v>1</v>
      </c>
      <c r="K108" s="27">
        <v>1</v>
      </c>
      <c r="L108" s="27">
        <v>1</v>
      </c>
      <c r="M108" s="27">
        <v>0</v>
      </c>
      <c r="N108" s="27">
        <v>1</v>
      </c>
      <c r="O108" s="27">
        <v>0</v>
      </c>
      <c r="P108" s="27">
        <v>0</v>
      </c>
      <c r="Q108" s="27">
        <v>1</v>
      </c>
      <c r="R108" s="27">
        <v>0</v>
      </c>
      <c r="S108" s="27">
        <v>0</v>
      </c>
      <c r="T108" s="26">
        <v>3</v>
      </c>
    </row>
    <row r="109" spans="3:20">
      <c r="C109" s="8" t="s">
        <v>257</v>
      </c>
      <c r="D109" s="27">
        <v>0</v>
      </c>
      <c r="E109" s="27">
        <v>1</v>
      </c>
      <c r="F109" s="27">
        <v>1</v>
      </c>
      <c r="G109" s="27">
        <v>0</v>
      </c>
      <c r="H109" s="27">
        <v>1</v>
      </c>
      <c r="I109" s="27">
        <v>0</v>
      </c>
      <c r="J109" s="27">
        <v>1</v>
      </c>
      <c r="K109" s="27">
        <v>0</v>
      </c>
      <c r="L109" s="27">
        <v>1</v>
      </c>
      <c r="M109" s="27">
        <v>1</v>
      </c>
      <c r="N109" s="27">
        <v>0</v>
      </c>
      <c r="O109" s="27">
        <v>0</v>
      </c>
      <c r="P109" s="27">
        <v>2</v>
      </c>
      <c r="Q109" s="27">
        <v>1</v>
      </c>
      <c r="R109" s="27">
        <v>0</v>
      </c>
      <c r="S109" s="27">
        <v>1</v>
      </c>
      <c r="T109" s="26">
        <v>2</v>
      </c>
    </row>
    <row r="110" spans="3:20">
      <c r="C110" s="8" t="s">
        <v>214</v>
      </c>
      <c r="D110" s="27">
        <v>1</v>
      </c>
      <c r="E110" s="27">
        <v>0</v>
      </c>
      <c r="F110" s="27">
        <v>0</v>
      </c>
      <c r="G110" s="27">
        <v>1</v>
      </c>
      <c r="H110" s="27">
        <v>0</v>
      </c>
      <c r="I110" s="27">
        <v>0</v>
      </c>
      <c r="J110" s="27">
        <v>1</v>
      </c>
      <c r="K110" s="27">
        <v>1</v>
      </c>
      <c r="L110" s="27">
        <v>1</v>
      </c>
      <c r="M110" s="27">
        <v>1</v>
      </c>
      <c r="N110" s="27">
        <v>0</v>
      </c>
      <c r="O110" s="27">
        <v>0</v>
      </c>
      <c r="P110" s="27">
        <v>4</v>
      </c>
      <c r="Q110" s="27">
        <v>1</v>
      </c>
      <c r="R110" s="27">
        <v>0</v>
      </c>
      <c r="S110" s="27">
        <v>0</v>
      </c>
      <c r="T110" s="26">
        <v>1</v>
      </c>
    </row>
    <row r="111" spans="3:20">
      <c r="C111" s="8" t="s">
        <v>173</v>
      </c>
      <c r="D111" s="27">
        <v>1</v>
      </c>
      <c r="E111" s="27">
        <v>0</v>
      </c>
      <c r="F111" s="27">
        <v>0</v>
      </c>
      <c r="G111" s="27">
        <v>1</v>
      </c>
      <c r="H111" s="27">
        <v>0</v>
      </c>
      <c r="I111" s="27">
        <v>0</v>
      </c>
      <c r="J111" s="27">
        <v>1</v>
      </c>
      <c r="K111" s="27">
        <v>1</v>
      </c>
      <c r="L111" s="27">
        <v>1</v>
      </c>
      <c r="M111" s="27">
        <v>1</v>
      </c>
      <c r="N111" s="27">
        <v>0</v>
      </c>
      <c r="O111" s="27">
        <v>0</v>
      </c>
      <c r="P111" s="27">
        <v>4</v>
      </c>
      <c r="Q111" s="27">
        <v>0</v>
      </c>
      <c r="R111" s="27">
        <v>0</v>
      </c>
      <c r="S111" s="27">
        <v>1</v>
      </c>
      <c r="T111" s="26">
        <v>1</v>
      </c>
    </row>
    <row r="112" spans="3:20">
      <c r="C112" s="8" t="s">
        <v>189</v>
      </c>
      <c r="D112" s="27">
        <v>0</v>
      </c>
      <c r="E112" s="27">
        <v>1</v>
      </c>
      <c r="F112" s="27">
        <v>1</v>
      </c>
      <c r="G112" s="27">
        <v>0</v>
      </c>
      <c r="H112" s="27">
        <v>1</v>
      </c>
      <c r="I112" s="27">
        <v>0</v>
      </c>
      <c r="J112" s="27">
        <v>0</v>
      </c>
      <c r="K112" s="27">
        <v>0</v>
      </c>
      <c r="L112" s="27">
        <v>1</v>
      </c>
      <c r="M112" s="27">
        <v>1</v>
      </c>
      <c r="N112" s="27">
        <v>0</v>
      </c>
      <c r="O112" s="27">
        <v>0</v>
      </c>
      <c r="P112" s="27">
        <v>2</v>
      </c>
      <c r="Q112" s="27">
        <v>1</v>
      </c>
      <c r="R112" s="27">
        <v>1</v>
      </c>
      <c r="S112" s="27">
        <v>0</v>
      </c>
      <c r="T112" s="26">
        <v>2</v>
      </c>
    </row>
    <row r="113" spans="3:20">
      <c r="C113" s="8" t="s">
        <v>244</v>
      </c>
      <c r="D113" s="27">
        <v>0</v>
      </c>
      <c r="E113" s="27">
        <v>0</v>
      </c>
      <c r="F113" s="27">
        <v>1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1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6">
        <v>7</v>
      </c>
    </row>
    <row r="114" spans="3:20">
      <c r="C114" s="8" t="s">
        <v>228</v>
      </c>
      <c r="D114" s="27">
        <v>1</v>
      </c>
      <c r="E114" s="27">
        <v>0</v>
      </c>
      <c r="F114" s="27">
        <v>0</v>
      </c>
      <c r="G114" s="27">
        <v>1</v>
      </c>
      <c r="H114" s="27">
        <v>0</v>
      </c>
      <c r="I114" s="27">
        <v>0</v>
      </c>
      <c r="J114" s="27">
        <v>0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4</v>
      </c>
      <c r="Q114" s="27">
        <v>1</v>
      </c>
      <c r="R114" s="27">
        <v>1</v>
      </c>
      <c r="S114" s="27">
        <v>1</v>
      </c>
      <c r="T114" s="26">
        <v>1</v>
      </c>
    </row>
    <row r="115" spans="3:20">
      <c r="C115" s="8" t="s">
        <v>233</v>
      </c>
      <c r="D115" s="27">
        <v>1</v>
      </c>
      <c r="E115" s="27">
        <v>0</v>
      </c>
      <c r="F115" s="27">
        <v>0</v>
      </c>
      <c r="G115" s="27">
        <v>1</v>
      </c>
      <c r="H115" s="27">
        <v>0</v>
      </c>
      <c r="I115" s="27">
        <v>0</v>
      </c>
      <c r="J115" s="27">
        <v>0</v>
      </c>
      <c r="K115" s="27">
        <v>1</v>
      </c>
      <c r="L115" s="27">
        <v>1</v>
      </c>
      <c r="M115" s="27">
        <v>1</v>
      </c>
      <c r="N115" s="27">
        <v>0</v>
      </c>
      <c r="O115" s="27">
        <v>0</v>
      </c>
      <c r="P115" s="27">
        <v>4</v>
      </c>
      <c r="Q115" s="27">
        <v>1</v>
      </c>
      <c r="R115" s="27">
        <v>1</v>
      </c>
      <c r="S115" s="27">
        <v>1</v>
      </c>
      <c r="T115" s="26">
        <v>1</v>
      </c>
    </row>
    <row r="116" spans="3:20">
      <c r="C116" s="8" t="s">
        <v>177</v>
      </c>
      <c r="D116" s="27">
        <v>0</v>
      </c>
      <c r="E116" s="27">
        <v>0</v>
      </c>
      <c r="F116" s="27">
        <v>1</v>
      </c>
      <c r="G116" s="27">
        <v>0</v>
      </c>
      <c r="H116" s="27">
        <v>0</v>
      </c>
      <c r="I116" s="27">
        <v>1</v>
      </c>
      <c r="J116" s="27">
        <v>0</v>
      </c>
      <c r="K116" s="27">
        <v>1</v>
      </c>
      <c r="L116" s="27">
        <v>1</v>
      </c>
      <c r="M116" s="27">
        <v>0</v>
      </c>
      <c r="N116" s="27">
        <v>0</v>
      </c>
      <c r="O116" s="27">
        <v>1</v>
      </c>
      <c r="P116" s="27">
        <v>0</v>
      </c>
      <c r="Q116" s="27">
        <v>1</v>
      </c>
      <c r="R116" s="27">
        <v>1</v>
      </c>
      <c r="S116" s="27">
        <v>0</v>
      </c>
      <c r="T116" s="26">
        <v>4</v>
      </c>
    </row>
    <row r="117" spans="3:20">
      <c r="C117" s="8" t="s">
        <v>256</v>
      </c>
      <c r="D117" s="27">
        <v>1</v>
      </c>
      <c r="E117" s="27">
        <v>0</v>
      </c>
      <c r="F117" s="27">
        <v>0</v>
      </c>
      <c r="G117" s="27">
        <v>1</v>
      </c>
      <c r="H117" s="27">
        <v>0</v>
      </c>
      <c r="I117" s="27">
        <v>0</v>
      </c>
      <c r="J117" s="27">
        <v>0</v>
      </c>
      <c r="K117" s="27">
        <v>1</v>
      </c>
      <c r="L117" s="27">
        <v>1</v>
      </c>
      <c r="M117" s="27">
        <v>1</v>
      </c>
      <c r="N117" s="27">
        <v>0</v>
      </c>
      <c r="O117" s="27">
        <v>0</v>
      </c>
      <c r="P117" s="27">
        <v>4</v>
      </c>
      <c r="Q117" s="27">
        <v>1</v>
      </c>
      <c r="R117" s="27">
        <v>0</v>
      </c>
      <c r="S117" s="27">
        <v>0</v>
      </c>
      <c r="T117" s="26">
        <v>1</v>
      </c>
    </row>
    <row r="118" spans="3:20">
      <c r="C118" s="8" t="s">
        <v>200</v>
      </c>
      <c r="D118" s="27">
        <v>0</v>
      </c>
      <c r="E118" s="27">
        <v>1</v>
      </c>
      <c r="F118" s="27">
        <v>1</v>
      </c>
      <c r="G118" s="27">
        <v>0</v>
      </c>
      <c r="H118" s="27">
        <v>1</v>
      </c>
      <c r="I118" s="27">
        <v>1</v>
      </c>
      <c r="J118" s="27">
        <v>1</v>
      </c>
      <c r="K118" s="27">
        <v>0</v>
      </c>
      <c r="L118" s="27">
        <v>1</v>
      </c>
      <c r="M118" s="27">
        <v>1</v>
      </c>
      <c r="N118" s="27">
        <v>0</v>
      </c>
      <c r="O118" s="27">
        <v>0</v>
      </c>
      <c r="P118" s="27">
        <v>2</v>
      </c>
      <c r="Q118" s="27">
        <v>1</v>
      </c>
      <c r="R118" s="27">
        <v>0</v>
      </c>
      <c r="S118" s="27">
        <v>0</v>
      </c>
      <c r="T118" s="26">
        <v>2</v>
      </c>
    </row>
    <row r="119" spans="3:20">
      <c r="C119" s="8" t="s">
        <v>237</v>
      </c>
      <c r="D119" s="27">
        <v>1</v>
      </c>
      <c r="E119" s="27">
        <v>0</v>
      </c>
      <c r="F119" s="27">
        <v>0</v>
      </c>
      <c r="G119" s="27">
        <v>1</v>
      </c>
      <c r="H119" s="27">
        <v>0</v>
      </c>
      <c r="I119" s="27">
        <v>1</v>
      </c>
      <c r="J119" s="27">
        <v>1</v>
      </c>
      <c r="K119" s="27">
        <v>1</v>
      </c>
      <c r="L119" s="27">
        <v>1</v>
      </c>
      <c r="M119" s="27">
        <v>1</v>
      </c>
      <c r="N119" s="27">
        <v>0</v>
      </c>
      <c r="O119" s="27">
        <v>1</v>
      </c>
      <c r="P119" s="27">
        <v>0</v>
      </c>
      <c r="Q119" s="27">
        <v>0</v>
      </c>
      <c r="R119" s="27">
        <v>0</v>
      </c>
      <c r="S119" s="27">
        <v>1</v>
      </c>
      <c r="T119" s="26">
        <v>1</v>
      </c>
    </row>
    <row r="120" spans="3:20">
      <c r="C120" s="8" t="s">
        <v>255</v>
      </c>
      <c r="D120" s="27">
        <v>1</v>
      </c>
      <c r="E120" s="27">
        <v>0</v>
      </c>
      <c r="F120" s="27">
        <v>0</v>
      </c>
      <c r="G120" s="27">
        <v>1</v>
      </c>
      <c r="H120" s="27">
        <v>1</v>
      </c>
      <c r="I120" s="27">
        <v>0</v>
      </c>
      <c r="J120" s="27">
        <v>0</v>
      </c>
      <c r="K120" s="27">
        <v>1</v>
      </c>
      <c r="L120" s="27">
        <v>1</v>
      </c>
      <c r="M120" s="27">
        <v>1</v>
      </c>
      <c r="N120" s="27">
        <v>0</v>
      </c>
      <c r="O120" s="27">
        <v>0</v>
      </c>
      <c r="P120" s="27">
        <v>2</v>
      </c>
      <c r="Q120" s="27">
        <v>1</v>
      </c>
      <c r="R120" s="27">
        <v>0</v>
      </c>
      <c r="S120" s="27">
        <v>0</v>
      </c>
      <c r="T120" s="26">
        <v>1</v>
      </c>
    </row>
    <row r="121" spans="3:20">
      <c r="C121" s="8" t="s">
        <v>245</v>
      </c>
      <c r="D121" s="27">
        <v>0</v>
      </c>
      <c r="E121" s="27">
        <v>0</v>
      </c>
      <c r="F121" s="27">
        <v>1</v>
      </c>
      <c r="G121" s="27">
        <v>0</v>
      </c>
      <c r="H121" s="27">
        <v>0</v>
      </c>
      <c r="I121" s="27">
        <v>1</v>
      </c>
      <c r="J121" s="27">
        <v>0</v>
      </c>
      <c r="K121" s="27">
        <v>1</v>
      </c>
      <c r="L121" s="27">
        <v>1</v>
      </c>
      <c r="M121" s="27">
        <v>0</v>
      </c>
      <c r="N121" s="27">
        <v>0</v>
      </c>
      <c r="O121" s="27">
        <v>1</v>
      </c>
      <c r="P121" s="27">
        <v>0</v>
      </c>
      <c r="Q121" s="27">
        <v>1</v>
      </c>
      <c r="R121" s="27">
        <v>0</v>
      </c>
      <c r="S121" s="27">
        <v>0</v>
      </c>
      <c r="T121" s="26">
        <v>4</v>
      </c>
    </row>
    <row r="122" spans="3:20">
      <c r="C122" s="8" t="s">
        <v>222</v>
      </c>
      <c r="D122" s="27">
        <v>0</v>
      </c>
      <c r="E122" s="27">
        <v>1</v>
      </c>
      <c r="F122" s="27">
        <v>1</v>
      </c>
      <c r="G122" s="27">
        <v>0</v>
      </c>
      <c r="H122" s="27">
        <v>1</v>
      </c>
      <c r="I122" s="27">
        <v>0</v>
      </c>
      <c r="J122" s="27">
        <v>0</v>
      </c>
      <c r="K122" s="27">
        <v>0</v>
      </c>
      <c r="L122" s="27">
        <v>1</v>
      </c>
      <c r="M122" s="27">
        <v>1</v>
      </c>
      <c r="N122" s="27">
        <v>0</v>
      </c>
      <c r="O122" s="27">
        <v>0</v>
      </c>
      <c r="P122" s="27">
        <v>2</v>
      </c>
      <c r="Q122" s="27">
        <v>1</v>
      </c>
      <c r="R122" s="27">
        <v>0</v>
      </c>
      <c r="S122" s="27">
        <v>0</v>
      </c>
      <c r="T122" s="26">
        <v>2</v>
      </c>
    </row>
    <row r="123" spans="3:20">
      <c r="C123" s="8" t="s">
        <v>210</v>
      </c>
      <c r="D123" s="27">
        <v>1</v>
      </c>
      <c r="E123" s="27">
        <v>0</v>
      </c>
      <c r="F123" s="27">
        <v>0</v>
      </c>
      <c r="G123" s="27">
        <v>1</v>
      </c>
      <c r="H123" s="27">
        <v>0</v>
      </c>
      <c r="I123" s="27">
        <v>0</v>
      </c>
      <c r="J123" s="27">
        <v>1</v>
      </c>
      <c r="K123" s="27">
        <v>1</v>
      </c>
      <c r="L123" s="27">
        <v>1</v>
      </c>
      <c r="M123" s="27">
        <v>1</v>
      </c>
      <c r="N123" s="27">
        <v>0</v>
      </c>
      <c r="O123" s="27">
        <v>0</v>
      </c>
      <c r="P123" s="27">
        <v>4</v>
      </c>
      <c r="Q123" s="27">
        <v>1</v>
      </c>
      <c r="R123" s="27">
        <v>0</v>
      </c>
      <c r="S123" s="27">
        <v>1</v>
      </c>
      <c r="T123" s="26">
        <v>1</v>
      </c>
    </row>
    <row r="124" spans="3:20">
      <c r="C124" s="8" t="s">
        <v>263</v>
      </c>
      <c r="D124" s="27">
        <v>0</v>
      </c>
      <c r="E124" s="27">
        <v>0</v>
      </c>
      <c r="F124" s="27">
        <v>1</v>
      </c>
      <c r="G124" s="27">
        <v>0</v>
      </c>
      <c r="H124" s="27">
        <v>0</v>
      </c>
      <c r="I124" s="27">
        <v>1</v>
      </c>
      <c r="J124" s="27">
        <v>1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8</v>
      </c>
      <c r="Q124" s="27">
        <v>0</v>
      </c>
      <c r="R124" s="27">
        <v>0</v>
      </c>
      <c r="S124" s="27">
        <v>1</v>
      </c>
      <c r="T124" s="26">
        <v>7</v>
      </c>
    </row>
    <row r="125" spans="3:20">
      <c r="C125" s="8" t="s">
        <v>216</v>
      </c>
      <c r="D125" s="27">
        <v>1</v>
      </c>
      <c r="E125" s="27">
        <v>0</v>
      </c>
      <c r="F125" s="27">
        <v>1</v>
      </c>
      <c r="G125" s="27">
        <v>0</v>
      </c>
      <c r="H125" s="27">
        <v>1</v>
      </c>
      <c r="I125" s="27">
        <v>0</v>
      </c>
      <c r="J125" s="27">
        <v>0</v>
      </c>
      <c r="K125" s="27">
        <v>0</v>
      </c>
      <c r="L125" s="27">
        <v>0</v>
      </c>
      <c r="M125" s="27">
        <v>1</v>
      </c>
      <c r="N125" s="27">
        <v>0</v>
      </c>
      <c r="O125" s="27">
        <v>0</v>
      </c>
      <c r="P125" s="27">
        <v>6</v>
      </c>
      <c r="Q125" s="27">
        <v>0</v>
      </c>
      <c r="R125" s="27">
        <v>0</v>
      </c>
      <c r="S125" s="27">
        <v>0</v>
      </c>
      <c r="T125" s="26">
        <v>6</v>
      </c>
    </row>
    <row r="126" spans="3:20">
      <c r="C126" s="8" t="s">
        <v>179</v>
      </c>
      <c r="D126" s="27">
        <v>1</v>
      </c>
      <c r="E126" s="27">
        <v>0</v>
      </c>
      <c r="F126" s="27">
        <v>0</v>
      </c>
      <c r="G126" s="27">
        <v>1</v>
      </c>
      <c r="H126" s="27">
        <v>0</v>
      </c>
      <c r="I126" s="27">
        <v>0</v>
      </c>
      <c r="J126" s="27">
        <v>0</v>
      </c>
      <c r="K126" s="27">
        <v>1</v>
      </c>
      <c r="L126" s="27">
        <v>1</v>
      </c>
      <c r="M126" s="27">
        <v>1</v>
      </c>
      <c r="N126" s="27">
        <v>0</v>
      </c>
      <c r="O126" s="27">
        <v>0</v>
      </c>
      <c r="P126" s="27">
        <v>4</v>
      </c>
      <c r="Q126" s="27">
        <v>0</v>
      </c>
      <c r="R126" s="27">
        <v>1</v>
      </c>
      <c r="S126" s="27">
        <v>0</v>
      </c>
      <c r="T126" s="26">
        <v>1</v>
      </c>
    </row>
    <row r="127" spans="3:20">
      <c r="C127" s="8" t="s">
        <v>260</v>
      </c>
      <c r="D127" s="27">
        <v>1</v>
      </c>
      <c r="E127" s="27">
        <v>0</v>
      </c>
      <c r="F127" s="27">
        <v>0</v>
      </c>
      <c r="G127" s="27">
        <v>1</v>
      </c>
      <c r="H127" s="27">
        <v>0</v>
      </c>
      <c r="I127" s="27">
        <v>0</v>
      </c>
      <c r="J127" s="27">
        <v>1</v>
      </c>
      <c r="K127" s="27">
        <v>1</v>
      </c>
      <c r="L127" s="27">
        <v>1</v>
      </c>
      <c r="M127" s="27">
        <v>1</v>
      </c>
      <c r="N127" s="27">
        <v>0</v>
      </c>
      <c r="O127" s="27">
        <v>0</v>
      </c>
      <c r="P127" s="27">
        <v>4</v>
      </c>
      <c r="Q127" s="27">
        <v>1</v>
      </c>
      <c r="R127" s="27">
        <v>0</v>
      </c>
      <c r="S127" s="27">
        <v>1</v>
      </c>
      <c r="T127" s="26">
        <v>1</v>
      </c>
    </row>
    <row r="128" spans="3:20">
      <c r="C128" s="8" t="s">
        <v>249</v>
      </c>
      <c r="D128" s="27">
        <v>0</v>
      </c>
      <c r="E128" s="27">
        <v>1</v>
      </c>
      <c r="F128" s="27">
        <v>1</v>
      </c>
      <c r="G128" s="27">
        <v>0</v>
      </c>
      <c r="H128" s="27">
        <v>1</v>
      </c>
      <c r="I128" s="27">
        <v>1</v>
      </c>
      <c r="J128" s="27">
        <v>0</v>
      </c>
      <c r="K128" s="27">
        <v>0</v>
      </c>
      <c r="L128" s="27">
        <v>1</v>
      </c>
      <c r="M128" s="27">
        <v>1</v>
      </c>
      <c r="N128" s="27">
        <v>0</v>
      </c>
      <c r="O128" s="27">
        <v>0</v>
      </c>
      <c r="P128" s="27">
        <v>2</v>
      </c>
      <c r="Q128" s="27">
        <v>1</v>
      </c>
      <c r="R128" s="27">
        <v>0</v>
      </c>
      <c r="S128" s="27">
        <v>1</v>
      </c>
      <c r="T128" s="26">
        <v>2</v>
      </c>
    </row>
    <row r="129" spans="3:20">
      <c r="C129" s="8" t="s">
        <v>204</v>
      </c>
      <c r="D129" s="27">
        <v>0</v>
      </c>
      <c r="E129" s="27">
        <v>1</v>
      </c>
      <c r="F129" s="27">
        <v>1</v>
      </c>
      <c r="G129" s="27">
        <v>0</v>
      </c>
      <c r="H129" s="27">
        <v>1</v>
      </c>
      <c r="I129" s="27">
        <v>0</v>
      </c>
      <c r="J129" s="27">
        <v>1</v>
      </c>
      <c r="K129" s="27">
        <v>0</v>
      </c>
      <c r="L129" s="27">
        <v>1</v>
      </c>
      <c r="M129" s="27">
        <v>1</v>
      </c>
      <c r="N129" s="27">
        <v>0</v>
      </c>
      <c r="O129" s="27">
        <v>0</v>
      </c>
      <c r="P129" s="27">
        <v>2</v>
      </c>
      <c r="Q129" s="27">
        <v>1</v>
      </c>
      <c r="R129" s="27">
        <v>0</v>
      </c>
      <c r="S129" s="27">
        <v>0</v>
      </c>
      <c r="T129" s="26">
        <v>2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V18"/>
    <mergeCell ref="C19:E19"/>
    <mergeCell ref="C20:E20"/>
    <mergeCell ref="F19:V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3'!$B$10:$B$10" display="Inputs" xr:uid="{39506897-D4E5-4E82-AC4A-36CBAB21D8DF}"/>
    <hyperlink ref="D4" location="'STDPartition3'!$B$28:$B$28" display="Partition Summary" xr:uid="{90FB6841-4738-4DE7-B02B-B065703EB648}"/>
    <hyperlink ref="F4" location="'STDPartition3'!$B$34:$B$34" display="Partitioned Data" xr:uid="{F88C8D1A-144C-4CED-9D21-89645B3B89FF}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DCF6-E01B-45A4-A940-1B6CBCADB668}">
  <dimension ref="B1:CV39"/>
  <sheetViews>
    <sheetView showGridLines="0" topLeftCell="A23" workbookViewId="0"/>
  </sheetViews>
  <sheetFormatPr defaultRowHeight="13.2"/>
  <cols>
    <col min="12" max="12" width="29.109375" bestFit="1" customWidth="1"/>
  </cols>
  <sheetData>
    <row r="1" spans="2:100" ht="18">
      <c r="B1" s="5" t="s">
        <v>452</v>
      </c>
      <c r="N1" t="s">
        <v>531</v>
      </c>
      <c r="CV1" s="25" t="s">
        <v>470</v>
      </c>
    </row>
    <row r="3" spans="2:100" ht="15.6">
      <c r="B3" s="28" t="s">
        <v>122</v>
      </c>
      <c r="C3" s="29"/>
      <c r="D3" s="29"/>
      <c r="E3" s="29"/>
      <c r="F3" s="29"/>
      <c r="G3" s="29"/>
      <c r="H3" s="29"/>
      <c r="I3" s="30"/>
      <c r="L3" s="28" t="s">
        <v>145</v>
      </c>
      <c r="M3" s="29"/>
      <c r="N3" s="29"/>
      <c r="O3" s="30"/>
    </row>
    <row r="4" spans="2:100" ht="13.8">
      <c r="B4" s="20" t="s">
        <v>123</v>
      </c>
      <c r="C4" s="18"/>
      <c r="D4" s="20" t="s">
        <v>282</v>
      </c>
      <c r="E4" s="18"/>
      <c r="F4" s="20" t="s">
        <v>428</v>
      </c>
      <c r="G4" s="18"/>
      <c r="H4" s="20" t="s">
        <v>429</v>
      </c>
      <c r="I4" s="18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00" ht="13.8">
      <c r="L5" s="15">
        <v>87</v>
      </c>
      <c r="M5" s="15">
        <v>10</v>
      </c>
      <c r="N5" s="15">
        <v>18</v>
      </c>
      <c r="O5" s="15">
        <v>115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  <c r="J12" s="21"/>
      <c r="K12" s="21"/>
    </row>
    <row r="13" spans="2:100" ht="13.8">
      <c r="C13" s="22" t="s">
        <v>126</v>
      </c>
      <c r="D13" s="22"/>
      <c r="E13" s="22"/>
      <c r="F13" s="23"/>
      <c r="G13" s="12" t="s">
        <v>140</v>
      </c>
      <c r="H13" s="12"/>
      <c r="I13" s="12"/>
      <c r="J13" s="12"/>
      <c r="K13" s="12"/>
    </row>
    <row r="14" spans="2:100" ht="13.8">
      <c r="C14" s="22" t="s">
        <v>127</v>
      </c>
      <c r="D14" s="22"/>
      <c r="E14" s="22"/>
      <c r="F14" s="23"/>
      <c r="G14" s="12" t="s">
        <v>540</v>
      </c>
      <c r="H14" s="12"/>
      <c r="I14" s="12"/>
      <c r="J14" s="12"/>
      <c r="K14" s="12"/>
    </row>
    <row r="15" spans="2:100" ht="13.8">
      <c r="C15" s="22" t="s">
        <v>453</v>
      </c>
      <c r="D15" s="22"/>
      <c r="E15" s="22"/>
      <c r="F15" s="23"/>
      <c r="G15" s="12" t="s">
        <v>541</v>
      </c>
      <c r="H15" s="12"/>
      <c r="I15" s="12"/>
      <c r="J15" s="12"/>
      <c r="K15" s="12"/>
    </row>
    <row r="16" spans="2:100" ht="13.8">
      <c r="C16" s="22" t="s">
        <v>454</v>
      </c>
      <c r="D16" s="22"/>
      <c r="E16" s="22"/>
      <c r="F16" s="23"/>
      <c r="G16" s="12">
        <v>70</v>
      </c>
      <c r="H16" s="12"/>
      <c r="I16" s="12"/>
      <c r="J16" s="12"/>
      <c r="K16" s="12"/>
    </row>
    <row r="17" spans="3:20" ht="13.8">
      <c r="C17" s="22" t="s">
        <v>455</v>
      </c>
      <c r="D17" s="22"/>
      <c r="E17" s="22"/>
      <c r="F17" s="23"/>
      <c r="G17" s="12" t="s">
        <v>542</v>
      </c>
      <c r="H17" s="12"/>
      <c r="I17" s="12"/>
      <c r="J17" s="12"/>
      <c r="K17" s="12"/>
    </row>
    <row r="18" spans="3:20" ht="13.8">
      <c r="C18" s="22" t="s">
        <v>456</v>
      </c>
      <c r="D18" s="22"/>
      <c r="E18" s="22"/>
      <c r="F18" s="23"/>
      <c r="G18" s="12">
        <v>23</v>
      </c>
      <c r="H18" s="12"/>
      <c r="I18" s="12"/>
      <c r="J18" s="12"/>
      <c r="K18" s="12"/>
    </row>
    <row r="20" spans="3:20" ht="15.6">
      <c r="C20" s="21" t="s">
        <v>130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3:20" ht="13.8">
      <c r="C21" s="22" t="s">
        <v>457</v>
      </c>
      <c r="D21" s="23"/>
      <c r="E21" s="12">
        <v>16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3:20" ht="13.8">
      <c r="C22" s="22" t="s">
        <v>458</v>
      </c>
      <c r="D22" s="23"/>
      <c r="E22" s="15" t="s">
        <v>153</v>
      </c>
      <c r="F22" s="15" t="s">
        <v>154</v>
      </c>
      <c r="G22" s="15" t="s">
        <v>155</v>
      </c>
      <c r="H22" s="15" t="s">
        <v>156</v>
      </c>
      <c r="I22" s="15" t="s">
        <v>157</v>
      </c>
      <c r="J22" s="15" t="s">
        <v>158</v>
      </c>
      <c r="K22" s="15" t="s">
        <v>159</v>
      </c>
      <c r="L22" s="15" t="s">
        <v>160</v>
      </c>
      <c r="M22" s="15" t="s">
        <v>161</v>
      </c>
      <c r="N22" s="15" t="s">
        <v>162</v>
      </c>
      <c r="O22" s="15" t="s">
        <v>163</v>
      </c>
      <c r="P22" s="15" t="s">
        <v>164</v>
      </c>
      <c r="Q22" s="15" t="s">
        <v>165</v>
      </c>
      <c r="R22" s="15" t="s">
        <v>166</v>
      </c>
      <c r="S22" s="15" t="s">
        <v>167</v>
      </c>
      <c r="T22" s="15" t="s">
        <v>168</v>
      </c>
    </row>
    <row r="23" spans="3:20" ht="13.8">
      <c r="C23" s="22" t="s">
        <v>459</v>
      </c>
      <c r="D23" s="23"/>
      <c r="E23" s="11" t="s">
        <v>169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5" spans="3:20" ht="15.6">
      <c r="C25" s="21" t="s">
        <v>460</v>
      </c>
      <c r="D25" s="21"/>
      <c r="E25" s="21"/>
      <c r="F25" s="21"/>
      <c r="G25" s="21"/>
      <c r="H25" s="21"/>
      <c r="I25" s="21"/>
    </row>
    <row r="26" spans="3:20" ht="13.8">
      <c r="C26" s="22" t="s">
        <v>461</v>
      </c>
      <c r="D26" s="22"/>
      <c r="E26" s="23"/>
      <c r="F26" s="12" t="b">
        <v>1</v>
      </c>
      <c r="G26" s="12"/>
      <c r="H26" s="12"/>
      <c r="I26" s="12"/>
    </row>
    <row r="27" spans="3:20" ht="13.8">
      <c r="C27" s="22" t="s">
        <v>462</v>
      </c>
      <c r="D27" s="22"/>
      <c r="E27" s="23"/>
      <c r="F27" s="12">
        <v>1</v>
      </c>
      <c r="G27" s="12"/>
      <c r="H27" s="12"/>
      <c r="I27" s="12"/>
    </row>
    <row r="28" spans="3:20" ht="13.8">
      <c r="C28" s="22" t="s">
        <v>463</v>
      </c>
      <c r="D28" s="22"/>
      <c r="E28" s="23"/>
      <c r="F28" s="13" t="s">
        <v>466</v>
      </c>
      <c r="G28" s="14"/>
      <c r="H28" s="14"/>
      <c r="I28" s="32"/>
    </row>
    <row r="30" spans="3:20" ht="15.6">
      <c r="C30" s="28" t="s">
        <v>464</v>
      </c>
      <c r="D30" s="29"/>
      <c r="E30" s="29"/>
      <c r="F30" s="29"/>
      <c r="G30" s="29"/>
      <c r="H30" s="29"/>
      <c r="I30" s="30"/>
    </row>
    <row r="31" spans="3:20" ht="13.8">
      <c r="C31" s="23" t="s">
        <v>465</v>
      </c>
      <c r="D31" s="33"/>
      <c r="E31" s="34"/>
      <c r="F31" s="13">
        <v>7</v>
      </c>
      <c r="G31" s="14"/>
      <c r="H31" s="14"/>
      <c r="I31" s="32"/>
    </row>
    <row r="33" spans="3:9" ht="15.6">
      <c r="C33" s="28" t="s">
        <v>471</v>
      </c>
      <c r="D33" s="29"/>
      <c r="E33" s="29"/>
      <c r="F33" s="29"/>
      <c r="G33" s="29"/>
      <c r="H33" s="29"/>
      <c r="I33" s="30"/>
    </row>
    <row r="34" spans="3:9" ht="13.8">
      <c r="C34" s="23" t="s">
        <v>472</v>
      </c>
      <c r="D34" s="33"/>
      <c r="E34" s="34"/>
      <c r="F34" s="13" t="b">
        <v>0</v>
      </c>
      <c r="G34" s="14"/>
      <c r="H34" s="14"/>
      <c r="I34" s="32"/>
    </row>
    <row r="35" spans="3:9" ht="13.8">
      <c r="C35" s="23" t="s">
        <v>473</v>
      </c>
      <c r="D35" s="33"/>
      <c r="E35" s="34"/>
      <c r="F35" s="13" t="b">
        <v>0</v>
      </c>
      <c r="G35" s="14"/>
      <c r="H35" s="14"/>
      <c r="I35" s="32"/>
    </row>
    <row r="37" spans="3:9" ht="15.6">
      <c r="C37" s="28" t="s">
        <v>474</v>
      </c>
      <c r="D37" s="29"/>
      <c r="E37" s="29"/>
      <c r="F37" s="29"/>
      <c r="G37" s="30"/>
    </row>
    <row r="38" spans="3:9" ht="13.8">
      <c r="C38" s="9" t="s">
        <v>475</v>
      </c>
      <c r="D38" s="10"/>
      <c r="E38" s="10"/>
      <c r="F38" s="10"/>
      <c r="G38" s="35"/>
    </row>
    <row r="39" spans="3:9" ht="13.8">
      <c r="C39" s="9" t="s">
        <v>476</v>
      </c>
      <c r="D39" s="10"/>
      <c r="E39" s="10"/>
      <c r="F39" s="10"/>
      <c r="G39" s="35"/>
    </row>
  </sheetData>
  <mergeCells count="43">
    <mergeCell ref="H4:I4"/>
    <mergeCell ref="B3:I3"/>
    <mergeCell ref="L3:O3"/>
    <mergeCell ref="C37:G37"/>
    <mergeCell ref="C38:G38"/>
    <mergeCell ref="C39:G39"/>
    <mergeCell ref="B4:C4"/>
    <mergeCell ref="D4:E4"/>
    <mergeCell ref="F4:G4"/>
    <mergeCell ref="C30:I30"/>
    <mergeCell ref="C31:E31"/>
    <mergeCell ref="F31:I31"/>
    <mergeCell ref="C33:I33"/>
    <mergeCell ref="C34:E34"/>
    <mergeCell ref="C35:E35"/>
    <mergeCell ref="F34:I34"/>
    <mergeCell ref="F35:I35"/>
    <mergeCell ref="C25:I25"/>
    <mergeCell ref="C26:E26"/>
    <mergeCell ref="C27:E27"/>
    <mergeCell ref="C28:E28"/>
    <mergeCell ref="F26:I26"/>
    <mergeCell ref="F27:I27"/>
    <mergeCell ref="F28:I28"/>
    <mergeCell ref="C20:T20"/>
    <mergeCell ref="C21:D21"/>
    <mergeCell ref="C22:D22"/>
    <mergeCell ref="C23:D23"/>
    <mergeCell ref="E21:T21"/>
    <mergeCell ref="E23:T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NB_Output3'!$B$10:$B$10" display="Inputs" xr:uid="{90419EED-3C65-464C-BF7C-E79475F44EC2}"/>
    <hyperlink ref="D4" location="'NB_Stored3'!$B$10:$B$10" display="PMML Model" xr:uid="{9CD4CEC6-E633-47BB-A3F7-4D918728B7D0}"/>
    <hyperlink ref="F4" location="'NB_TrainingScore3'!$B$10:$B$10" display="Training: Classification Summary" xr:uid="{76D9B7C4-CB8A-4181-AACE-2C472CB0A6EA}"/>
    <hyperlink ref="H4" location="'NB_ValidationScore3'!$B$10:$B$10" display="Validation: Classification Summary" xr:uid="{F5578188-DE19-4B73-8DC2-3AB4B9BFCED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AE8B-B6C7-4DE1-BC79-D5B635114351}">
  <dimension ref="B1:O36"/>
  <sheetViews>
    <sheetView showGridLines="0" topLeftCell="A12" workbookViewId="0">
      <selection activeCell="F31" sqref="F31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450</v>
      </c>
      <c r="N1" t="s">
        <v>531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87</v>
      </c>
      <c r="M5" s="15">
        <v>10</v>
      </c>
      <c r="N5" s="15">
        <v>18</v>
      </c>
      <c r="O5" s="15">
        <v>115</v>
      </c>
    </row>
    <row r="10" spans="2:15" ht="18">
      <c r="B10" s="6" t="s">
        <v>428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  <c r="J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451</v>
      </c>
      <c r="I13" t="s">
        <v>448</v>
      </c>
      <c r="J13" t="s">
        <v>449</v>
      </c>
    </row>
    <row r="14" spans="2:15">
      <c r="C14" s="8">
        <v>1</v>
      </c>
      <c r="D14" s="7">
        <v>28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>
        <v>0</v>
      </c>
    </row>
    <row r="15" spans="2:15">
      <c r="C15" s="8">
        <v>2</v>
      </c>
      <c r="D15" s="7">
        <v>0</v>
      </c>
      <c r="E15" s="7">
        <v>11</v>
      </c>
      <c r="F15" s="7">
        <v>0</v>
      </c>
      <c r="G15" s="7">
        <v>0</v>
      </c>
      <c r="H15" s="7">
        <v>0</v>
      </c>
      <c r="I15" s="7">
        <v>0</v>
      </c>
      <c r="J15">
        <v>0</v>
      </c>
    </row>
    <row r="16" spans="2:15">
      <c r="C16" s="8">
        <v>3</v>
      </c>
      <c r="D16" s="7">
        <v>0</v>
      </c>
      <c r="E16" s="7">
        <v>0</v>
      </c>
      <c r="F16" s="7">
        <v>4</v>
      </c>
      <c r="G16" s="7">
        <v>0</v>
      </c>
      <c r="H16" s="7">
        <v>0</v>
      </c>
      <c r="I16" s="7">
        <v>0</v>
      </c>
      <c r="J16">
        <v>0</v>
      </c>
    </row>
    <row r="17" spans="3:10">
      <c r="C17" s="8">
        <v>4</v>
      </c>
      <c r="D17" s="7">
        <v>0</v>
      </c>
      <c r="E17" s="7">
        <v>0</v>
      </c>
      <c r="F17" s="7">
        <v>0</v>
      </c>
      <c r="G17" s="7">
        <v>10</v>
      </c>
      <c r="H17" s="7">
        <v>0</v>
      </c>
      <c r="I17" s="7">
        <v>0</v>
      </c>
      <c r="J17">
        <v>0</v>
      </c>
    </row>
    <row r="18" spans="3:10">
      <c r="C18" s="8">
        <v>5</v>
      </c>
      <c r="D18" s="7">
        <v>0</v>
      </c>
      <c r="E18" s="7">
        <v>0</v>
      </c>
      <c r="F18" s="7">
        <v>0</v>
      </c>
      <c r="G18" s="7">
        <v>0</v>
      </c>
      <c r="H18" s="7">
        <v>4</v>
      </c>
      <c r="I18" s="7">
        <v>0</v>
      </c>
      <c r="J18">
        <v>0</v>
      </c>
    </row>
    <row r="19" spans="3:10">
      <c r="C19" s="8">
        <v>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6</v>
      </c>
      <c r="J19">
        <v>0</v>
      </c>
    </row>
    <row r="20" spans="3:10">
      <c r="C20" s="8">
        <v>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>
        <v>7</v>
      </c>
    </row>
    <row r="22" spans="3:10" ht="15.6">
      <c r="C22" s="21" t="s">
        <v>432</v>
      </c>
      <c r="D22" s="21"/>
      <c r="E22" s="21"/>
      <c r="F22" s="21"/>
    </row>
    <row r="23" spans="3:10">
      <c r="C23" t="s">
        <v>433</v>
      </c>
      <c r="D23" t="s">
        <v>437</v>
      </c>
      <c r="E23" t="s">
        <v>439</v>
      </c>
      <c r="F23" t="s">
        <v>440</v>
      </c>
    </row>
    <row r="24" spans="3:10">
      <c r="C24" s="8">
        <v>1</v>
      </c>
      <c r="D24">
        <f>SUM($D$14:$J$14)</f>
        <v>28</v>
      </c>
      <c r="E24">
        <f>SUM($D$14:$J$14) - $D$14</f>
        <v>0</v>
      </c>
      <c r="F24">
        <f>IF($D$24=0,"Undefined",$E$24*100 / $D$24)</f>
        <v>0</v>
      </c>
    </row>
    <row r="25" spans="3:10">
      <c r="C25" s="8">
        <v>2</v>
      </c>
      <c r="D25">
        <f>SUM($D$15:$J$15)</f>
        <v>11</v>
      </c>
      <c r="E25">
        <f>SUM($D$15:$J$15) - $E$15</f>
        <v>0</v>
      </c>
      <c r="F25">
        <f>IF($D$25=0,"Undefined",$E$25*100 / $D$25)</f>
        <v>0</v>
      </c>
    </row>
    <row r="26" spans="3:10">
      <c r="C26" s="8">
        <v>3</v>
      </c>
      <c r="D26">
        <f>SUM($D$16:$J$16)</f>
        <v>4</v>
      </c>
      <c r="E26">
        <f>SUM($D$16:$J$16) - $F$16</f>
        <v>0</v>
      </c>
      <c r="F26">
        <f>IF($D$26=0,"Undefined",$E$26*100 / $D$26)</f>
        <v>0</v>
      </c>
    </row>
    <row r="27" spans="3:10">
      <c r="C27" s="8">
        <v>4</v>
      </c>
      <c r="D27">
        <f>SUM($D$17:$J$17)</f>
        <v>10</v>
      </c>
      <c r="E27">
        <f>SUM($D$17:$J$17) - $G$17</f>
        <v>0</v>
      </c>
      <c r="F27">
        <f>IF($D$27=0,"Undefined",$E$27*100 / $D$27)</f>
        <v>0</v>
      </c>
    </row>
    <row r="28" spans="3:10">
      <c r="C28" s="8">
        <v>5</v>
      </c>
      <c r="D28">
        <f>SUM($D$18:$J$18)</f>
        <v>4</v>
      </c>
      <c r="E28">
        <f>SUM($D$18:$J$18) - $H$18</f>
        <v>0</v>
      </c>
      <c r="F28">
        <f>IF($D$28=0,"Undefined",$E$28*100 / $D$28)</f>
        <v>0</v>
      </c>
    </row>
    <row r="29" spans="3:10">
      <c r="C29" s="8">
        <v>6</v>
      </c>
      <c r="D29">
        <f>SUM($D$19:$J$19)</f>
        <v>6</v>
      </c>
      <c r="E29">
        <f>SUM($D$19:$J$19) - $I$19</f>
        <v>0</v>
      </c>
      <c r="F29">
        <f>IF($D$29=0,"Undefined",$E$29*100 / $D$29)</f>
        <v>0</v>
      </c>
    </row>
    <row r="30" spans="3:10">
      <c r="C30" s="8">
        <v>7</v>
      </c>
      <c r="D30">
        <f>SUM($D$20:$J$20)</f>
        <v>7</v>
      </c>
      <c r="E30">
        <f>SUM($D$20:$J$20) - $J$20</f>
        <v>0</v>
      </c>
      <c r="F30">
        <f>IF($D$30=0,"Undefined",$E$30*100 / $D$30)</f>
        <v>0</v>
      </c>
    </row>
    <row r="31" spans="3:10">
      <c r="C31" s="8" t="s">
        <v>434</v>
      </c>
      <c r="D31">
        <f>SUM($D$24:$D$30)</f>
        <v>70</v>
      </c>
      <c r="E31">
        <f>SUM($E$24:$E$30)</f>
        <v>0</v>
      </c>
      <c r="F31">
        <f>IF($D$31=0,"Undefined",$E$31*100 / $D$31)</f>
        <v>0</v>
      </c>
    </row>
    <row r="33" spans="3:4" ht="15.6">
      <c r="C33" s="21" t="s">
        <v>435</v>
      </c>
      <c r="D33" s="21"/>
    </row>
    <row r="34" spans="3:4">
      <c r="C34" t="s">
        <v>436</v>
      </c>
      <c r="D34" t="s">
        <v>438</v>
      </c>
    </row>
    <row r="35" spans="3:4">
      <c r="C35" t="s">
        <v>441</v>
      </c>
      <c r="D35">
        <v>70</v>
      </c>
    </row>
    <row r="36" spans="3:4">
      <c r="C36" t="s">
        <v>442</v>
      </c>
      <c r="D36">
        <v>100</v>
      </c>
    </row>
  </sheetData>
  <mergeCells count="9">
    <mergeCell ref="B3:I3"/>
    <mergeCell ref="L3:O3"/>
    <mergeCell ref="C12:J12"/>
    <mergeCell ref="C22:F22"/>
    <mergeCell ref="C33:D33"/>
    <mergeCell ref="B4:C4"/>
    <mergeCell ref="D4:E4"/>
    <mergeCell ref="F4:G4"/>
    <mergeCell ref="H4:I4"/>
  </mergeCells>
  <hyperlinks>
    <hyperlink ref="B4" location="'NB_Output3'!$B$10:$B$10" display="Inputs" xr:uid="{F50E4C75-A0F0-4747-9E15-47B3602DCA86}"/>
    <hyperlink ref="D4" location="'NB_Stored3'!$B$10:$B$10" display="PMML Model" xr:uid="{5A50BA3B-11E2-4FBE-97AF-F2B7B3B907E3}"/>
    <hyperlink ref="F4" location="'NB_TrainingScore3'!$B$10:$B$10" display="Training: Classification Summary" xr:uid="{B2BEEAA9-9E1C-4F24-8CFC-B95390418CC0}"/>
    <hyperlink ref="H4" location="'NB_ValidationScore3'!$B$10:$B$10" display="Validation: Classification Summary" xr:uid="{1E055021-5458-4E65-A7BE-1B6328BBA991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AA8F-12A4-4E6A-9FD8-21A4295C4E24}">
  <dimension ref="B1:O34"/>
  <sheetViews>
    <sheetView showGridLines="0" topLeftCell="A12" workbookViewId="0">
      <selection activeCell="F29" sqref="F29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430</v>
      </c>
      <c r="N1" t="s">
        <v>531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87</v>
      </c>
      <c r="M5" s="15">
        <v>10</v>
      </c>
      <c r="N5" s="15">
        <v>18</v>
      </c>
      <c r="O5" s="15">
        <v>115</v>
      </c>
    </row>
    <row r="10" spans="2:15" ht="18">
      <c r="B10" s="6" t="s">
        <v>429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448</v>
      </c>
      <c r="I13" t="s">
        <v>449</v>
      </c>
    </row>
    <row r="14" spans="2:15">
      <c r="C14" s="8">
        <v>1</v>
      </c>
      <c r="D14" s="7">
        <v>10</v>
      </c>
      <c r="E14" s="7">
        <v>0</v>
      </c>
      <c r="F14" s="7">
        <v>0</v>
      </c>
      <c r="G14" s="7">
        <v>0</v>
      </c>
      <c r="H14" s="7">
        <v>0</v>
      </c>
      <c r="I14">
        <v>0</v>
      </c>
    </row>
    <row r="15" spans="2:15">
      <c r="C15" s="8">
        <v>2</v>
      </c>
      <c r="D15" s="7">
        <v>0</v>
      </c>
      <c r="E15" s="7">
        <v>7</v>
      </c>
      <c r="F15" s="7">
        <v>0</v>
      </c>
      <c r="G15" s="7">
        <v>0</v>
      </c>
      <c r="H15" s="7">
        <v>0</v>
      </c>
      <c r="I15">
        <v>0</v>
      </c>
    </row>
    <row r="16" spans="2:15">
      <c r="C16" s="8">
        <v>3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>
        <v>0</v>
      </c>
    </row>
    <row r="17" spans="3:9">
      <c r="C17" s="8">
        <v>4</v>
      </c>
      <c r="D17" s="7">
        <v>0</v>
      </c>
      <c r="E17" s="7">
        <v>0</v>
      </c>
      <c r="F17" s="7">
        <v>0</v>
      </c>
      <c r="G17" s="7">
        <v>2</v>
      </c>
      <c r="H17" s="7">
        <v>0</v>
      </c>
      <c r="I17">
        <v>0</v>
      </c>
    </row>
    <row r="18" spans="3:9">
      <c r="C18" s="8">
        <v>6</v>
      </c>
      <c r="D18" s="7">
        <v>0</v>
      </c>
      <c r="E18" s="7">
        <v>0</v>
      </c>
      <c r="F18" s="7">
        <v>0</v>
      </c>
      <c r="G18" s="7">
        <v>0</v>
      </c>
      <c r="H18" s="7">
        <v>1</v>
      </c>
      <c r="I18">
        <v>0</v>
      </c>
    </row>
    <row r="19" spans="3:9">
      <c r="C19" s="8">
        <v>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>
        <v>2</v>
      </c>
    </row>
    <row r="21" spans="3:9" ht="15.6">
      <c r="C21" s="21" t="s">
        <v>432</v>
      </c>
      <c r="D21" s="21"/>
      <c r="E21" s="21"/>
      <c r="F21" s="21"/>
    </row>
    <row r="22" spans="3:9">
      <c r="C22" t="s">
        <v>433</v>
      </c>
      <c r="D22" t="s">
        <v>437</v>
      </c>
      <c r="E22" t="s">
        <v>439</v>
      </c>
      <c r="F22" t="s">
        <v>440</v>
      </c>
    </row>
    <row r="23" spans="3:9">
      <c r="C23" s="8">
        <v>1</v>
      </c>
      <c r="D23">
        <f>SUM($D$14:$I$14)</f>
        <v>10</v>
      </c>
      <c r="E23">
        <f>SUM($D$14:$I$14) - $D$14</f>
        <v>0</v>
      </c>
      <c r="F23">
        <f>IF($D$23=0,"Undefined",$E$23*100 / $D$23)</f>
        <v>0</v>
      </c>
    </row>
    <row r="24" spans="3:9">
      <c r="C24" s="8">
        <v>2</v>
      </c>
      <c r="D24">
        <f>SUM($D$15:$I$15)</f>
        <v>7</v>
      </c>
      <c r="E24">
        <f>SUM($D$15:$I$15) - $E$15</f>
        <v>0</v>
      </c>
      <c r="F24">
        <f>IF($D$24=0,"Undefined",$E$24*100 / $D$24)</f>
        <v>0</v>
      </c>
    </row>
    <row r="25" spans="3:9">
      <c r="C25" s="8">
        <v>3</v>
      </c>
      <c r="D25">
        <f>SUM($D$16:$I$16)</f>
        <v>1</v>
      </c>
      <c r="E25">
        <f>SUM($D$16:$I$16) - $F$16</f>
        <v>1</v>
      </c>
      <c r="F25">
        <f>IF($D$25=0,"Undefined",$E$25*100 / $D$25)</f>
        <v>100</v>
      </c>
    </row>
    <row r="26" spans="3:9">
      <c r="C26" s="8">
        <v>4</v>
      </c>
      <c r="D26">
        <f>SUM($D$17:$I$17)</f>
        <v>2</v>
      </c>
      <c r="E26">
        <f>SUM($D$17:$I$17) - $G$17</f>
        <v>0</v>
      </c>
      <c r="F26">
        <f>IF($D$26=0,"Undefined",$E$26*100 / $D$26)</f>
        <v>0</v>
      </c>
    </row>
    <row r="27" spans="3:9">
      <c r="C27" s="8">
        <v>6</v>
      </c>
      <c r="D27">
        <f>SUM($D$18:$I$18)</f>
        <v>1</v>
      </c>
      <c r="E27">
        <f>SUM($D$18:$I$18) - $H$18</f>
        <v>0</v>
      </c>
      <c r="F27">
        <f>IF($D$27=0,"Undefined",$E$27*100 / $D$27)</f>
        <v>0</v>
      </c>
    </row>
    <row r="28" spans="3:9">
      <c r="C28" s="8">
        <v>7</v>
      </c>
      <c r="D28">
        <f>SUM($D$19:$I$19)</f>
        <v>2</v>
      </c>
      <c r="E28">
        <f>SUM($D$19:$I$19) - $I$19</f>
        <v>0</v>
      </c>
      <c r="F28">
        <f>IF($D$28=0,"Undefined",$E$28*100 / $D$28)</f>
        <v>0</v>
      </c>
    </row>
    <row r="29" spans="3:9">
      <c r="C29" s="8" t="s">
        <v>434</v>
      </c>
      <c r="D29">
        <f>SUM($D$23:$D$28)</f>
        <v>23</v>
      </c>
      <c r="E29">
        <f>SUM($E$23:$E$28)</f>
        <v>1</v>
      </c>
      <c r="F29">
        <f>IF($D$29=0,"Undefined",$E$29*100 / $D$29)</f>
        <v>4.3478260869565215</v>
      </c>
    </row>
    <row r="31" spans="3:9" ht="15.6">
      <c r="C31" s="21" t="s">
        <v>435</v>
      </c>
      <c r="D31" s="21"/>
    </row>
    <row r="32" spans="3:9">
      <c r="C32" t="s">
        <v>436</v>
      </c>
      <c r="D32" t="s">
        <v>438</v>
      </c>
    </row>
    <row r="33" spans="3:4">
      <c r="C33" t="s">
        <v>441</v>
      </c>
      <c r="D33">
        <v>22</v>
      </c>
    </row>
    <row r="34" spans="3:4">
      <c r="C34" t="s">
        <v>442</v>
      </c>
      <c r="D34">
        <v>95.652173913043484</v>
      </c>
    </row>
  </sheetData>
  <mergeCells count="9">
    <mergeCell ref="B3:I3"/>
    <mergeCell ref="L3:O3"/>
    <mergeCell ref="C12:I12"/>
    <mergeCell ref="C21:F21"/>
    <mergeCell ref="C31:D31"/>
    <mergeCell ref="B4:C4"/>
    <mergeCell ref="D4:E4"/>
    <mergeCell ref="F4:G4"/>
    <mergeCell ref="H4:I4"/>
  </mergeCells>
  <hyperlinks>
    <hyperlink ref="B4" location="'NB_Output3'!$B$10:$B$10" display="Inputs" xr:uid="{C8504D18-A0D7-42DC-8C61-4171185A65E6}"/>
    <hyperlink ref="D4" location="'NB_Stored3'!$B$10:$B$10" display="PMML Model" xr:uid="{96C98254-6BB5-4C7C-8565-4CE1DB2374BE}"/>
    <hyperlink ref="F4" location="'NB_TrainingScore3'!$B$10:$B$10" display="Training: Classification Summary" xr:uid="{175032C7-F649-4AD8-AB76-FF55EDC01938}"/>
    <hyperlink ref="H4" location="'NB_ValidationScore3'!$B$10:$B$10" display="Validation: Classification Summary" xr:uid="{6E794164-586B-4B5E-B99E-7673F337C8D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F609-6838-4A89-8B4B-296122675454}">
  <dimension ref="B1:O508"/>
  <sheetViews>
    <sheetView showGridLines="0" workbookViewId="0"/>
  </sheetViews>
  <sheetFormatPr defaultRowHeight="13.2"/>
  <cols>
    <col min="12" max="12" width="15.88671875" bestFit="1" customWidth="1"/>
  </cols>
  <sheetData>
    <row r="1" spans="2:15" ht="18">
      <c r="B1" s="5" t="s">
        <v>281</v>
      </c>
      <c r="N1" t="s">
        <v>531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87</v>
      </c>
      <c r="M5" s="15">
        <v>10</v>
      </c>
      <c r="N5" s="15">
        <v>18</v>
      </c>
      <c r="O5" s="15">
        <v>115</v>
      </c>
    </row>
    <row r="10" spans="2:15" ht="18">
      <c r="B10" s="6" t="s">
        <v>282</v>
      </c>
    </row>
    <row r="12" spans="2:15">
      <c r="B12" t="s">
        <v>283</v>
      </c>
    </row>
    <row r="13" spans="2:15">
      <c r="B13" t="s">
        <v>284</v>
      </c>
    </row>
    <row r="14" spans="2:15">
      <c r="B14" t="s">
        <v>285</v>
      </c>
    </row>
    <row r="15" spans="2:15">
      <c r="B15" t="s">
        <v>286</v>
      </c>
    </row>
    <row r="16" spans="2:15">
      <c r="B16" t="s">
        <v>530</v>
      </c>
    </row>
    <row r="17" spans="2:2">
      <c r="B17" t="s">
        <v>288</v>
      </c>
    </row>
    <row r="18" spans="2:2">
      <c r="B18" t="s">
        <v>289</v>
      </c>
    </row>
    <row r="19" spans="2:2">
      <c r="B19" t="s">
        <v>290</v>
      </c>
    </row>
    <row r="20" spans="2:2">
      <c r="B20" t="s">
        <v>291</v>
      </c>
    </row>
    <row r="21" spans="2:2">
      <c r="B21" t="s">
        <v>292</v>
      </c>
    </row>
    <row r="22" spans="2:2">
      <c r="B22" t="s">
        <v>293</v>
      </c>
    </row>
    <row r="23" spans="2:2">
      <c r="B23" t="s">
        <v>294</v>
      </c>
    </row>
    <row r="24" spans="2:2">
      <c r="B24" t="s">
        <v>295</v>
      </c>
    </row>
    <row r="25" spans="2:2">
      <c r="B25" t="s">
        <v>296</v>
      </c>
    </row>
    <row r="26" spans="2:2">
      <c r="B26" t="s">
        <v>297</v>
      </c>
    </row>
    <row r="27" spans="2:2">
      <c r="B27" t="s">
        <v>298</v>
      </c>
    </row>
    <row r="28" spans="2:2">
      <c r="B28" t="s">
        <v>299</v>
      </c>
    </row>
    <row r="29" spans="2:2">
      <c r="B29" t="s">
        <v>300</v>
      </c>
    </row>
    <row r="30" spans="2:2">
      <c r="B30" t="s">
        <v>301</v>
      </c>
    </row>
    <row r="31" spans="2:2">
      <c r="B31" t="s">
        <v>302</v>
      </c>
    </row>
    <row r="32" spans="2:2">
      <c r="B32" t="s">
        <v>303</v>
      </c>
    </row>
    <row r="33" spans="2:2">
      <c r="B33" t="s">
        <v>305</v>
      </c>
    </row>
    <row r="34" spans="2:2">
      <c r="B34" t="s">
        <v>306</v>
      </c>
    </row>
    <row r="35" spans="2:2">
      <c r="B35" t="s">
        <v>307</v>
      </c>
    </row>
    <row r="36" spans="2:2">
      <c r="B36" t="s">
        <v>308</v>
      </c>
    </row>
    <row r="37" spans="2:2">
      <c r="B37" t="s">
        <v>309</v>
      </c>
    </row>
    <row r="38" spans="2:2">
      <c r="B38" t="s">
        <v>310</v>
      </c>
    </row>
    <row r="39" spans="2:2">
      <c r="B39" t="s">
        <v>311</v>
      </c>
    </row>
    <row r="40" spans="2:2">
      <c r="B40" t="s">
        <v>313</v>
      </c>
    </row>
    <row r="41" spans="2:2">
      <c r="B41" t="s">
        <v>312</v>
      </c>
    </row>
    <row r="42" spans="2:2">
      <c r="B42" t="s">
        <v>314</v>
      </c>
    </row>
    <row r="43" spans="2:2">
      <c r="B43" t="s">
        <v>315</v>
      </c>
    </row>
    <row r="44" spans="2:2">
      <c r="B44" t="s">
        <v>316</v>
      </c>
    </row>
    <row r="45" spans="2:2">
      <c r="B45" t="s">
        <v>317</v>
      </c>
    </row>
    <row r="46" spans="2:2">
      <c r="B46" t="s">
        <v>318</v>
      </c>
    </row>
    <row r="47" spans="2:2">
      <c r="B47" t="s">
        <v>319</v>
      </c>
    </row>
    <row r="48" spans="2:2">
      <c r="B48" t="s">
        <v>320</v>
      </c>
    </row>
    <row r="49" spans="2:2">
      <c r="B49" t="s">
        <v>321</v>
      </c>
    </row>
    <row r="50" spans="2:2">
      <c r="B50" t="s">
        <v>322</v>
      </c>
    </row>
    <row r="51" spans="2:2">
      <c r="B51" t="s">
        <v>323</v>
      </c>
    </row>
    <row r="52" spans="2:2">
      <c r="B52" t="s">
        <v>324</v>
      </c>
    </row>
    <row r="53" spans="2:2">
      <c r="B53" t="s">
        <v>325</v>
      </c>
    </row>
    <row r="54" spans="2:2">
      <c r="B54" t="s">
        <v>326</v>
      </c>
    </row>
    <row r="55" spans="2:2">
      <c r="B55" t="s">
        <v>327</v>
      </c>
    </row>
    <row r="56" spans="2:2">
      <c r="B56" t="s">
        <v>328</v>
      </c>
    </row>
    <row r="57" spans="2:2">
      <c r="B57" t="s">
        <v>329</v>
      </c>
    </row>
    <row r="58" spans="2:2">
      <c r="B58" t="s">
        <v>330</v>
      </c>
    </row>
    <row r="59" spans="2:2">
      <c r="B59" t="s">
        <v>331</v>
      </c>
    </row>
    <row r="60" spans="2:2">
      <c r="B60" t="s">
        <v>332</v>
      </c>
    </row>
    <row r="61" spans="2:2">
      <c r="B61" t="s">
        <v>333</v>
      </c>
    </row>
    <row r="62" spans="2:2">
      <c r="B62" t="s">
        <v>334</v>
      </c>
    </row>
    <row r="63" spans="2:2">
      <c r="B63" t="s">
        <v>335</v>
      </c>
    </row>
    <row r="64" spans="2:2">
      <c r="B64" t="s">
        <v>336</v>
      </c>
    </row>
    <row r="65" spans="2:2">
      <c r="B65" t="s">
        <v>337</v>
      </c>
    </row>
    <row r="66" spans="2:2">
      <c r="B66" t="s">
        <v>338</v>
      </c>
    </row>
    <row r="67" spans="2:2">
      <c r="B67" t="s">
        <v>339</v>
      </c>
    </row>
    <row r="68" spans="2:2">
      <c r="B68" t="s">
        <v>532</v>
      </c>
    </row>
    <row r="69" spans="2:2">
      <c r="B69" t="s">
        <v>533</v>
      </c>
    </row>
    <row r="70" spans="2:2">
      <c r="B70" t="s">
        <v>534</v>
      </c>
    </row>
    <row r="71" spans="2:2">
      <c r="B71" t="s">
        <v>535</v>
      </c>
    </row>
    <row r="72" spans="2:2">
      <c r="B72" t="s">
        <v>536</v>
      </c>
    </row>
    <row r="73" spans="2:2">
      <c r="B73" t="s">
        <v>537</v>
      </c>
    </row>
    <row r="74" spans="2:2">
      <c r="B74" t="s">
        <v>538</v>
      </c>
    </row>
    <row r="75" spans="2:2">
      <c r="B75" t="s">
        <v>347</v>
      </c>
    </row>
    <row r="76" spans="2:2">
      <c r="B76" t="s">
        <v>348</v>
      </c>
    </row>
    <row r="77" spans="2:2">
      <c r="B77" t="s">
        <v>349</v>
      </c>
    </row>
    <row r="78" spans="2:2">
      <c r="B78" t="s">
        <v>350</v>
      </c>
    </row>
    <row r="79" spans="2:2">
      <c r="B79" t="s">
        <v>351</v>
      </c>
    </row>
    <row r="80" spans="2:2">
      <c r="B80" t="s">
        <v>352</v>
      </c>
    </row>
    <row r="81" spans="2:2">
      <c r="B81" t="s">
        <v>518</v>
      </c>
    </row>
    <row r="82" spans="2:2">
      <c r="B82" t="s">
        <v>354</v>
      </c>
    </row>
    <row r="83" spans="2:2">
      <c r="B83" t="s">
        <v>355</v>
      </c>
    </row>
    <row r="84" spans="2:2">
      <c r="B84" t="s">
        <v>394</v>
      </c>
    </row>
    <row r="85" spans="2:2">
      <c r="B85" t="s">
        <v>356</v>
      </c>
    </row>
    <row r="86" spans="2:2">
      <c r="B86" t="s">
        <v>358</v>
      </c>
    </row>
    <row r="87" spans="2:2">
      <c r="B87" t="s">
        <v>359</v>
      </c>
    </row>
    <row r="88" spans="2:2">
      <c r="B88" t="s">
        <v>360</v>
      </c>
    </row>
    <row r="89" spans="2:2">
      <c r="B89" t="s">
        <v>361</v>
      </c>
    </row>
    <row r="90" spans="2:2">
      <c r="B90" t="s">
        <v>362</v>
      </c>
    </row>
    <row r="91" spans="2:2">
      <c r="B91" t="s">
        <v>352</v>
      </c>
    </row>
    <row r="92" spans="2:2">
      <c r="B92" t="s">
        <v>363</v>
      </c>
    </row>
    <row r="93" spans="2:2">
      <c r="B93" t="s">
        <v>488</v>
      </c>
    </row>
    <row r="94" spans="2:2">
      <c r="B94" t="s">
        <v>521</v>
      </c>
    </row>
    <row r="95" spans="2:2">
      <c r="B95" t="s">
        <v>394</v>
      </c>
    </row>
    <row r="96" spans="2:2">
      <c r="B96" t="s">
        <v>366</v>
      </c>
    </row>
    <row r="97" spans="2:2">
      <c r="B97" t="s">
        <v>490</v>
      </c>
    </row>
    <row r="98" spans="2:2">
      <c r="B98" t="s">
        <v>368</v>
      </c>
    </row>
    <row r="99" spans="2:2">
      <c r="B99" t="s">
        <v>360</v>
      </c>
    </row>
    <row r="100" spans="2:2">
      <c r="B100" t="s">
        <v>361</v>
      </c>
    </row>
    <row r="101" spans="2:2">
      <c r="B101" t="s">
        <v>369</v>
      </c>
    </row>
    <row r="102" spans="2:2">
      <c r="B102" t="s">
        <v>370</v>
      </c>
    </row>
    <row r="103" spans="2:2">
      <c r="B103" t="s">
        <v>362</v>
      </c>
    </row>
    <row r="104" spans="2:2">
      <c r="B104" t="s">
        <v>352</v>
      </c>
    </row>
    <row r="105" spans="2:2">
      <c r="B105" t="s">
        <v>383</v>
      </c>
    </row>
    <row r="106" spans="2:2">
      <c r="B106" t="s">
        <v>354</v>
      </c>
    </row>
    <row r="107" spans="2:2">
      <c r="B107" t="s">
        <v>389</v>
      </c>
    </row>
    <row r="108" spans="2:2">
      <c r="B108" t="s">
        <v>517</v>
      </c>
    </row>
    <row r="109" spans="2:2">
      <c r="B109" t="s">
        <v>356</v>
      </c>
    </row>
    <row r="110" spans="2:2">
      <c r="B110" t="s">
        <v>374</v>
      </c>
    </row>
    <row r="111" spans="2:2">
      <c r="B111" t="s">
        <v>368</v>
      </c>
    </row>
    <row r="112" spans="2:2">
      <c r="B112" t="s">
        <v>360</v>
      </c>
    </row>
    <row r="113" spans="2:2">
      <c r="B113" t="s">
        <v>361</v>
      </c>
    </row>
    <row r="114" spans="2:2">
      <c r="B114" t="s">
        <v>351</v>
      </c>
    </row>
    <row r="115" spans="2:2">
      <c r="B115" t="s">
        <v>352</v>
      </c>
    </row>
    <row r="116" spans="2:2">
      <c r="B116" t="s">
        <v>409</v>
      </c>
    </row>
    <row r="117" spans="2:2">
      <c r="B117" t="s">
        <v>488</v>
      </c>
    </row>
    <row r="118" spans="2:2">
      <c r="B118" t="s">
        <v>492</v>
      </c>
    </row>
    <row r="119" spans="2:2">
      <c r="B119" t="s">
        <v>377</v>
      </c>
    </row>
    <row r="120" spans="2:2">
      <c r="B120" t="s">
        <v>366</v>
      </c>
    </row>
    <row r="121" spans="2:2">
      <c r="B121" t="s">
        <v>402</v>
      </c>
    </row>
    <row r="122" spans="2:2">
      <c r="B122" t="s">
        <v>359</v>
      </c>
    </row>
    <row r="123" spans="2:2">
      <c r="B123" t="s">
        <v>360</v>
      </c>
    </row>
    <row r="124" spans="2:2">
      <c r="B124" t="s">
        <v>361</v>
      </c>
    </row>
    <row r="125" spans="2:2">
      <c r="B125" t="s">
        <v>369</v>
      </c>
    </row>
    <row r="126" spans="2:2">
      <c r="B126" t="s">
        <v>379</v>
      </c>
    </row>
    <row r="127" spans="2:2">
      <c r="B127" t="s">
        <v>362</v>
      </c>
    </row>
    <row r="128" spans="2:2">
      <c r="B128" t="s">
        <v>352</v>
      </c>
    </row>
    <row r="129" spans="2:2">
      <c r="B129" t="s">
        <v>493</v>
      </c>
    </row>
    <row r="130" spans="2:2">
      <c r="B130" t="s">
        <v>354</v>
      </c>
    </row>
    <row r="131" spans="2:2">
      <c r="B131" t="s">
        <v>521</v>
      </c>
    </row>
    <row r="132" spans="2:2">
      <c r="B132" t="s">
        <v>517</v>
      </c>
    </row>
    <row r="133" spans="2:2">
      <c r="B133" t="s">
        <v>366</v>
      </c>
    </row>
    <row r="134" spans="2:2">
      <c r="B134" t="s">
        <v>490</v>
      </c>
    </row>
    <row r="135" spans="2:2">
      <c r="B135" t="s">
        <v>368</v>
      </c>
    </row>
    <row r="136" spans="2:2">
      <c r="B136" t="s">
        <v>360</v>
      </c>
    </row>
    <row r="137" spans="2:2">
      <c r="B137" t="s">
        <v>361</v>
      </c>
    </row>
    <row r="138" spans="2:2">
      <c r="B138" t="s">
        <v>351</v>
      </c>
    </row>
    <row r="139" spans="2:2">
      <c r="B139" t="s">
        <v>352</v>
      </c>
    </row>
    <row r="140" spans="2:2">
      <c r="B140" t="s">
        <v>381</v>
      </c>
    </row>
    <row r="141" spans="2:2">
      <c r="B141" t="s">
        <v>488</v>
      </c>
    </row>
    <row r="142" spans="2:2">
      <c r="B142" t="s">
        <v>355</v>
      </c>
    </row>
    <row r="143" spans="2:2">
      <c r="B143" t="s">
        <v>377</v>
      </c>
    </row>
    <row r="144" spans="2:2">
      <c r="B144" t="s">
        <v>356</v>
      </c>
    </row>
    <row r="145" spans="2:2">
      <c r="B145" t="s">
        <v>358</v>
      </c>
    </row>
    <row r="146" spans="2:2">
      <c r="B146" t="s">
        <v>359</v>
      </c>
    </row>
    <row r="147" spans="2:2">
      <c r="B147" t="s">
        <v>360</v>
      </c>
    </row>
    <row r="148" spans="2:2">
      <c r="B148" t="s">
        <v>361</v>
      </c>
    </row>
    <row r="149" spans="2:2">
      <c r="B149" t="s">
        <v>369</v>
      </c>
    </row>
    <row r="150" spans="2:2">
      <c r="B150" t="s">
        <v>382</v>
      </c>
    </row>
    <row r="151" spans="2:2">
      <c r="B151" t="s">
        <v>362</v>
      </c>
    </row>
    <row r="152" spans="2:2">
      <c r="B152" t="s">
        <v>352</v>
      </c>
    </row>
    <row r="153" spans="2:2">
      <c r="B153" t="s">
        <v>520</v>
      </c>
    </row>
    <row r="154" spans="2:2">
      <c r="B154" t="s">
        <v>488</v>
      </c>
    </row>
    <row r="155" spans="2:2">
      <c r="B155" t="s">
        <v>355</v>
      </c>
    </row>
    <row r="156" spans="2:2">
      <c r="B156" t="s">
        <v>517</v>
      </c>
    </row>
    <row r="157" spans="2:2">
      <c r="B157" t="s">
        <v>366</v>
      </c>
    </row>
    <row r="158" spans="2:2">
      <c r="B158" t="s">
        <v>490</v>
      </c>
    </row>
    <row r="159" spans="2:2">
      <c r="B159" t="s">
        <v>368</v>
      </c>
    </row>
    <row r="160" spans="2:2">
      <c r="B160" t="s">
        <v>360</v>
      </c>
    </row>
    <row r="161" spans="2:2">
      <c r="B161" t="s">
        <v>361</v>
      </c>
    </row>
    <row r="162" spans="2:2">
      <c r="B162" t="s">
        <v>351</v>
      </c>
    </row>
    <row r="163" spans="2:2">
      <c r="B163" t="s">
        <v>352</v>
      </c>
    </row>
    <row r="164" spans="2:2">
      <c r="B164" t="s">
        <v>384</v>
      </c>
    </row>
    <row r="165" spans="2:2">
      <c r="B165" t="s">
        <v>354</v>
      </c>
    </row>
    <row r="166" spans="2:2">
      <c r="B166" t="s">
        <v>521</v>
      </c>
    </row>
    <row r="167" spans="2:2">
      <c r="B167" t="s">
        <v>377</v>
      </c>
    </row>
    <row r="168" spans="2:2">
      <c r="B168" t="s">
        <v>356</v>
      </c>
    </row>
    <row r="169" spans="2:2">
      <c r="B169" t="s">
        <v>358</v>
      </c>
    </row>
    <row r="170" spans="2:2">
      <c r="B170" t="s">
        <v>359</v>
      </c>
    </row>
    <row r="171" spans="2:2">
      <c r="B171" t="s">
        <v>360</v>
      </c>
    </row>
    <row r="172" spans="2:2">
      <c r="B172" t="s">
        <v>361</v>
      </c>
    </row>
    <row r="173" spans="2:2">
      <c r="B173" t="s">
        <v>369</v>
      </c>
    </row>
    <row r="174" spans="2:2">
      <c r="B174" t="s">
        <v>385</v>
      </c>
    </row>
    <row r="175" spans="2:2">
      <c r="B175" t="s">
        <v>362</v>
      </c>
    </row>
    <row r="176" spans="2:2">
      <c r="B176" t="s">
        <v>352</v>
      </c>
    </row>
    <row r="177" spans="2:2">
      <c r="B177" t="s">
        <v>514</v>
      </c>
    </row>
    <row r="178" spans="2:2">
      <c r="B178" t="s">
        <v>488</v>
      </c>
    </row>
    <row r="179" spans="2:2">
      <c r="B179" t="s">
        <v>376</v>
      </c>
    </row>
    <row r="180" spans="2:2">
      <c r="B180" t="s">
        <v>357</v>
      </c>
    </row>
    <row r="181" spans="2:2">
      <c r="B181" t="s">
        <v>366</v>
      </c>
    </row>
    <row r="182" spans="2:2">
      <c r="B182" t="s">
        <v>490</v>
      </c>
    </row>
    <row r="183" spans="2:2">
      <c r="B183" t="s">
        <v>368</v>
      </c>
    </row>
    <row r="184" spans="2:2">
      <c r="B184" t="s">
        <v>360</v>
      </c>
    </row>
    <row r="185" spans="2:2">
      <c r="B185" t="s">
        <v>361</v>
      </c>
    </row>
    <row r="186" spans="2:2">
      <c r="B186" t="s">
        <v>351</v>
      </c>
    </row>
    <row r="187" spans="2:2">
      <c r="B187" t="s">
        <v>352</v>
      </c>
    </row>
    <row r="188" spans="2:2">
      <c r="B188" t="s">
        <v>388</v>
      </c>
    </row>
    <row r="189" spans="2:2">
      <c r="B189" t="s">
        <v>354</v>
      </c>
    </row>
    <row r="190" spans="2:2">
      <c r="B190" t="s">
        <v>365</v>
      </c>
    </row>
    <row r="191" spans="2:2">
      <c r="B191" t="s">
        <v>373</v>
      </c>
    </row>
    <row r="192" spans="2:2">
      <c r="B192" t="s">
        <v>356</v>
      </c>
    </row>
    <row r="193" spans="2:2">
      <c r="B193" t="s">
        <v>358</v>
      </c>
    </row>
    <row r="194" spans="2:2">
      <c r="B194" t="s">
        <v>359</v>
      </c>
    </row>
    <row r="195" spans="2:2">
      <c r="B195" t="s">
        <v>360</v>
      </c>
    </row>
    <row r="196" spans="2:2">
      <c r="B196" t="s">
        <v>361</v>
      </c>
    </row>
    <row r="197" spans="2:2">
      <c r="B197" t="s">
        <v>369</v>
      </c>
    </row>
    <row r="198" spans="2:2">
      <c r="B198" t="s">
        <v>390</v>
      </c>
    </row>
    <row r="199" spans="2:2">
      <c r="B199" t="s">
        <v>362</v>
      </c>
    </row>
    <row r="200" spans="2:2">
      <c r="B200" t="s">
        <v>352</v>
      </c>
    </row>
    <row r="201" spans="2:2">
      <c r="B201" t="s">
        <v>494</v>
      </c>
    </row>
    <row r="202" spans="2:2">
      <c r="B202" t="s">
        <v>488</v>
      </c>
    </row>
    <row r="203" spans="2:2">
      <c r="B203" t="s">
        <v>489</v>
      </c>
    </row>
    <row r="204" spans="2:2">
      <c r="B204" t="s">
        <v>491</v>
      </c>
    </row>
    <row r="205" spans="2:2">
      <c r="B205" t="s">
        <v>366</v>
      </c>
    </row>
    <row r="206" spans="2:2">
      <c r="B206" t="s">
        <v>490</v>
      </c>
    </row>
    <row r="207" spans="2:2">
      <c r="B207" t="s">
        <v>368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351</v>
      </c>
    </row>
    <row r="211" spans="2:2">
      <c r="B211" t="s">
        <v>352</v>
      </c>
    </row>
    <row r="212" spans="2:2">
      <c r="B212" t="s">
        <v>375</v>
      </c>
    </row>
    <row r="213" spans="2:2">
      <c r="B213" t="s">
        <v>354</v>
      </c>
    </row>
    <row r="214" spans="2:2">
      <c r="B214" t="s">
        <v>387</v>
      </c>
    </row>
    <row r="215" spans="2:2">
      <c r="B215" t="s">
        <v>398</v>
      </c>
    </row>
    <row r="216" spans="2:2">
      <c r="B216" t="s">
        <v>356</v>
      </c>
    </row>
    <row r="217" spans="2:2">
      <c r="B217" t="s">
        <v>358</v>
      </c>
    </row>
    <row r="218" spans="2:2">
      <c r="B218" t="s">
        <v>359</v>
      </c>
    </row>
    <row r="219" spans="2:2">
      <c r="B219" t="s">
        <v>360</v>
      </c>
    </row>
    <row r="220" spans="2:2">
      <c r="B220" t="s">
        <v>361</v>
      </c>
    </row>
    <row r="221" spans="2:2">
      <c r="B221" t="s">
        <v>369</v>
      </c>
    </row>
    <row r="222" spans="2:2">
      <c r="B222" t="s">
        <v>391</v>
      </c>
    </row>
    <row r="223" spans="2:2">
      <c r="B223" t="s">
        <v>362</v>
      </c>
    </row>
    <row r="224" spans="2:2">
      <c r="B224" t="s">
        <v>352</v>
      </c>
    </row>
    <row r="225" spans="2:2">
      <c r="B225" t="s">
        <v>520</v>
      </c>
    </row>
    <row r="226" spans="2:2">
      <c r="B226" t="s">
        <v>495</v>
      </c>
    </row>
    <row r="227" spans="2:2">
      <c r="B227" t="s">
        <v>521</v>
      </c>
    </row>
    <row r="228" spans="2:2">
      <c r="B228" t="s">
        <v>373</v>
      </c>
    </row>
    <row r="229" spans="2:2">
      <c r="B229" t="s">
        <v>393</v>
      </c>
    </row>
    <row r="230" spans="2:2">
      <c r="B230" t="s">
        <v>367</v>
      </c>
    </row>
    <row r="231" spans="2:2">
      <c r="B231" t="s">
        <v>395</v>
      </c>
    </row>
    <row r="232" spans="2:2">
      <c r="B232" t="s">
        <v>360</v>
      </c>
    </row>
    <row r="233" spans="2:2">
      <c r="B233" t="s">
        <v>361</v>
      </c>
    </row>
    <row r="234" spans="2:2">
      <c r="B234" t="s">
        <v>351</v>
      </c>
    </row>
    <row r="235" spans="2:2">
      <c r="B235" t="s">
        <v>352</v>
      </c>
    </row>
    <row r="236" spans="2:2">
      <c r="B236" t="s">
        <v>384</v>
      </c>
    </row>
    <row r="237" spans="2:2">
      <c r="B237" t="s">
        <v>396</v>
      </c>
    </row>
    <row r="238" spans="2:2">
      <c r="B238" t="s">
        <v>355</v>
      </c>
    </row>
    <row r="239" spans="2:2">
      <c r="B239" t="s">
        <v>357</v>
      </c>
    </row>
    <row r="240" spans="2:2">
      <c r="B240" t="s">
        <v>397</v>
      </c>
    </row>
    <row r="241" spans="2:2">
      <c r="B241" t="s">
        <v>378</v>
      </c>
    </row>
    <row r="242" spans="2:2">
      <c r="B242" t="s">
        <v>399</v>
      </c>
    </row>
    <row r="243" spans="2:2">
      <c r="B243" t="s">
        <v>360</v>
      </c>
    </row>
    <row r="244" spans="2:2">
      <c r="B244" t="s">
        <v>361</v>
      </c>
    </row>
    <row r="245" spans="2:2">
      <c r="B245" t="s">
        <v>369</v>
      </c>
    </row>
    <row r="246" spans="2:2">
      <c r="B246" t="s">
        <v>400</v>
      </c>
    </row>
    <row r="247" spans="2:2">
      <c r="B247" t="s">
        <v>362</v>
      </c>
    </row>
    <row r="248" spans="2:2">
      <c r="B248" t="s">
        <v>352</v>
      </c>
    </row>
    <row r="249" spans="2:2">
      <c r="B249" t="s">
        <v>514</v>
      </c>
    </row>
    <row r="250" spans="2:2">
      <c r="B250" t="s">
        <v>354</v>
      </c>
    </row>
    <row r="251" spans="2:2">
      <c r="B251" t="s">
        <v>355</v>
      </c>
    </row>
    <row r="252" spans="2:2">
      <c r="B252" t="s">
        <v>377</v>
      </c>
    </row>
    <row r="253" spans="2:2">
      <c r="B253" t="s">
        <v>356</v>
      </c>
    </row>
    <row r="254" spans="2:2">
      <c r="B254" t="s">
        <v>401</v>
      </c>
    </row>
    <row r="255" spans="2:2">
      <c r="B255" t="s">
        <v>359</v>
      </c>
    </row>
    <row r="256" spans="2:2">
      <c r="B256" t="s">
        <v>360</v>
      </c>
    </row>
    <row r="257" spans="2:2">
      <c r="B257" t="s">
        <v>361</v>
      </c>
    </row>
    <row r="258" spans="2:2">
      <c r="B258" t="s">
        <v>351</v>
      </c>
    </row>
    <row r="259" spans="2:2">
      <c r="B259" t="s">
        <v>352</v>
      </c>
    </row>
    <row r="260" spans="2:2">
      <c r="B260" t="s">
        <v>388</v>
      </c>
    </row>
    <row r="261" spans="2:2">
      <c r="B261" t="s">
        <v>488</v>
      </c>
    </row>
    <row r="262" spans="2:2">
      <c r="B262" t="s">
        <v>521</v>
      </c>
    </row>
    <row r="263" spans="2:2">
      <c r="B263" t="s">
        <v>517</v>
      </c>
    </row>
    <row r="264" spans="2:2">
      <c r="B264" t="s">
        <v>366</v>
      </c>
    </row>
    <row r="265" spans="2:2">
      <c r="B265" t="s">
        <v>496</v>
      </c>
    </row>
    <row r="266" spans="2:2">
      <c r="B266" t="s">
        <v>368</v>
      </c>
    </row>
    <row r="267" spans="2:2">
      <c r="B267" t="s">
        <v>360</v>
      </c>
    </row>
    <row r="268" spans="2:2">
      <c r="B268" t="s">
        <v>361</v>
      </c>
    </row>
    <row r="269" spans="2:2">
      <c r="B269" t="s">
        <v>369</v>
      </c>
    </row>
    <row r="270" spans="2:2">
      <c r="B270" t="s">
        <v>403</v>
      </c>
    </row>
    <row r="271" spans="2:2">
      <c r="B271" t="s">
        <v>351</v>
      </c>
    </row>
    <row r="272" spans="2:2">
      <c r="B272" t="s">
        <v>352</v>
      </c>
    </row>
    <row r="273" spans="2:2">
      <c r="B273" t="s">
        <v>539</v>
      </c>
    </row>
    <row r="274" spans="2:2">
      <c r="B274" t="s">
        <v>498</v>
      </c>
    </row>
    <row r="275" spans="2:2">
      <c r="B275" t="s">
        <v>523</v>
      </c>
    </row>
    <row r="276" spans="2:2">
      <c r="B276" t="s">
        <v>398</v>
      </c>
    </row>
    <row r="277" spans="2:2">
      <c r="B277" t="s">
        <v>393</v>
      </c>
    </row>
    <row r="278" spans="2:2">
      <c r="B278" t="s">
        <v>496</v>
      </c>
    </row>
    <row r="279" spans="2:2">
      <c r="B279" t="s">
        <v>395</v>
      </c>
    </row>
    <row r="280" spans="2:2">
      <c r="B280" t="s">
        <v>360</v>
      </c>
    </row>
    <row r="281" spans="2:2">
      <c r="B281" t="s">
        <v>361</v>
      </c>
    </row>
    <row r="282" spans="2:2">
      <c r="B282" t="s">
        <v>362</v>
      </c>
    </row>
    <row r="283" spans="2:2">
      <c r="B283" t="s">
        <v>352</v>
      </c>
    </row>
    <row r="284" spans="2:2">
      <c r="B284" t="s">
        <v>497</v>
      </c>
    </row>
    <row r="285" spans="2:2">
      <c r="B285" t="s">
        <v>499</v>
      </c>
    </row>
    <row r="286" spans="2:2">
      <c r="B286" t="s">
        <v>372</v>
      </c>
    </row>
    <row r="287" spans="2:2">
      <c r="B287" t="s">
        <v>491</v>
      </c>
    </row>
    <row r="288" spans="2:2">
      <c r="B288" t="s">
        <v>397</v>
      </c>
    </row>
    <row r="289" spans="2:2">
      <c r="B289" t="s">
        <v>401</v>
      </c>
    </row>
    <row r="290" spans="2:2">
      <c r="B290" t="s">
        <v>399</v>
      </c>
    </row>
    <row r="291" spans="2:2">
      <c r="B291" t="s">
        <v>360</v>
      </c>
    </row>
    <row r="292" spans="2:2">
      <c r="B292" t="s">
        <v>361</v>
      </c>
    </row>
    <row r="293" spans="2:2">
      <c r="B293" t="s">
        <v>369</v>
      </c>
    </row>
    <row r="294" spans="2:2">
      <c r="B294" t="s">
        <v>406</v>
      </c>
    </row>
    <row r="295" spans="2:2">
      <c r="B295" t="s">
        <v>351</v>
      </c>
    </row>
    <row r="296" spans="2:2">
      <c r="B296" t="s">
        <v>352</v>
      </c>
    </row>
    <row r="297" spans="2:2">
      <c r="B297" t="s">
        <v>383</v>
      </c>
    </row>
    <row r="298" spans="2:2">
      <c r="B298" t="s">
        <v>410</v>
      </c>
    </row>
    <row r="299" spans="2:2">
      <c r="B299" t="s">
        <v>492</v>
      </c>
    </row>
    <row r="300" spans="2:2">
      <c r="B300" t="s">
        <v>377</v>
      </c>
    </row>
    <row r="301" spans="2:2">
      <c r="B301" t="s">
        <v>356</v>
      </c>
    </row>
    <row r="302" spans="2:2">
      <c r="B302" t="s">
        <v>358</v>
      </c>
    </row>
    <row r="303" spans="2:2">
      <c r="B303" t="s">
        <v>399</v>
      </c>
    </row>
    <row r="304" spans="2:2">
      <c r="B304" t="s">
        <v>360</v>
      </c>
    </row>
    <row r="305" spans="2:2">
      <c r="B305" t="s">
        <v>361</v>
      </c>
    </row>
    <row r="306" spans="2:2">
      <c r="B306" t="s">
        <v>362</v>
      </c>
    </row>
    <row r="307" spans="2:2">
      <c r="B307" t="s">
        <v>352</v>
      </c>
    </row>
    <row r="308" spans="2:2">
      <c r="B308" t="s">
        <v>409</v>
      </c>
    </row>
    <row r="309" spans="2:2">
      <c r="B309" t="s">
        <v>392</v>
      </c>
    </row>
    <row r="310" spans="2:2">
      <c r="B310" t="s">
        <v>389</v>
      </c>
    </row>
    <row r="311" spans="2:2">
      <c r="B311" t="s">
        <v>517</v>
      </c>
    </row>
    <row r="312" spans="2:2">
      <c r="B312" t="s">
        <v>366</v>
      </c>
    </row>
    <row r="313" spans="2:2">
      <c r="B313" t="s">
        <v>490</v>
      </c>
    </row>
    <row r="314" spans="2:2">
      <c r="B314" t="s">
        <v>395</v>
      </c>
    </row>
    <row r="315" spans="2:2">
      <c r="B315" t="s">
        <v>360</v>
      </c>
    </row>
    <row r="316" spans="2:2">
      <c r="B316" t="s">
        <v>361</v>
      </c>
    </row>
    <row r="317" spans="2:2">
      <c r="B317" t="s">
        <v>369</v>
      </c>
    </row>
    <row r="318" spans="2:2">
      <c r="B318" t="s">
        <v>411</v>
      </c>
    </row>
    <row r="319" spans="2:2">
      <c r="B319" t="s">
        <v>351</v>
      </c>
    </row>
    <row r="320" spans="2:2">
      <c r="B320" t="s">
        <v>352</v>
      </c>
    </row>
    <row r="321" spans="2:2">
      <c r="B321" t="s">
        <v>520</v>
      </c>
    </row>
    <row r="322" spans="2:2">
      <c r="B322" t="s">
        <v>354</v>
      </c>
    </row>
    <row r="323" spans="2:2">
      <c r="B323" t="s">
        <v>355</v>
      </c>
    </row>
    <row r="324" spans="2:2">
      <c r="B324" t="s">
        <v>377</v>
      </c>
    </row>
    <row r="325" spans="2:2">
      <c r="B325" t="s">
        <v>356</v>
      </c>
    </row>
    <row r="326" spans="2:2">
      <c r="B326" t="s">
        <v>358</v>
      </c>
    </row>
    <row r="327" spans="2:2">
      <c r="B327" t="s">
        <v>359</v>
      </c>
    </row>
    <row r="328" spans="2:2">
      <c r="B328" t="s">
        <v>360</v>
      </c>
    </row>
    <row r="329" spans="2:2">
      <c r="B329" t="s">
        <v>361</v>
      </c>
    </row>
    <row r="330" spans="2:2">
      <c r="B330" t="s">
        <v>362</v>
      </c>
    </row>
    <row r="331" spans="2:2">
      <c r="B331" t="s">
        <v>352</v>
      </c>
    </row>
    <row r="332" spans="2:2">
      <c r="B332" t="s">
        <v>384</v>
      </c>
    </row>
    <row r="333" spans="2:2">
      <c r="B333" t="s">
        <v>488</v>
      </c>
    </row>
    <row r="334" spans="2:2">
      <c r="B334" t="s">
        <v>521</v>
      </c>
    </row>
    <row r="335" spans="2:2">
      <c r="B335" t="s">
        <v>517</v>
      </c>
    </row>
    <row r="336" spans="2:2">
      <c r="B336" t="s">
        <v>366</v>
      </c>
    </row>
    <row r="337" spans="2:2">
      <c r="B337" t="s">
        <v>490</v>
      </c>
    </row>
    <row r="338" spans="2:2">
      <c r="B338" t="s">
        <v>368</v>
      </c>
    </row>
    <row r="339" spans="2:2">
      <c r="B339" t="s">
        <v>360</v>
      </c>
    </row>
    <row r="340" spans="2:2">
      <c r="B340" t="s">
        <v>361</v>
      </c>
    </row>
    <row r="341" spans="2:2">
      <c r="B341" t="s">
        <v>369</v>
      </c>
    </row>
    <row r="342" spans="2:2">
      <c r="B342" t="s">
        <v>412</v>
      </c>
    </row>
    <row r="343" spans="2:2">
      <c r="B343" t="s">
        <v>351</v>
      </c>
    </row>
    <row r="344" spans="2:2">
      <c r="B344" t="s">
        <v>352</v>
      </c>
    </row>
    <row r="345" spans="2:2">
      <c r="B345" t="s">
        <v>514</v>
      </c>
    </row>
    <row r="346" spans="2:2">
      <c r="B346" t="s">
        <v>488</v>
      </c>
    </row>
    <row r="347" spans="2:2">
      <c r="B347" t="s">
        <v>355</v>
      </c>
    </row>
    <row r="348" spans="2:2">
      <c r="B348" t="s">
        <v>377</v>
      </c>
    </row>
    <row r="349" spans="2:2">
      <c r="B349" t="s">
        <v>366</v>
      </c>
    </row>
    <row r="350" spans="2:2">
      <c r="B350" t="s">
        <v>358</v>
      </c>
    </row>
    <row r="351" spans="2:2">
      <c r="B351" t="s">
        <v>395</v>
      </c>
    </row>
    <row r="352" spans="2:2">
      <c r="B352" t="s">
        <v>360</v>
      </c>
    </row>
    <row r="353" spans="2:2">
      <c r="B353" t="s">
        <v>361</v>
      </c>
    </row>
    <row r="354" spans="2:2">
      <c r="B354" t="s">
        <v>362</v>
      </c>
    </row>
    <row r="355" spans="2:2">
      <c r="B355" t="s">
        <v>352</v>
      </c>
    </row>
    <row r="356" spans="2:2">
      <c r="B356" t="s">
        <v>388</v>
      </c>
    </row>
    <row r="357" spans="2:2">
      <c r="B357" t="s">
        <v>354</v>
      </c>
    </row>
    <row r="358" spans="2:2">
      <c r="B358" t="s">
        <v>521</v>
      </c>
    </row>
    <row r="359" spans="2:2">
      <c r="B359" t="s">
        <v>517</v>
      </c>
    </row>
    <row r="360" spans="2:2">
      <c r="B360" t="s">
        <v>356</v>
      </c>
    </row>
    <row r="361" spans="2:2">
      <c r="B361" t="s">
        <v>490</v>
      </c>
    </row>
    <row r="362" spans="2:2">
      <c r="B362" t="s">
        <v>399</v>
      </c>
    </row>
    <row r="363" spans="2:2">
      <c r="B363" t="s">
        <v>360</v>
      </c>
    </row>
    <row r="364" spans="2:2">
      <c r="B364" t="s">
        <v>361</v>
      </c>
    </row>
    <row r="365" spans="2:2">
      <c r="B365" t="s">
        <v>369</v>
      </c>
    </row>
    <row r="366" spans="2:2">
      <c r="B366" t="s">
        <v>413</v>
      </c>
    </row>
    <row r="367" spans="2:2">
      <c r="B367" t="s">
        <v>414</v>
      </c>
    </row>
    <row r="368" spans="2:2">
      <c r="B368" t="s">
        <v>352</v>
      </c>
    </row>
    <row r="369" spans="2:2">
      <c r="B369" t="s">
        <v>353</v>
      </c>
    </row>
    <row r="370" spans="2:2">
      <c r="B370" t="s">
        <v>354</v>
      </c>
    </row>
    <row r="371" spans="2:2">
      <c r="B371" t="s">
        <v>355</v>
      </c>
    </row>
    <row r="372" spans="2:2">
      <c r="B372" t="s">
        <v>377</v>
      </c>
    </row>
    <row r="373" spans="2:2">
      <c r="B373" t="s">
        <v>366</v>
      </c>
    </row>
    <row r="374" spans="2:2">
      <c r="B374" t="s">
        <v>401</v>
      </c>
    </row>
    <row r="375" spans="2:2">
      <c r="B375" t="s">
        <v>416</v>
      </c>
    </row>
    <row r="376" spans="2:2">
      <c r="B376" t="s">
        <v>360</v>
      </c>
    </row>
    <row r="377" spans="2:2">
      <c r="B377" t="s">
        <v>361</v>
      </c>
    </row>
    <row r="378" spans="2:2">
      <c r="B378" t="s">
        <v>417</v>
      </c>
    </row>
    <row r="379" spans="2:2">
      <c r="B379" t="s">
        <v>352</v>
      </c>
    </row>
    <row r="380" spans="2:2">
      <c r="B380" t="s">
        <v>384</v>
      </c>
    </row>
    <row r="381" spans="2:2">
      <c r="B381" t="s">
        <v>354</v>
      </c>
    </row>
    <row r="382" spans="2:2">
      <c r="B382" t="s">
        <v>355</v>
      </c>
    </row>
    <row r="383" spans="2:2">
      <c r="B383" t="s">
        <v>377</v>
      </c>
    </row>
    <row r="384" spans="2:2">
      <c r="B384" t="s">
        <v>356</v>
      </c>
    </row>
    <row r="385" spans="2:2">
      <c r="B385" t="s">
        <v>401</v>
      </c>
    </row>
    <row r="386" spans="2:2">
      <c r="B386" t="s">
        <v>359</v>
      </c>
    </row>
    <row r="387" spans="2:2">
      <c r="B387" t="s">
        <v>360</v>
      </c>
    </row>
    <row r="388" spans="2:2">
      <c r="B388" t="s">
        <v>361</v>
      </c>
    </row>
    <row r="389" spans="2:2">
      <c r="B389" t="s">
        <v>362</v>
      </c>
    </row>
    <row r="390" spans="2:2">
      <c r="B390" t="s">
        <v>352</v>
      </c>
    </row>
    <row r="391" spans="2:2">
      <c r="B391" t="s">
        <v>363</v>
      </c>
    </row>
    <row r="392" spans="2:2">
      <c r="B392" t="s">
        <v>488</v>
      </c>
    </row>
    <row r="393" spans="2:2">
      <c r="B393" t="s">
        <v>355</v>
      </c>
    </row>
    <row r="394" spans="2:2">
      <c r="B394" t="s">
        <v>377</v>
      </c>
    </row>
    <row r="395" spans="2:2">
      <c r="B395" t="s">
        <v>356</v>
      </c>
    </row>
    <row r="396" spans="2:2">
      <c r="B396" t="s">
        <v>374</v>
      </c>
    </row>
    <row r="397" spans="2:2">
      <c r="B397" t="s">
        <v>416</v>
      </c>
    </row>
    <row r="398" spans="2:2">
      <c r="B398" t="s">
        <v>360</v>
      </c>
    </row>
    <row r="399" spans="2:2">
      <c r="B399" t="s">
        <v>361</v>
      </c>
    </row>
    <row r="400" spans="2:2">
      <c r="B400" t="s">
        <v>418</v>
      </c>
    </row>
    <row r="401" spans="2:2">
      <c r="B401" t="s">
        <v>352</v>
      </c>
    </row>
    <row r="402" spans="2:2">
      <c r="B402" t="s">
        <v>409</v>
      </c>
    </row>
    <row r="403" spans="2:2">
      <c r="B403" t="s">
        <v>354</v>
      </c>
    </row>
    <row r="404" spans="2:2">
      <c r="B404" t="s">
        <v>521</v>
      </c>
    </row>
    <row r="405" spans="2:2">
      <c r="B405" t="s">
        <v>377</v>
      </c>
    </row>
    <row r="406" spans="2:2">
      <c r="B406" t="s">
        <v>356</v>
      </c>
    </row>
    <row r="407" spans="2:2">
      <c r="B407" t="s">
        <v>358</v>
      </c>
    </row>
    <row r="408" spans="2:2">
      <c r="B408" t="s">
        <v>359</v>
      </c>
    </row>
    <row r="409" spans="2:2">
      <c r="B409" t="s">
        <v>360</v>
      </c>
    </row>
    <row r="410" spans="2:2">
      <c r="B410" t="s">
        <v>361</v>
      </c>
    </row>
    <row r="411" spans="2:2">
      <c r="B411" t="s">
        <v>419</v>
      </c>
    </row>
    <row r="412" spans="2:2">
      <c r="B412" t="s">
        <v>352</v>
      </c>
    </row>
    <row r="413" spans="2:2">
      <c r="B413" t="s">
        <v>384</v>
      </c>
    </row>
    <row r="414" spans="2:2">
      <c r="B414" t="s">
        <v>354</v>
      </c>
    </row>
    <row r="415" spans="2:2">
      <c r="B415" t="s">
        <v>355</v>
      </c>
    </row>
    <row r="416" spans="2:2">
      <c r="B416" t="s">
        <v>517</v>
      </c>
    </row>
    <row r="417" spans="2:2">
      <c r="B417" t="s">
        <v>356</v>
      </c>
    </row>
    <row r="418" spans="2:2">
      <c r="B418" t="s">
        <v>378</v>
      </c>
    </row>
    <row r="419" spans="2:2">
      <c r="B419" t="s">
        <v>359</v>
      </c>
    </row>
    <row r="420" spans="2:2">
      <c r="B420" t="s">
        <v>360</v>
      </c>
    </row>
    <row r="421" spans="2:2">
      <c r="B421" t="s">
        <v>361</v>
      </c>
    </row>
    <row r="422" spans="2:2">
      <c r="B422" t="s">
        <v>369</v>
      </c>
    </row>
    <row r="423" spans="2:2">
      <c r="B423" t="s">
        <v>420</v>
      </c>
    </row>
    <row r="424" spans="2:2">
      <c r="B424" t="s">
        <v>351</v>
      </c>
    </row>
    <row r="425" spans="2:2">
      <c r="B425" t="s">
        <v>352</v>
      </c>
    </row>
    <row r="426" spans="2:2">
      <c r="B426" t="s">
        <v>520</v>
      </c>
    </row>
    <row r="427" spans="2:2">
      <c r="B427" t="s">
        <v>488</v>
      </c>
    </row>
    <row r="428" spans="2:2">
      <c r="B428" t="s">
        <v>521</v>
      </c>
    </row>
    <row r="429" spans="2:2">
      <c r="B429" t="s">
        <v>377</v>
      </c>
    </row>
    <row r="430" spans="2:2">
      <c r="B430" t="s">
        <v>366</v>
      </c>
    </row>
    <row r="431" spans="2:2">
      <c r="B431" t="s">
        <v>358</v>
      </c>
    </row>
    <row r="432" spans="2:2">
      <c r="B432" t="s">
        <v>368</v>
      </c>
    </row>
    <row r="433" spans="2:2">
      <c r="B433" t="s">
        <v>360</v>
      </c>
    </row>
    <row r="434" spans="2:2">
      <c r="B434" t="s">
        <v>361</v>
      </c>
    </row>
    <row r="435" spans="2:2">
      <c r="B435" t="s">
        <v>362</v>
      </c>
    </row>
    <row r="436" spans="2:2">
      <c r="B436" t="s">
        <v>352</v>
      </c>
    </row>
    <row r="437" spans="2:2">
      <c r="B437" t="s">
        <v>384</v>
      </c>
    </row>
    <row r="438" spans="2:2">
      <c r="B438" t="s">
        <v>354</v>
      </c>
    </row>
    <row r="439" spans="2:2">
      <c r="B439" t="s">
        <v>355</v>
      </c>
    </row>
    <row r="440" spans="2:2">
      <c r="B440" t="s">
        <v>517</v>
      </c>
    </row>
    <row r="441" spans="2:2">
      <c r="B441" t="s">
        <v>356</v>
      </c>
    </row>
    <row r="442" spans="2:2">
      <c r="B442" t="s">
        <v>490</v>
      </c>
    </row>
    <row r="443" spans="2:2">
      <c r="B443" t="s">
        <v>359</v>
      </c>
    </row>
    <row r="444" spans="2:2">
      <c r="B444" t="s">
        <v>360</v>
      </c>
    </row>
    <row r="445" spans="2:2">
      <c r="B445" t="s">
        <v>361</v>
      </c>
    </row>
    <row r="446" spans="2:2">
      <c r="B446" t="s">
        <v>369</v>
      </c>
    </row>
    <row r="447" spans="2:2">
      <c r="B447" t="s">
        <v>421</v>
      </c>
    </row>
    <row r="448" spans="2:2">
      <c r="B448" t="s">
        <v>351</v>
      </c>
    </row>
    <row r="449" spans="2:2">
      <c r="B449" t="s">
        <v>352</v>
      </c>
    </row>
    <row r="450" spans="2:2">
      <c r="B450" t="s">
        <v>520</v>
      </c>
    </row>
    <row r="451" spans="2:2">
      <c r="B451" t="s">
        <v>354</v>
      </c>
    </row>
    <row r="452" spans="2:2">
      <c r="B452" t="s">
        <v>521</v>
      </c>
    </row>
    <row r="453" spans="2:2">
      <c r="B453" t="s">
        <v>517</v>
      </c>
    </row>
    <row r="454" spans="2:2">
      <c r="B454" t="s">
        <v>366</v>
      </c>
    </row>
    <row r="455" spans="2:2">
      <c r="B455" t="s">
        <v>378</v>
      </c>
    </row>
    <row r="456" spans="2:2">
      <c r="B456" t="s">
        <v>368</v>
      </c>
    </row>
    <row r="457" spans="2:2">
      <c r="B457" t="s">
        <v>360</v>
      </c>
    </row>
    <row r="458" spans="2:2">
      <c r="B458" t="s">
        <v>361</v>
      </c>
    </row>
    <row r="459" spans="2:2">
      <c r="B459" t="s">
        <v>362</v>
      </c>
    </row>
    <row r="460" spans="2:2">
      <c r="B460" t="s">
        <v>352</v>
      </c>
    </row>
    <row r="461" spans="2:2">
      <c r="B461" t="s">
        <v>384</v>
      </c>
    </row>
    <row r="462" spans="2:2">
      <c r="B462" t="s">
        <v>488</v>
      </c>
    </row>
    <row r="463" spans="2:2">
      <c r="B463" t="s">
        <v>355</v>
      </c>
    </row>
    <row r="464" spans="2:2">
      <c r="B464" t="s">
        <v>377</v>
      </c>
    </row>
    <row r="465" spans="2:2">
      <c r="B465" t="s">
        <v>356</v>
      </c>
    </row>
    <row r="466" spans="2:2">
      <c r="B466" t="s">
        <v>367</v>
      </c>
    </row>
    <row r="467" spans="2:2">
      <c r="B467" t="s">
        <v>359</v>
      </c>
    </row>
    <row r="468" spans="2:2">
      <c r="B468" t="s">
        <v>360</v>
      </c>
    </row>
    <row r="469" spans="2:2">
      <c r="B469" t="s">
        <v>361</v>
      </c>
    </row>
    <row r="470" spans="2:2">
      <c r="B470" t="s">
        <v>369</v>
      </c>
    </row>
    <row r="471" spans="2:2">
      <c r="B471" t="s">
        <v>422</v>
      </c>
    </row>
    <row r="472" spans="2:2">
      <c r="B472" t="s">
        <v>362</v>
      </c>
    </row>
    <row r="473" spans="2:2">
      <c r="B473" t="s">
        <v>352</v>
      </c>
    </row>
    <row r="474" spans="2:2">
      <c r="B474" t="s">
        <v>363</v>
      </c>
    </row>
    <row r="475" spans="2:2">
      <c r="B475" t="s">
        <v>354</v>
      </c>
    </row>
    <row r="476" spans="2:2">
      <c r="B476" t="s">
        <v>355</v>
      </c>
    </row>
    <row r="477" spans="2:2">
      <c r="B477" t="s">
        <v>517</v>
      </c>
    </row>
    <row r="478" spans="2:2">
      <c r="B478" t="s">
        <v>393</v>
      </c>
    </row>
    <row r="479" spans="2:2">
      <c r="B479" t="s">
        <v>496</v>
      </c>
    </row>
    <row r="480" spans="2:2">
      <c r="B480" t="s">
        <v>359</v>
      </c>
    </row>
    <row r="481" spans="2:2">
      <c r="B481" t="s">
        <v>360</v>
      </c>
    </row>
    <row r="482" spans="2:2">
      <c r="B482" t="s">
        <v>361</v>
      </c>
    </row>
    <row r="483" spans="2:2">
      <c r="B483" t="s">
        <v>351</v>
      </c>
    </row>
    <row r="484" spans="2:2">
      <c r="B484" t="s">
        <v>352</v>
      </c>
    </row>
    <row r="485" spans="2:2">
      <c r="B485" t="s">
        <v>518</v>
      </c>
    </row>
    <row r="486" spans="2:2">
      <c r="B486" t="s">
        <v>488</v>
      </c>
    </row>
    <row r="487" spans="2:2">
      <c r="B487" t="s">
        <v>521</v>
      </c>
    </row>
    <row r="488" spans="2:2">
      <c r="B488" t="s">
        <v>377</v>
      </c>
    </row>
    <row r="489" spans="2:2">
      <c r="B489" t="s">
        <v>397</v>
      </c>
    </row>
    <row r="490" spans="2:2">
      <c r="B490" t="s">
        <v>401</v>
      </c>
    </row>
    <row r="491" spans="2:2">
      <c r="B491" t="s">
        <v>368</v>
      </c>
    </row>
    <row r="492" spans="2:2">
      <c r="B492" t="s">
        <v>360</v>
      </c>
    </row>
    <row r="493" spans="2:2">
      <c r="B493" t="s">
        <v>361</v>
      </c>
    </row>
    <row r="494" spans="2:2">
      <c r="B494" t="s">
        <v>369</v>
      </c>
    </row>
    <row r="495" spans="2:2">
      <c r="B495" t="s">
        <v>423</v>
      </c>
    </row>
    <row r="496" spans="2:2">
      <c r="B496" t="s">
        <v>424</v>
      </c>
    </row>
    <row r="497" spans="2:2">
      <c r="B497" t="s">
        <v>352</v>
      </c>
    </row>
    <row r="498" spans="2:2">
      <c r="B498" t="s">
        <v>520</v>
      </c>
    </row>
    <row r="499" spans="2:2">
      <c r="B499" t="s">
        <v>488</v>
      </c>
    </row>
    <row r="500" spans="2:2">
      <c r="B500" t="s">
        <v>521</v>
      </c>
    </row>
    <row r="501" spans="2:2">
      <c r="B501" t="s">
        <v>517</v>
      </c>
    </row>
    <row r="502" spans="2:2">
      <c r="B502" t="s">
        <v>366</v>
      </c>
    </row>
    <row r="503" spans="2:2">
      <c r="B503" t="s">
        <v>490</v>
      </c>
    </row>
    <row r="504" spans="2:2">
      <c r="B504" t="s">
        <v>368</v>
      </c>
    </row>
    <row r="505" spans="2:2">
      <c r="B505" t="s">
        <v>360</v>
      </c>
    </row>
    <row r="506" spans="2:2">
      <c r="B506" t="s">
        <v>425</v>
      </c>
    </row>
    <row r="507" spans="2:2">
      <c r="B507" t="s">
        <v>426</v>
      </c>
    </row>
    <row r="508" spans="2:2">
      <c r="B508" t="s">
        <v>427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NB_Output3'!$B$10:$B$10" display="Inputs" xr:uid="{08EC70EF-AC09-469E-863B-D8F2C0295E4D}"/>
    <hyperlink ref="D4" location="'NB_Stored3'!$B$10:$B$10" display="PMML Model" xr:uid="{12279499-0045-41E1-B312-CE8DB6E0F00C}"/>
    <hyperlink ref="F4" location="'NB_TrainingScore3'!$B$10:$B$10" display="Training: Classification Summary" xr:uid="{D0FC5D95-53C9-4268-BA65-BBD0993714EB}"/>
    <hyperlink ref="H4" location="'NB_ValidationScore3'!$B$10:$B$10" display="Validation: Classification Summary" xr:uid="{DBC9E33E-ACCC-4862-BB6A-EF5D8EA8B13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1999-AB02-44C9-9E7A-1586680DA2DD}">
  <dimension ref="B1:CV129"/>
  <sheetViews>
    <sheetView showGridLines="0" topLeftCell="A46" workbookViewId="0">
      <selection activeCell="G64" sqref="G64"/>
    </sheetView>
  </sheetViews>
  <sheetFormatPr defaultRowHeight="13.2"/>
  <cols>
    <col min="3" max="3" width="11.5546875" customWidth="1"/>
    <col min="4" max="4" width="14.44140625" customWidth="1"/>
    <col min="5" max="5" width="18.21875" customWidth="1"/>
    <col min="6" max="6" width="15.33203125" customWidth="1"/>
    <col min="7" max="7" width="14.5546875" customWidth="1"/>
    <col min="8" max="8" width="18.44140625" customWidth="1"/>
    <col min="9" max="9" width="17.44140625" customWidth="1"/>
    <col min="10" max="10" width="29.109375" bestFit="1" customWidth="1"/>
    <col min="11" max="11" width="17.88671875" customWidth="1"/>
    <col min="12" max="12" width="19.5546875" customWidth="1"/>
    <col min="13" max="13" width="18.77734375" customWidth="1"/>
    <col min="14" max="14" width="20.109375" customWidth="1"/>
    <col min="15" max="15" width="14.21875" customWidth="1"/>
    <col min="16" max="16" width="14.6640625" customWidth="1"/>
    <col min="17" max="17" width="13.6640625" customWidth="1"/>
    <col min="18" max="18" width="19" customWidth="1"/>
    <col min="19" max="19" width="17.21875" customWidth="1"/>
    <col min="20" max="20" width="19.88671875" customWidth="1"/>
  </cols>
  <sheetData>
    <row r="1" spans="2:100" ht="18">
      <c r="B1" s="5" t="s">
        <v>264</v>
      </c>
      <c r="N1" t="s">
        <v>503</v>
      </c>
      <c r="CV1" s="25" t="s">
        <v>504</v>
      </c>
    </row>
    <row r="3" spans="2:100" ht="15.6">
      <c r="B3" s="28" t="s">
        <v>122</v>
      </c>
      <c r="C3" s="29"/>
      <c r="D3" s="29"/>
      <c r="E3" s="29"/>
      <c r="F3" s="29"/>
      <c r="G3" s="30"/>
      <c r="J3" s="28" t="s">
        <v>145</v>
      </c>
      <c r="K3" s="29"/>
      <c r="L3" s="29"/>
      <c r="M3" s="30"/>
    </row>
    <row r="4" spans="2:100" ht="13.8">
      <c r="B4" s="19" t="s">
        <v>123</v>
      </c>
      <c r="C4" s="19"/>
      <c r="D4" s="19" t="s">
        <v>265</v>
      </c>
      <c r="E4" s="19"/>
      <c r="F4" s="19" t="s">
        <v>276</v>
      </c>
      <c r="G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00" ht="13.8">
      <c r="J5" s="15">
        <v>35</v>
      </c>
      <c r="K5" s="15">
        <v>1</v>
      </c>
      <c r="L5" s="15">
        <v>1</v>
      </c>
      <c r="M5" s="15">
        <v>37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</row>
    <row r="13" spans="2:100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00" ht="13.8">
      <c r="C14" s="22" t="s">
        <v>127</v>
      </c>
      <c r="D14" s="22"/>
      <c r="E14" s="23"/>
      <c r="F14" s="11" t="s">
        <v>271</v>
      </c>
      <c r="G14" s="11"/>
      <c r="H14" s="11"/>
      <c r="I14" s="11"/>
    </row>
    <row r="15" spans="2:100" ht="13.8">
      <c r="C15" s="22" t="s">
        <v>128</v>
      </c>
      <c r="D15" s="22"/>
      <c r="E15" s="23"/>
      <c r="F15" s="11" t="s">
        <v>272</v>
      </c>
      <c r="G15" s="11"/>
      <c r="H15" s="11"/>
      <c r="I15" s="11"/>
    </row>
    <row r="16" spans="2:100" ht="13.8">
      <c r="C16" s="22" t="s">
        <v>129</v>
      </c>
      <c r="D16" s="22"/>
      <c r="E16" s="23"/>
      <c r="F16" s="12">
        <v>93</v>
      </c>
      <c r="G16" s="12"/>
      <c r="H16" s="12"/>
      <c r="I16" s="12"/>
    </row>
    <row r="18" spans="2:22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2:22" ht="13.8">
      <c r="C19" s="22" t="s">
        <v>131</v>
      </c>
      <c r="D19" s="22"/>
      <c r="E19" s="23"/>
      <c r="F19" s="12">
        <v>17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2:22" ht="13.8">
      <c r="C20" s="22" t="s">
        <v>132</v>
      </c>
      <c r="D20" s="22"/>
      <c r="E20" s="23"/>
      <c r="F20" s="15" t="s">
        <v>153</v>
      </c>
      <c r="G20" s="15" t="s">
        <v>154</v>
      </c>
      <c r="H20" s="15" t="s">
        <v>155</v>
      </c>
      <c r="I20" s="15" t="s">
        <v>156</v>
      </c>
      <c r="J20" s="15" t="s">
        <v>157</v>
      </c>
      <c r="K20" s="15" t="s">
        <v>158</v>
      </c>
      <c r="L20" s="15" t="s">
        <v>159</v>
      </c>
      <c r="M20" s="15" t="s">
        <v>160</v>
      </c>
      <c r="N20" s="15" t="s">
        <v>161</v>
      </c>
      <c r="O20" s="15" t="s">
        <v>162</v>
      </c>
      <c r="P20" s="15" t="s">
        <v>163</v>
      </c>
      <c r="Q20" s="15" t="s">
        <v>164</v>
      </c>
      <c r="R20" s="15" t="s">
        <v>165</v>
      </c>
      <c r="S20" s="15" t="s">
        <v>166</v>
      </c>
      <c r="T20" s="15" t="s">
        <v>167</v>
      </c>
      <c r="U20" s="15" t="s">
        <v>168</v>
      </c>
      <c r="V20" s="15" t="s">
        <v>169</v>
      </c>
    </row>
    <row r="22" spans="2:22" ht="15.6">
      <c r="C22" s="21" t="s">
        <v>266</v>
      </c>
      <c r="D22" s="21"/>
      <c r="E22" s="21"/>
      <c r="F22" s="21"/>
      <c r="G22" s="21"/>
      <c r="H22" s="21"/>
      <c r="I22" s="21"/>
    </row>
    <row r="23" spans="2:22" ht="13.8">
      <c r="C23" s="22" t="s">
        <v>267</v>
      </c>
      <c r="D23" s="22"/>
      <c r="E23" s="23"/>
      <c r="F23" s="12" t="s">
        <v>273</v>
      </c>
      <c r="G23" s="12"/>
      <c r="H23" s="12"/>
      <c r="I23" s="12"/>
    </row>
    <row r="24" spans="2:22" ht="13.8">
      <c r="C24" s="22" t="s">
        <v>268</v>
      </c>
      <c r="D24" s="22"/>
      <c r="E24" s="23"/>
      <c r="F24" s="12">
        <v>12345</v>
      </c>
      <c r="G24" s="12"/>
      <c r="H24" s="12"/>
      <c r="I24" s="12"/>
    </row>
    <row r="25" spans="2:22" ht="13.8">
      <c r="C25" s="22" t="s">
        <v>269</v>
      </c>
      <c r="D25" s="22"/>
      <c r="E25" s="23"/>
      <c r="F25" s="12">
        <v>0.8</v>
      </c>
      <c r="G25" s="12"/>
      <c r="H25" s="12"/>
      <c r="I25" s="12"/>
    </row>
    <row r="26" spans="2:22" ht="13.8">
      <c r="C26" s="22" t="s">
        <v>270</v>
      </c>
      <c r="D26" s="22"/>
      <c r="E26" s="23"/>
      <c r="F26" s="12">
        <v>0.2</v>
      </c>
      <c r="G26" s="12"/>
      <c r="H26" s="12"/>
      <c r="I26" s="12"/>
    </row>
    <row r="28" spans="2:22" ht="18">
      <c r="B28" s="6" t="s">
        <v>265</v>
      </c>
    </row>
    <row r="30" spans="2:22">
      <c r="C30" s="8" t="s">
        <v>277</v>
      </c>
      <c r="D30" t="s">
        <v>278</v>
      </c>
    </row>
    <row r="31" spans="2:22">
      <c r="C31" s="8" t="s">
        <v>279</v>
      </c>
      <c r="D31">
        <v>74</v>
      </c>
    </row>
    <row r="32" spans="2:22">
      <c r="C32" s="8" t="s">
        <v>280</v>
      </c>
      <c r="D32">
        <v>19</v>
      </c>
    </row>
    <row r="34" spans="2:20" ht="18">
      <c r="B34" s="6" t="s">
        <v>276</v>
      </c>
    </row>
    <row r="36" spans="2:20">
      <c r="C36" s="8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160</v>
      </c>
      <c r="L36" t="s">
        <v>161</v>
      </c>
      <c r="M36" t="s">
        <v>162</v>
      </c>
      <c r="N36" t="s">
        <v>163</v>
      </c>
      <c r="O36" t="s">
        <v>164</v>
      </c>
      <c r="P36" t="s">
        <v>165</v>
      </c>
      <c r="Q36" t="s">
        <v>166</v>
      </c>
      <c r="R36" t="s">
        <v>167</v>
      </c>
      <c r="S36" t="s">
        <v>168</v>
      </c>
      <c r="T36" t="s">
        <v>169</v>
      </c>
    </row>
    <row r="37" spans="2:20">
      <c r="C37" s="8" t="s">
        <v>171</v>
      </c>
      <c r="D37" s="27">
        <v>1</v>
      </c>
      <c r="E37" s="27">
        <v>0</v>
      </c>
      <c r="F37" s="27">
        <v>0</v>
      </c>
      <c r="G37" s="27">
        <v>1</v>
      </c>
      <c r="H37" s="27">
        <v>0</v>
      </c>
      <c r="I37" s="27">
        <v>0</v>
      </c>
      <c r="J37" s="27">
        <v>1</v>
      </c>
      <c r="K37" s="27">
        <v>1</v>
      </c>
      <c r="L37" s="27">
        <v>1</v>
      </c>
      <c r="M37" s="27">
        <v>1</v>
      </c>
      <c r="N37" s="27">
        <v>0</v>
      </c>
      <c r="O37" s="27">
        <v>0</v>
      </c>
      <c r="P37" s="27">
        <v>4</v>
      </c>
      <c r="Q37" s="27">
        <v>0</v>
      </c>
      <c r="R37" s="27">
        <v>0</v>
      </c>
      <c r="S37" s="27">
        <v>1</v>
      </c>
      <c r="T37" s="26">
        <v>1</v>
      </c>
    </row>
    <row r="38" spans="2:20">
      <c r="C38" s="8" t="s">
        <v>175</v>
      </c>
      <c r="D38" s="27">
        <v>1</v>
      </c>
      <c r="E38" s="27">
        <v>0</v>
      </c>
      <c r="F38" s="27">
        <v>0</v>
      </c>
      <c r="G38" s="27">
        <v>1</v>
      </c>
      <c r="H38" s="27">
        <v>0</v>
      </c>
      <c r="I38" s="27">
        <v>0</v>
      </c>
      <c r="J38" s="27">
        <v>0</v>
      </c>
      <c r="K38" s="27">
        <v>1</v>
      </c>
      <c r="L38" s="27">
        <v>1</v>
      </c>
      <c r="M38" s="27">
        <v>1</v>
      </c>
      <c r="N38" s="27">
        <v>0</v>
      </c>
      <c r="O38" s="27">
        <v>0</v>
      </c>
      <c r="P38" s="27">
        <v>4</v>
      </c>
      <c r="Q38" s="27">
        <v>1</v>
      </c>
      <c r="R38" s="27">
        <v>0</v>
      </c>
      <c r="S38" s="27">
        <v>1</v>
      </c>
      <c r="T38" s="26">
        <v>1</v>
      </c>
    </row>
    <row r="39" spans="2:20">
      <c r="C39" s="8" t="s">
        <v>178</v>
      </c>
      <c r="D39" s="27">
        <v>0</v>
      </c>
      <c r="E39" s="27">
        <v>0</v>
      </c>
      <c r="F39" s="27">
        <v>1</v>
      </c>
      <c r="G39" s="27">
        <v>0</v>
      </c>
      <c r="H39" s="27">
        <v>0</v>
      </c>
      <c r="I39" s="27">
        <v>1</v>
      </c>
      <c r="J39" s="27">
        <v>1</v>
      </c>
      <c r="K39" s="27">
        <v>1</v>
      </c>
      <c r="L39" s="27">
        <v>1</v>
      </c>
      <c r="M39" s="27">
        <v>0</v>
      </c>
      <c r="N39" s="27">
        <v>0</v>
      </c>
      <c r="O39" s="27">
        <v>1</v>
      </c>
      <c r="P39" s="27">
        <v>0</v>
      </c>
      <c r="Q39" s="27">
        <v>1</v>
      </c>
      <c r="R39" s="27">
        <v>0</v>
      </c>
      <c r="S39" s="27">
        <v>0</v>
      </c>
      <c r="T39" s="26">
        <v>4</v>
      </c>
    </row>
    <row r="40" spans="2:20">
      <c r="C40" s="8" t="s">
        <v>182</v>
      </c>
      <c r="D40" s="27">
        <v>0</v>
      </c>
      <c r="E40" s="27">
        <v>0</v>
      </c>
      <c r="F40" s="27">
        <v>1</v>
      </c>
      <c r="G40" s="27">
        <v>0</v>
      </c>
      <c r="H40" s="27">
        <v>0</v>
      </c>
      <c r="I40" s="27">
        <v>0</v>
      </c>
      <c r="J40" s="27">
        <v>1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6">
        <v>7</v>
      </c>
    </row>
    <row r="41" spans="2:20">
      <c r="C41" s="8" t="s">
        <v>185</v>
      </c>
      <c r="D41" s="27">
        <v>0</v>
      </c>
      <c r="E41" s="27">
        <v>1</v>
      </c>
      <c r="F41" s="27">
        <v>1</v>
      </c>
      <c r="G41" s="27">
        <v>0</v>
      </c>
      <c r="H41" s="27">
        <v>1</v>
      </c>
      <c r="I41" s="27">
        <v>0</v>
      </c>
      <c r="J41" s="27">
        <v>1</v>
      </c>
      <c r="K41" s="27">
        <v>0</v>
      </c>
      <c r="L41" s="27">
        <v>1</v>
      </c>
      <c r="M41" s="27">
        <v>1</v>
      </c>
      <c r="N41" s="27">
        <v>0</v>
      </c>
      <c r="O41" s="27">
        <v>0</v>
      </c>
      <c r="P41" s="27">
        <v>2</v>
      </c>
      <c r="Q41" s="27">
        <v>1</v>
      </c>
      <c r="R41" s="27">
        <v>0</v>
      </c>
      <c r="S41" s="27">
        <v>0</v>
      </c>
      <c r="T41" s="26">
        <v>2</v>
      </c>
    </row>
    <row r="42" spans="2:20">
      <c r="C42" s="8" t="s">
        <v>186</v>
      </c>
      <c r="D42" s="27">
        <v>1</v>
      </c>
      <c r="E42" s="27">
        <v>0</v>
      </c>
      <c r="F42" s="27">
        <v>0</v>
      </c>
      <c r="G42" s="27">
        <v>1</v>
      </c>
      <c r="H42" s="27">
        <v>0</v>
      </c>
      <c r="I42" s="27">
        <v>0</v>
      </c>
      <c r="J42" s="27">
        <v>0</v>
      </c>
      <c r="K42" s="27">
        <v>1</v>
      </c>
      <c r="L42" s="27">
        <v>1</v>
      </c>
      <c r="M42" s="27">
        <v>1</v>
      </c>
      <c r="N42" s="27">
        <v>0</v>
      </c>
      <c r="O42" s="27">
        <v>0</v>
      </c>
      <c r="P42" s="27">
        <v>4</v>
      </c>
      <c r="Q42" s="27">
        <v>1</v>
      </c>
      <c r="R42" s="27">
        <v>0</v>
      </c>
      <c r="S42" s="27">
        <v>1</v>
      </c>
      <c r="T42" s="26">
        <v>1</v>
      </c>
    </row>
    <row r="43" spans="2:20">
      <c r="C43" s="8" t="s">
        <v>188</v>
      </c>
      <c r="D43" s="27">
        <v>0</v>
      </c>
      <c r="E43" s="27">
        <v>0</v>
      </c>
      <c r="F43" s="27">
        <v>0</v>
      </c>
      <c r="G43" s="27">
        <v>1</v>
      </c>
      <c r="H43" s="27">
        <v>0</v>
      </c>
      <c r="I43" s="27">
        <v>1</v>
      </c>
      <c r="J43" s="27">
        <v>1</v>
      </c>
      <c r="K43" s="27">
        <v>1</v>
      </c>
      <c r="L43" s="27">
        <v>1</v>
      </c>
      <c r="M43" s="27">
        <v>1</v>
      </c>
      <c r="N43" s="27">
        <v>0</v>
      </c>
      <c r="O43" s="27">
        <v>1</v>
      </c>
      <c r="P43" s="27">
        <v>0</v>
      </c>
      <c r="Q43" s="27">
        <v>1</v>
      </c>
      <c r="R43" s="27">
        <v>0</v>
      </c>
      <c r="S43" s="27">
        <v>1</v>
      </c>
      <c r="T43" s="26">
        <v>1</v>
      </c>
    </row>
    <row r="44" spans="2:20">
      <c r="C44" s="8" t="s">
        <v>190</v>
      </c>
      <c r="D44" s="27">
        <v>0</v>
      </c>
      <c r="E44" s="27">
        <v>1</v>
      </c>
      <c r="F44" s="27">
        <v>1</v>
      </c>
      <c r="G44" s="27">
        <v>0</v>
      </c>
      <c r="H44" s="27">
        <v>1</v>
      </c>
      <c r="I44" s="27">
        <v>1</v>
      </c>
      <c r="J44" s="27">
        <v>0</v>
      </c>
      <c r="K44" s="27">
        <v>0</v>
      </c>
      <c r="L44" s="27">
        <v>1</v>
      </c>
      <c r="M44" s="27">
        <v>1</v>
      </c>
      <c r="N44" s="27">
        <v>0</v>
      </c>
      <c r="O44" s="27">
        <v>0</v>
      </c>
      <c r="P44" s="27">
        <v>2</v>
      </c>
      <c r="Q44" s="27">
        <v>1</v>
      </c>
      <c r="R44" s="27">
        <v>0</v>
      </c>
      <c r="S44" s="27">
        <v>0</v>
      </c>
      <c r="T44" s="26">
        <v>2</v>
      </c>
    </row>
    <row r="45" spans="2:20">
      <c r="C45" s="8" t="s">
        <v>191</v>
      </c>
      <c r="D45" s="27">
        <v>1</v>
      </c>
      <c r="E45" s="27">
        <v>0</v>
      </c>
      <c r="F45" s="27">
        <v>0</v>
      </c>
      <c r="G45" s="27">
        <v>1</v>
      </c>
      <c r="H45" s="27">
        <v>0</v>
      </c>
      <c r="I45" s="27">
        <v>0</v>
      </c>
      <c r="J45" s="27">
        <v>0</v>
      </c>
      <c r="K45" s="27">
        <v>1</v>
      </c>
      <c r="L45" s="27">
        <v>1</v>
      </c>
      <c r="M45" s="27">
        <v>1</v>
      </c>
      <c r="N45" s="27">
        <v>0</v>
      </c>
      <c r="O45" s="27">
        <v>0</v>
      </c>
      <c r="P45" s="27">
        <v>4</v>
      </c>
      <c r="Q45" s="27">
        <v>1</v>
      </c>
      <c r="R45" s="27">
        <v>0</v>
      </c>
      <c r="S45" s="27">
        <v>1</v>
      </c>
      <c r="T45" s="26">
        <v>1</v>
      </c>
    </row>
    <row r="46" spans="2:20">
      <c r="C46" s="8" t="s">
        <v>192</v>
      </c>
      <c r="D46" s="27">
        <v>0</v>
      </c>
      <c r="E46" s="27">
        <v>1</v>
      </c>
      <c r="F46" s="27">
        <v>1</v>
      </c>
      <c r="G46" s="27">
        <v>0</v>
      </c>
      <c r="H46" s="27">
        <v>1</v>
      </c>
      <c r="I46" s="27">
        <v>0</v>
      </c>
      <c r="J46" s="27">
        <v>0</v>
      </c>
      <c r="K46" s="27">
        <v>0</v>
      </c>
      <c r="L46" s="27">
        <v>1</v>
      </c>
      <c r="M46" s="27">
        <v>1</v>
      </c>
      <c r="N46" s="27">
        <v>0</v>
      </c>
      <c r="O46" s="27">
        <v>0</v>
      </c>
      <c r="P46" s="27">
        <v>2</v>
      </c>
      <c r="Q46" s="27">
        <v>1</v>
      </c>
      <c r="R46" s="27">
        <v>0</v>
      </c>
      <c r="S46" s="27">
        <v>1</v>
      </c>
      <c r="T46" s="26">
        <v>2</v>
      </c>
    </row>
    <row r="47" spans="2:20">
      <c r="C47" s="8" t="s">
        <v>193</v>
      </c>
      <c r="D47" s="27">
        <v>0</v>
      </c>
      <c r="E47" s="27">
        <v>0</v>
      </c>
      <c r="F47" s="27">
        <v>1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1</v>
      </c>
      <c r="N47" s="27">
        <v>0</v>
      </c>
      <c r="O47" s="27">
        <v>0</v>
      </c>
      <c r="P47" s="27">
        <v>6</v>
      </c>
      <c r="Q47" s="27">
        <v>0</v>
      </c>
      <c r="R47" s="27">
        <v>0</v>
      </c>
      <c r="S47" s="27">
        <v>0</v>
      </c>
      <c r="T47" s="26">
        <v>6</v>
      </c>
    </row>
    <row r="48" spans="2:20">
      <c r="C48" s="8" t="s">
        <v>195</v>
      </c>
      <c r="D48" s="27">
        <v>0</v>
      </c>
      <c r="E48" s="27">
        <v>0</v>
      </c>
      <c r="F48" s="27">
        <v>1</v>
      </c>
      <c r="G48" s="27">
        <v>0</v>
      </c>
      <c r="H48" s="27">
        <v>0</v>
      </c>
      <c r="I48" s="27">
        <v>1</v>
      </c>
      <c r="J48" s="27">
        <v>1</v>
      </c>
      <c r="K48" s="27">
        <v>1</v>
      </c>
      <c r="L48" s="27">
        <v>1</v>
      </c>
      <c r="M48" s="27">
        <v>1</v>
      </c>
      <c r="N48" s="27">
        <v>1</v>
      </c>
      <c r="O48" s="27">
        <v>0</v>
      </c>
      <c r="P48" s="27">
        <v>4</v>
      </c>
      <c r="Q48" s="27">
        <v>0</v>
      </c>
      <c r="R48" s="27">
        <v>0</v>
      </c>
      <c r="S48" s="27">
        <v>0</v>
      </c>
      <c r="T48" s="26">
        <v>5</v>
      </c>
    </row>
    <row r="49" spans="3:20">
      <c r="C49" s="8" t="s">
        <v>196</v>
      </c>
      <c r="D49" s="27">
        <v>1</v>
      </c>
      <c r="E49" s="27">
        <v>0</v>
      </c>
      <c r="F49" s="27">
        <v>0</v>
      </c>
      <c r="G49" s="27">
        <v>1</v>
      </c>
      <c r="H49" s="27">
        <v>1</v>
      </c>
      <c r="I49" s="27">
        <v>0</v>
      </c>
      <c r="J49" s="27">
        <v>0</v>
      </c>
      <c r="K49" s="27">
        <v>1</v>
      </c>
      <c r="L49" s="27">
        <v>1</v>
      </c>
      <c r="M49" s="27">
        <v>1</v>
      </c>
      <c r="N49" s="27">
        <v>0</v>
      </c>
      <c r="O49" s="27">
        <v>0</v>
      </c>
      <c r="P49" s="27">
        <v>2</v>
      </c>
      <c r="Q49" s="27">
        <v>1</v>
      </c>
      <c r="R49" s="27">
        <v>0</v>
      </c>
      <c r="S49" s="27">
        <v>0</v>
      </c>
      <c r="T49" s="26">
        <v>1</v>
      </c>
    </row>
    <row r="50" spans="3:20">
      <c r="C50" s="8" t="s">
        <v>198</v>
      </c>
      <c r="D50" s="27">
        <v>1</v>
      </c>
      <c r="E50" s="27">
        <v>0</v>
      </c>
      <c r="F50" s="27">
        <v>0</v>
      </c>
      <c r="G50" s="27">
        <v>1</v>
      </c>
      <c r="H50" s="27">
        <v>0</v>
      </c>
      <c r="I50" s="27">
        <v>0</v>
      </c>
      <c r="J50" s="27">
        <v>0</v>
      </c>
      <c r="K50" s="27">
        <v>1</v>
      </c>
      <c r="L50" s="27">
        <v>1</v>
      </c>
      <c r="M50" s="27">
        <v>1</v>
      </c>
      <c r="N50" s="27">
        <v>0</v>
      </c>
      <c r="O50" s="27">
        <v>0</v>
      </c>
      <c r="P50" s="27">
        <v>4</v>
      </c>
      <c r="Q50" s="27">
        <v>1</v>
      </c>
      <c r="R50" s="27">
        <v>1</v>
      </c>
      <c r="S50" s="27">
        <v>1</v>
      </c>
      <c r="T50" s="26">
        <v>1</v>
      </c>
    </row>
    <row r="51" spans="3:20">
      <c r="C51" s="8" t="s">
        <v>199</v>
      </c>
      <c r="D51" s="27">
        <v>1</v>
      </c>
      <c r="E51" s="27">
        <v>0</v>
      </c>
      <c r="F51" s="27">
        <v>0</v>
      </c>
      <c r="G51" s="27">
        <v>1</v>
      </c>
      <c r="H51" s="27">
        <v>0</v>
      </c>
      <c r="I51" s="27">
        <v>0</v>
      </c>
      <c r="J51" s="27">
        <v>0</v>
      </c>
      <c r="K51" s="27">
        <v>1</v>
      </c>
      <c r="L51" s="27">
        <v>1</v>
      </c>
      <c r="M51" s="27">
        <v>1</v>
      </c>
      <c r="N51" s="27">
        <v>0</v>
      </c>
      <c r="O51" s="27">
        <v>0</v>
      </c>
      <c r="P51" s="27">
        <v>2</v>
      </c>
      <c r="Q51" s="27">
        <v>0</v>
      </c>
      <c r="R51" s="27">
        <v>0</v>
      </c>
      <c r="S51" s="27">
        <v>1</v>
      </c>
      <c r="T51" s="26">
        <v>1</v>
      </c>
    </row>
    <row r="52" spans="3:20">
      <c r="C52" s="8" t="s">
        <v>202</v>
      </c>
      <c r="D52" s="27">
        <v>1</v>
      </c>
      <c r="E52" s="27">
        <v>0</v>
      </c>
      <c r="F52" s="27">
        <v>0</v>
      </c>
      <c r="G52" s="27">
        <v>1</v>
      </c>
      <c r="H52" s="27">
        <v>0</v>
      </c>
      <c r="I52" s="27">
        <v>0</v>
      </c>
      <c r="J52" s="27">
        <v>0</v>
      </c>
      <c r="K52" s="27">
        <v>1</v>
      </c>
      <c r="L52" s="27">
        <v>1</v>
      </c>
      <c r="M52" s="27">
        <v>1</v>
      </c>
      <c r="N52" s="27">
        <v>0</v>
      </c>
      <c r="O52" s="27">
        <v>0</v>
      </c>
      <c r="P52" s="27">
        <v>4</v>
      </c>
      <c r="Q52" s="27">
        <v>1</v>
      </c>
      <c r="R52" s="27">
        <v>1</v>
      </c>
      <c r="S52" s="27">
        <v>0</v>
      </c>
      <c r="T52" s="26">
        <v>1</v>
      </c>
    </row>
    <row r="53" spans="3:20">
      <c r="C53" s="8" t="s">
        <v>203</v>
      </c>
      <c r="D53" s="27">
        <v>1</v>
      </c>
      <c r="E53" s="27">
        <v>0</v>
      </c>
      <c r="F53" s="27">
        <v>0</v>
      </c>
      <c r="G53" s="27">
        <v>1</v>
      </c>
      <c r="H53" s="27">
        <v>0</v>
      </c>
      <c r="I53" s="27">
        <v>0</v>
      </c>
      <c r="J53" s="27">
        <v>0</v>
      </c>
      <c r="K53" s="27">
        <v>1</v>
      </c>
      <c r="L53" s="27">
        <v>1</v>
      </c>
      <c r="M53" s="27">
        <v>1</v>
      </c>
      <c r="N53" s="27">
        <v>0</v>
      </c>
      <c r="O53" s="27">
        <v>0</v>
      </c>
      <c r="P53" s="27">
        <v>4</v>
      </c>
      <c r="Q53" s="27">
        <v>1</v>
      </c>
      <c r="R53" s="27">
        <v>0</v>
      </c>
      <c r="S53" s="27">
        <v>0</v>
      </c>
      <c r="T53" s="26">
        <v>1</v>
      </c>
    </row>
    <row r="54" spans="3:20">
      <c r="C54" s="8" t="s">
        <v>205</v>
      </c>
      <c r="D54" s="27">
        <v>0</v>
      </c>
      <c r="E54" s="27">
        <v>0</v>
      </c>
      <c r="F54" s="27">
        <v>1</v>
      </c>
      <c r="G54" s="27">
        <v>0</v>
      </c>
      <c r="H54" s="27">
        <v>0</v>
      </c>
      <c r="I54" s="27">
        <v>1</v>
      </c>
      <c r="J54" s="27">
        <v>1</v>
      </c>
      <c r="K54" s="27">
        <v>1</v>
      </c>
      <c r="L54" s="27">
        <v>1</v>
      </c>
      <c r="M54" s="27">
        <v>0</v>
      </c>
      <c r="N54" s="27">
        <v>0</v>
      </c>
      <c r="O54" s="27">
        <v>1</v>
      </c>
      <c r="P54" s="27">
        <v>0</v>
      </c>
      <c r="Q54" s="27">
        <v>1</v>
      </c>
      <c r="R54" s="27">
        <v>0</v>
      </c>
      <c r="S54" s="27">
        <v>0</v>
      </c>
      <c r="T54" s="26">
        <v>4</v>
      </c>
    </row>
    <row r="55" spans="3:20">
      <c r="C55" s="8" t="s">
        <v>207</v>
      </c>
      <c r="D55" s="27">
        <v>1</v>
      </c>
      <c r="E55" s="27">
        <v>0</v>
      </c>
      <c r="F55" s="27">
        <v>1</v>
      </c>
      <c r="G55" s="27">
        <v>0</v>
      </c>
      <c r="H55" s="27">
        <v>1</v>
      </c>
      <c r="I55" s="27">
        <v>0</v>
      </c>
      <c r="J55" s="27">
        <v>0</v>
      </c>
      <c r="K55" s="27">
        <v>0</v>
      </c>
      <c r="L55" s="27">
        <v>0</v>
      </c>
      <c r="M55" s="27">
        <v>1</v>
      </c>
      <c r="N55" s="27">
        <v>0</v>
      </c>
      <c r="O55" s="27">
        <v>0</v>
      </c>
      <c r="P55" s="27">
        <v>6</v>
      </c>
      <c r="Q55" s="27">
        <v>0</v>
      </c>
      <c r="R55" s="27">
        <v>0</v>
      </c>
      <c r="S55" s="27">
        <v>0</v>
      </c>
      <c r="T55" s="26">
        <v>6</v>
      </c>
    </row>
    <row r="56" spans="3:20">
      <c r="C56" s="8" t="s">
        <v>212</v>
      </c>
      <c r="D56" s="27">
        <v>1</v>
      </c>
      <c r="E56" s="27">
        <v>0</v>
      </c>
      <c r="F56" s="27">
        <v>0</v>
      </c>
      <c r="G56" s="27">
        <v>1</v>
      </c>
      <c r="H56" s="27">
        <v>0</v>
      </c>
      <c r="I56" s="27">
        <v>0</v>
      </c>
      <c r="J56" s="27">
        <v>1</v>
      </c>
      <c r="K56" s="27">
        <v>1</v>
      </c>
      <c r="L56" s="27">
        <v>1</v>
      </c>
      <c r="M56" s="27">
        <v>1</v>
      </c>
      <c r="N56" s="27">
        <v>0</v>
      </c>
      <c r="O56" s="27">
        <v>0</v>
      </c>
      <c r="P56" s="27">
        <v>4</v>
      </c>
      <c r="Q56" s="27">
        <v>1</v>
      </c>
      <c r="R56" s="27">
        <v>0</v>
      </c>
      <c r="S56" s="27">
        <v>1</v>
      </c>
      <c r="T56" s="26">
        <v>1</v>
      </c>
    </row>
    <row r="57" spans="3:20">
      <c r="C57" s="8" t="s">
        <v>215</v>
      </c>
      <c r="D57" s="27">
        <v>1</v>
      </c>
      <c r="E57" s="27">
        <v>0</v>
      </c>
      <c r="F57" s="27">
        <v>0</v>
      </c>
      <c r="G57" s="27">
        <v>1</v>
      </c>
      <c r="H57" s="27">
        <v>0</v>
      </c>
      <c r="I57" s="27">
        <v>0</v>
      </c>
      <c r="J57" s="27">
        <v>1</v>
      </c>
      <c r="K57" s="27">
        <v>1</v>
      </c>
      <c r="L57" s="27">
        <v>1</v>
      </c>
      <c r="M57" s="27">
        <v>1</v>
      </c>
      <c r="N57" s="27">
        <v>0</v>
      </c>
      <c r="O57" s="27">
        <v>0</v>
      </c>
      <c r="P57" s="27">
        <v>4</v>
      </c>
      <c r="Q57" s="27">
        <v>1</v>
      </c>
      <c r="R57" s="27">
        <v>0</v>
      </c>
      <c r="S57" s="27">
        <v>1</v>
      </c>
      <c r="T57" s="26">
        <v>1</v>
      </c>
    </row>
    <row r="58" spans="3:20">
      <c r="C58" s="8" t="s">
        <v>217</v>
      </c>
      <c r="D58" s="27">
        <v>0</v>
      </c>
      <c r="E58" s="27">
        <v>0</v>
      </c>
      <c r="F58" s="27">
        <v>1</v>
      </c>
      <c r="G58" s="27">
        <v>0</v>
      </c>
      <c r="H58" s="27">
        <v>0</v>
      </c>
      <c r="I58" s="27">
        <v>1</v>
      </c>
      <c r="J58" s="27">
        <v>1</v>
      </c>
      <c r="K58" s="27">
        <v>1</v>
      </c>
      <c r="L58" s="27">
        <v>1</v>
      </c>
      <c r="M58" s="27">
        <v>1</v>
      </c>
      <c r="N58" s="27">
        <v>0</v>
      </c>
      <c r="O58" s="27">
        <v>0</v>
      </c>
      <c r="P58" s="27">
        <v>4</v>
      </c>
      <c r="Q58" s="27">
        <v>1</v>
      </c>
      <c r="R58" s="27">
        <v>0</v>
      </c>
      <c r="S58" s="27">
        <v>0</v>
      </c>
      <c r="T58" s="26">
        <v>5</v>
      </c>
    </row>
    <row r="59" spans="3:20">
      <c r="C59" s="8" t="s">
        <v>218</v>
      </c>
      <c r="D59" s="27">
        <v>1</v>
      </c>
      <c r="E59" s="27">
        <v>0</v>
      </c>
      <c r="F59" s="27">
        <v>0</v>
      </c>
      <c r="G59" s="27">
        <v>1</v>
      </c>
      <c r="H59" s="27">
        <v>0</v>
      </c>
      <c r="I59" s="27">
        <v>0</v>
      </c>
      <c r="J59" s="27">
        <v>1</v>
      </c>
      <c r="K59" s="27">
        <v>1</v>
      </c>
      <c r="L59" s="27">
        <v>1</v>
      </c>
      <c r="M59" s="27">
        <v>1</v>
      </c>
      <c r="N59" s="27">
        <v>0</v>
      </c>
      <c r="O59" s="27">
        <v>0</v>
      </c>
      <c r="P59" s="27">
        <v>4</v>
      </c>
      <c r="Q59" s="27">
        <v>1</v>
      </c>
      <c r="R59" s="27">
        <v>0</v>
      </c>
      <c r="S59" s="27">
        <v>0</v>
      </c>
      <c r="T59" s="26">
        <v>1</v>
      </c>
    </row>
    <row r="60" spans="3:20">
      <c r="C60" s="8" t="s">
        <v>219</v>
      </c>
      <c r="D60" s="27">
        <v>1</v>
      </c>
      <c r="E60" s="27">
        <v>0</v>
      </c>
      <c r="F60" s="27">
        <v>0</v>
      </c>
      <c r="G60" s="27">
        <v>1</v>
      </c>
      <c r="H60" s="27">
        <v>0</v>
      </c>
      <c r="I60" s="27">
        <v>0</v>
      </c>
      <c r="J60" s="27">
        <v>0</v>
      </c>
      <c r="K60" s="27">
        <v>1</v>
      </c>
      <c r="L60" s="27">
        <v>1</v>
      </c>
      <c r="M60" s="27">
        <v>1</v>
      </c>
      <c r="N60" s="27">
        <v>0</v>
      </c>
      <c r="O60" s="27">
        <v>0</v>
      </c>
      <c r="P60" s="27">
        <v>4</v>
      </c>
      <c r="Q60" s="27">
        <v>1</v>
      </c>
      <c r="R60" s="27">
        <v>0</v>
      </c>
      <c r="S60" s="27">
        <v>1</v>
      </c>
      <c r="T60" s="26">
        <v>1</v>
      </c>
    </row>
    <row r="61" spans="3:20">
      <c r="C61" s="8" t="s">
        <v>224</v>
      </c>
      <c r="D61" s="27">
        <v>0</v>
      </c>
      <c r="E61" s="27">
        <v>0</v>
      </c>
      <c r="F61" s="27">
        <v>1</v>
      </c>
      <c r="G61" s="27">
        <v>0</v>
      </c>
      <c r="H61" s="27">
        <v>0</v>
      </c>
      <c r="I61" s="27">
        <v>1</v>
      </c>
      <c r="J61" s="27">
        <v>1</v>
      </c>
      <c r="K61" s="27">
        <v>1</v>
      </c>
      <c r="L61" s="27">
        <v>1</v>
      </c>
      <c r="M61" s="27">
        <v>0</v>
      </c>
      <c r="N61" s="27">
        <v>0</v>
      </c>
      <c r="O61" s="27">
        <v>1</v>
      </c>
      <c r="P61" s="27">
        <v>0</v>
      </c>
      <c r="Q61" s="27">
        <v>1</v>
      </c>
      <c r="R61" s="27">
        <v>0</v>
      </c>
      <c r="S61" s="27">
        <v>0</v>
      </c>
      <c r="T61" s="26">
        <v>4</v>
      </c>
    </row>
    <row r="62" spans="3:20">
      <c r="C62" s="8" t="s">
        <v>226</v>
      </c>
      <c r="D62" s="27">
        <v>1</v>
      </c>
      <c r="E62" s="27">
        <v>0</v>
      </c>
      <c r="F62" s="27">
        <v>1</v>
      </c>
      <c r="G62" s="27">
        <v>1</v>
      </c>
      <c r="H62" s="27">
        <v>0</v>
      </c>
      <c r="I62" s="27">
        <v>1</v>
      </c>
      <c r="J62" s="27">
        <v>1</v>
      </c>
      <c r="K62" s="27">
        <v>0</v>
      </c>
      <c r="L62" s="27">
        <v>1</v>
      </c>
      <c r="M62" s="27">
        <v>1</v>
      </c>
      <c r="N62" s="27">
        <v>0</v>
      </c>
      <c r="O62" s="27">
        <v>0</v>
      </c>
      <c r="P62" s="27">
        <v>4</v>
      </c>
      <c r="Q62" s="27">
        <v>1</v>
      </c>
      <c r="R62" s="27">
        <v>0</v>
      </c>
      <c r="S62" s="27">
        <v>1</v>
      </c>
      <c r="T62" s="26">
        <v>1</v>
      </c>
    </row>
    <row r="63" spans="3:20">
      <c r="C63" s="8" t="s">
        <v>227</v>
      </c>
      <c r="D63" s="27">
        <v>1</v>
      </c>
      <c r="E63" s="27">
        <v>0</v>
      </c>
      <c r="F63" s="27">
        <v>0</v>
      </c>
      <c r="G63" s="27">
        <v>1</v>
      </c>
      <c r="H63" s="27">
        <v>0</v>
      </c>
      <c r="I63" s="27">
        <v>0</v>
      </c>
      <c r="J63" s="27">
        <v>1</v>
      </c>
      <c r="K63" s="27">
        <v>1</v>
      </c>
      <c r="L63" s="27">
        <v>1</v>
      </c>
      <c r="M63" s="27">
        <v>1</v>
      </c>
      <c r="N63" s="27">
        <v>0</v>
      </c>
      <c r="O63" s="27">
        <v>0</v>
      </c>
      <c r="P63" s="27">
        <v>4</v>
      </c>
      <c r="Q63" s="27">
        <v>1</v>
      </c>
      <c r="R63" s="27">
        <v>0</v>
      </c>
      <c r="S63" s="27">
        <v>1</v>
      </c>
      <c r="T63" s="26">
        <v>1</v>
      </c>
    </row>
    <row r="64" spans="3:20">
      <c r="C64" s="8" t="s">
        <v>229</v>
      </c>
      <c r="D64" s="27">
        <v>0</v>
      </c>
      <c r="E64" s="27">
        <v>0</v>
      </c>
      <c r="F64" s="27">
        <v>0</v>
      </c>
      <c r="G64" s="27">
        <v>1</v>
      </c>
      <c r="H64" s="27">
        <v>0</v>
      </c>
      <c r="I64" s="27">
        <v>1</v>
      </c>
      <c r="J64" s="27">
        <v>1</v>
      </c>
      <c r="K64" s="27">
        <v>1</v>
      </c>
      <c r="L64" s="27">
        <v>1</v>
      </c>
      <c r="M64" s="27">
        <v>1</v>
      </c>
      <c r="N64" s="27">
        <v>0</v>
      </c>
      <c r="O64" s="27">
        <v>1</v>
      </c>
      <c r="P64" s="27">
        <v>0</v>
      </c>
      <c r="Q64" s="27">
        <v>1</v>
      </c>
      <c r="R64" s="27">
        <v>0</v>
      </c>
      <c r="S64" s="27">
        <v>1</v>
      </c>
      <c r="T64" s="26">
        <v>1</v>
      </c>
    </row>
    <row r="65" spans="3:20">
      <c r="C65" s="8" t="s">
        <v>230</v>
      </c>
      <c r="D65" s="27">
        <v>1</v>
      </c>
      <c r="E65" s="27">
        <v>0</v>
      </c>
      <c r="F65" s="27">
        <v>0</v>
      </c>
      <c r="G65" s="27">
        <v>1</v>
      </c>
      <c r="H65" s="27">
        <v>0</v>
      </c>
      <c r="I65" s="27">
        <v>0</v>
      </c>
      <c r="J65" s="27">
        <v>1</v>
      </c>
      <c r="K65" s="27">
        <v>1</v>
      </c>
      <c r="L65" s="27">
        <v>1</v>
      </c>
      <c r="M65" s="27">
        <v>1</v>
      </c>
      <c r="N65" s="27">
        <v>0</v>
      </c>
      <c r="O65" s="27">
        <v>0</v>
      </c>
      <c r="P65" s="27">
        <v>4</v>
      </c>
      <c r="Q65" s="27">
        <v>1</v>
      </c>
      <c r="R65" s="27">
        <v>0</v>
      </c>
      <c r="S65" s="27">
        <v>1</v>
      </c>
      <c r="T65" s="26">
        <v>1</v>
      </c>
    </row>
    <row r="66" spans="3:20">
      <c r="C66" s="8" t="s">
        <v>231</v>
      </c>
      <c r="D66" s="27">
        <v>1</v>
      </c>
      <c r="E66" s="27">
        <v>0</v>
      </c>
      <c r="F66" s="27">
        <v>0</v>
      </c>
      <c r="G66" s="27">
        <v>1</v>
      </c>
      <c r="H66" s="27">
        <v>0</v>
      </c>
      <c r="I66" s="27">
        <v>0</v>
      </c>
      <c r="J66" s="27">
        <v>1</v>
      </c>
      <c r="K66" s="27">
        <v>1</v>
      </c>
      <c r="L66" s="27">
        <v>1</v>
      </c>
      <c r="M66" s="27">
        <v>1</v>
      </c>
      <c r="N66" s="27">
        <v>0</v>
      </c>
      <c r="O66" s="27">
        <v>0</v>
      </c>
      <c r="P66" s="27">
        <v>4</v>
      </c>
      <c r="Q66" s="27">
        <v>1</v>
      </c>
      <c r="R66" s="27">
        <v>1</v>
      </c>
      <c r="S66" s="27">
        <v>1</v>
      </c>
      <c r="T66" s="26">
        <v>1</v>
      </c>
    </row>
    <row r="67" spans="3:20">
      <c r="C67" s="8" t="s">
        <v>232</v>
      </c>
      <c r="D67" s="27">
        <v>1</v>
      </c>
      <c r="E67" s="27">
        <v>0</v>
      </c>
      <c r="F67" s="27">
        <v>0</v>
      </c>
      <c r="G67" s="27">
        <v>1</v>
      </c>
      <c r="H67" s="27">
        <v>0</v>
      </c>
      <c r="I67" s="27">
        <v>0</v>
      </c>
      <c r="J67" s="27">
        <v>1</v>
      </c>
      <c r="K67" s="27">
        <v>1</v>
      </c>
      <c r="L67" s="27">
        <v>1</v>
      </c>
      <c r="M67" s="27">
        <v>1</v>
      </c>
      <c r="N67" s="27">
        <v>0</v>
      </c>
      <c r="O67" s="27">
        <v>0</v>
      </c>
      <c r="P67" s="27">
        <v>4</v>
      </c>
      <c r="Q67" s="27">
        <v>1</v>
      </c>
      <c r="R67" s="27">
        <v>0</v>
      </c>
      <c r="S67" s="27">
        <v>1</v>
      </c>
      <c r="T67" s="26">
        <v>1</v>
      </c>
    </row>
    <row r="68" spans="3:20">
      <c r="C68" s="8" t="s">
        <v>235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1</v>
      </c>
      <c r="K68" s="27">
        <v>0</v>
      </c>
      <c r="L68" s="27">
        <v>0</v>
      </c>
      <c r="M68" s="27">
        <v>1</v>
      </c>
      <c r="N68" s="27">
        <v>1</v>
      </c>
      <c r="O68" s="27">
        <v>0</v>
      </c>
      <c r="P68" s="27">
        <v>8</v>
      </c>
      <c r="Q68" s="27">
        <v>1</v>
      </c>
      <c r="R68" s="27">
        <v>0</v>
      </c>
      <c r="S68" s="27">
        <v>0</v>
      </c>
      <c r="T68" s="26">
        <v>7</v>
      </c>
    </row>
    <row r="69" spans="3:20">
      <c r="C69" s="8" t="s">
        <v>236</v>
      </c>
      <c r="D69" s="27">
        <v>0</v>
      </c>
      <c r="E69" s="27">
        <v>0</v>
      </c>
      <c r="F69" s="27">
        <v>1</v>
      </c>
      <c r="G69" s="27">
        <v>0</v>
      </c>
      <c r="H69" s="27">
        <v>0</v>
      </c>
      <c r="I69" s="27">
        <v>1</v>
      </c>
      <c r="J69" s="27">
        <v>0</v>
      </c>
      <c r="K69" s="27">
        <v>1</v>
      </c>
      <c r="L69" s="27">
        <v>1</v>
      </c>
      <c r="M69" s="27">
        <v>0</v>
      </c>
      <c r="N69" s="27">
        <v>0</v>
      </c>
      <c r="O69" s="27">
        <v>1</v>
      </c>
      <c r="P69" s="27">
        <v>0</v>
      </c>
      <c r="Q69" s="27">
        <v>1</v>
      </c>
      <c r="R69" s="27">
        <v>0</v>
      </c>
      <c r="S69" s="27">
        <v>0</v>
      </c>
      <c r="T69" s="26">
        <v>4</v>
      </c>
    </row>
    <row r="70" spans="3:20">
      <c r="C70" s="8" t="s">
        <v>238</v>
      </c>
      <c r="D70" s="27">
        <v>1</v>
      </c>
      <c r="E70" s="27">
        <v>0</v>
      </c>
      <c r="F70" s="27">
        <v>0</v>
      </c>
      <c r="G70" s="27">
        <v>1</v>
      </c>
      <c r="H70" s="27">
        <v>0</v>
      </c>
      <c r="I70" s="27">
        <v>1</v>
      </c>
      <c r="J70" s="27">
        <v>1</v>
      </c>
      <c r="K70" s="27">
        <v>1</v>
      </c>
      <c r="L70" s="27">
        <v>1</v>
      </c>
      <c r="M70" s="27">
        <v>1</v>
      </c>
      <c r="N70" s="27">
        <v>0</v>
      </c>
      <c r="O70" s="27">
        <v>1</v>
      </c>
      <c r="P70" s="27">
        <v>2</v>
      </c>
      <c r="Q70" s="27">
        <v>1</v>
      </c>
      <c r="R70" s="27">
        <v>0</v>
      </c>
      <c r="S70" s="27">
        <v>1</v>
      </c>
      <c r="T70" s="26">
        <v>1</v>
      </c>
    </row>
    <row r="71" spans="3:20">
      <c r="C71" s="8" t="s">
        <v>243</v>
      </c>
      <c r="D71" s="27">
        <v>0</v>
      </c>
      <c r="E71" s="27">
        <v>0</v>
      </c>
      <c r="F71" s="27">
        <v>1</v>
      </c>
      <c r="G71" s="27">
        <v>0</v>
      </c>
      <c r="H71" s="27">
        <v>0</v>
      </c>
      <c r="I71" s="27">
        <v>0</v>
      </c>
      <c r="J71" s="27">
        <v>1</v>
      </c>
      <c r="K71" s="27">
        <v>1</v>
      </c>
      <c r="L71" s="27">
        <v>1</v>
      </c>
      <c r="M71" s="27">
        <v>1</v>
      </c>
      <c r="N71" s="27">
        <v>0</v>
      </c>
      <c r="O71" s="27">
        <v>0</v>
      </c>
      <c r="P71" s="27">
        <v>0</v>
      </c>
      <c r="Q71" s="27">
        <v>1</v>
      </c>
      <c r="R71" s="27">
        <v>0</v>
      </c>
      <c r="S71" s="27">
        <v>0</v>
      </c>
      <c r="T71" s="26">
        <v>3</v>
      </c>
    </row>
    <row r="72" spans="3:20">
      <c r="C72" s="8" t="s">
        <v>246</v>
      </c>
      <c r="D72" s="27">
        <v>0</v>
      </c>
      <c r="E72" s="27">
        <v>1</v>
      </c>
      <c r="F72" s="27">
        <v>1</v>
      </c>
      <c r="G72" s="27">
        <v>0</v>
      </c>
      <c r="H72" s="27">
        <v>1</v>
      </c>
      <c r="I72" s="27">
        <v>0</v>
      </c>
      <c r="J72" s="27">
        <v>0</v>
      </c>
      <c r="K72" s="27">
        <v>0</v>
      </c>
      <c r="L72" s="27">
        <v>1</v>
      </c>
      <c r="M72" s="27">
        <v>1</v>
      </c>
      <c r="N72" s="27">
        <v>0</v>
      </c>
      <c r="O72" s="27">
        <v>0</v>
      </c>
      <c r="P72" s="27">
        <v>2</v>
      </c>
      <c r="Q72" s="27">
        <v>1</v>
      </c>
      <c r="R72" s="27">
        <v>0</v>
      </c>
      <c r="S72" s="27">
        <v>0</v>
      </c>
      <c r="T72" s="26">
        <v>2</v>
      </c>
    </row>
    <row r="73" spans="3:20">
      <c r="C73" s="8" t="s">
        <v>248</v>
      </c>
      <c r="D73" s="27">
        <v>0</v>
      </c>
      <c r="E73" s="27">
        <v>0</v>
      </c>
      <c r="F73" s="27">
        <v>1</v>
      </c>
      <c r="G73" s="27">
        <v>0</v>
      </c>
      <c r="H73" s="27">
        <v>0</v>
      </c>
      <c r="I73" s="27">
        <v>1</v>
      </c>
      <c r="J73" s="27">
        <v>1</v>
      </c>
      <c r="K73" s="27">
        <v>1</v>
      </c>
      <c r="L73" s="27">
        <v>1</v>
      </c>
      <c r="M73" s="27">
        <v>0</v>
      </c>
      <c r="N73" s="27">
        <v>1</v>
      </c>
      <c r="O73" s="27">
        <v>1</v>
      </c>
      <c r="P73" s="27">
        <v>0</v>
      </c>
      <c r="Q73" s="27">
        <v>1</v>
      </c>
      <c r="R73" s="27">
        <v>0</v>
      </c>
      <c r="S73" s="27">
        <v>1</v>
      </c>
      <c r="T73" s="26">
        <v>4</v>
      </c>
    </row>
    <row r="74" spans="3:20">
      <c r="C74" s="8" t="s">
        <v>250</v>
      </c>
      <c r="D74" s="27">
        <v>0</v>
      </c>
      <c r="E74" s="27">
        <v>0</v>
      </c>
      <c r="F74" s="27">
        <v>1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1</v>
      </c>
      <c r="N74" s="27">
        <v>0</v>
      </c>
      <c r="O74" s="27">
        <v>0</v>
      </c>
      <c r="P74" s="27">
        <v>6</v>
      </c>
      <c r="Q74" s="27">
        <v>0</v>
      </c>
      <c r="R74" s="27">
        <v>0</v>
      </c>
      <c r="S74" s="27">
        <v>0</v>
      </c>
      <c r="T74" s="26">
        <v>6</v>
      </c>
    </row>
    <row r="75" spans="3:20">
      <c r="C75" s="8" t="s">
        <v>251</v>
      </c>
      <c r="D75" s="27">
        <v>0</v>
      </c>
      <c r="E75" s="27">
        <v>0</v>
      </c>
      <c r="F75" s="27">
        <v>1</v>
      </c>
      <c r="G75" s="27">
        <v>0</v>
      </c>
      <c r="H75" s="27">
        <v>0</v>
      </c>
      <c r="I75" s="27">
        <v>1</v>
      </c>
      <c r="J75" s="27">
        <v>0</v>
      </c>
      <c r="K75" s="27">
        <v>1</v>
      </c>
      <c r="L75" s="27">
        <v>1</v>
      </c>
      <c r="M75" s="27">
        <v>1</v>
      </c>
      <c r="N75" s="27">
        <v>0</v>
      </c>
      <c r="O75" s="27">
        <v>0</v>
      </c>
      <c r="P75" s="27">
        <v>4</v>
      </c>
      <c r="Q75" s="27">
        <v>0</v>
      </c>
      <c r="R75" s="27">
        <v>0</v>
      </c>
      <c r="S75" s="27">
        <v>0</v>
      </c>
      <c r="T75" s="26">
        <v>5</v>
      </c>
    </row>
    <row r="76" spans="3:20">
      <c r="C76" s="8" t="s">
        <v>252</v>
      </c>
      <c r="D76" s="27">
        <v>0</v>
      </c>
      <c r="E76" s="27">
        <v>0</v>
      </c>
      <c r="F76" s="27">
        <v>1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1</v>
      </c>
      <c r="M76" s="27">
        <v>1</v>
      </c>
      <c r="N76" s="27">
        <v>0</v>
      </c>
      <c r="O76" s="27">
        <v>0</v>
      </c>
      <c r="P76" s="27">
        <v>4</v>
      </c>
      <c r="Q76" s="27">
        <v>1</v>
      </c>
      <c r="R76" s="27">
        <v>0</v>
      </c>
      <c r="S76" s="27">
        <v>1</v>
      </c>
      <c r="T76" s="26">
        <v>3</v>
      </c>
    </row>
    <row r="77" spans="3:20">
      <c r="C77" s="8" t="s">
        <v>253</v>
      </c>
      <c r="D77" s="27">
        <v>0</v>
      </c>
      <c r="E77" s="27">
        <v>0</v>
      </c>
      <c r="F77" s="27">
        <v>1</v>
      </c>
      <c r="G77" s="27">
        <v>0</v>
      </c>
      <c r="H77" s="27">
        <v>0</v>
      </c>
      <c r="I77" s="27">
        <v>0</v>
      </c>
      <c r="J77" s="27">
        <v>1</v>
      </c>
      <c r="K77" s="27">
        <v>1</v>
      </c>
      <c r="L77" s="27">
        <v>1</v>
      </c>
      <c r="M77" s="27">
        <v>1</v>
      </c>
      <c r="N77" s="27">
        <v>0</v>
      </c>
      <c r="O77" s="27">
        <v>0</v>
      </c>
      <c r="P77" s="27">
        <v>4</v>
      </c>
      <c r="Q77" s="27">
        <v>1</v>
      </c>
      <c r="R77" s="27">
        <v>0</v>
      </c>
      <c r="S77" s="27">
        <v>0</v>
      </c>
      <c r="T77" s="26">
        <v>3</v>
      </c>
    </row>
    <row r="78" spans="3:20">
      <c r="C78" s="8" t="s">
        <v>254</v>
      </c>
      <c r="D78" s="27">
        <v>0</v>
      </c>
      <c r="E78" s="27">
        <v>0</v>
      </c>
      <c r="F78" s="27">
        <v>1</v>
      </c>
      <c r="G78" s="27">
        <v>0</v>
      </c>
      <c r="H78" s="27">
        <v>0</v>
      </c>
      <c r="I78" s="27">
        <v>1</v>
      </c>
      <c r="J78" s="27">
        <v>1</v>
      </c>
      <c r="K78" s="27">
        <v>1</v>
      </c>
      <c r="L78" s="27">
        <v>1</v>
      </c>
      <c r="M78" s="27">
        <v>0</v>
      </c>
      <c r="N78" s="27">
        <v>0</v>
      </c>
      <c r="O78" s="27">
        <v>1</v>
      </c>
      <c r="P78" s="27">
        <v>0</v>
      </c>
      <c r="Q78" s="27">
        <v>1</v>
      </c>
      <c r="R78" s="27">
        <v>0</v>
      </c>
      <c r="S78" s="27">
        <v>1</v>
      </c>
      <c r="T78" s="26">
        <v>4</v>
      </c>
    </row>
    <row r="79" spans="3:20">
      <c r="C79" s="8" t="s">
        <v>258</v>
      </c>
      <c r="D79" s="27">
        <v>1</v>
      </c>
      <c r="E79" s="27">
        <v>0</v>
      </c>
      <c r="F79" s="27">
        <v>0</v>
      </c>
      <c r="G79" s="27">
        <v>1</v>
      </c>
      <c r="H79" s="27">
        <v>0</v>
      </c>
      <c r="I79" s="27">
        <v>0</v>
      </c>
      <c r="J79" s="27">
        <v>0</v>
      </c>
      <c r="K79" s="27">
        <v>1</v>
      </c>
      <c r="L79" s="27">
        <v>1</v>
      </c>
      <c r="M79" s="27">
        <v>1</v>
      </c>
      <c r="N79" s="27">
        <v>0</v>
      </c>
      <c r="O79" s="27">
        <v>0</v>
      </c>
      <c r="P79" s="27">
        <v>2</v>
      </c>
      <c r="Q79" s="27">
        <v>1</v>
      </c>
      <c r="R79" s="27">
        <v>0</v>
      </c>
      <c r="S79" s="27">
        <v>1</v>
      </c>
      <c r="T79" s="26">
        <v>1</v>
      </c>
    </row>
    <row r="80" spans="3:20">
      <c r="C80" s="8" t="s">
        <v>259</v>
      </c>
      <c r="D80" s="27">
        <v>1</v>
      </c>
      <c r="E80" s="27">
        <v>0</v>
      </c>
      <c r="F80" s="27">
        <v>1</v>
      </c>
      <c r="G80" s="27">
        <v>0</v>
      </c>
      <c r="H80" s="27">
        <v>1</v>
      </c>
      <c r="I80" s="27">
        <v>0</v>
      </c>
      <c r="J80" s="27">
        <v>0</v>
      </c>
      <c r="K80" s="27">
        <v>0</v>
      </c>
      <c r="L80" s="27">
        <v>0</v>
      </c>
      <c r="M80" s="27">
        <v>1</v>
      </c>
      <c r="N80" s="27">
        <v>1</v>
      </c>
      <c r="O80" s="27">
        <v>0</v>
      </c>
      <c r="P80" s="27">
        <v>6</v>
      </c>
      <c r="Q80" s="27">
        <v>0</v>
      </c>
      <c r="R80" s="27">
        <v>0</v>
      </c>
      <c r="S80" s="27">
        <v>0</v>
      </c>
      <c r="T80" s="26">
        <v>6</v>
      </c>
    </row>
    <row r="81" spans="3:20">
      <c r="C81" s="8" t="s">
        <v>261</v>
      </c>
      <c r="D81" s="27">
        <v>0</v>
      </c>
      <c r="E81" s="27">
        <v>0</v>
      </c>
      <c r="F81" s="27">
        <v>1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1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6">
        <v>7</v>
      </c>
    </row>
    <row r="82" spans="3:20">
      <c r="C82" s="8" t="s">
        <v>262</v>
      </c>
      <c r="D82" s="27">
        <v>0</v>
      </c>
      <c r="E82" s="27">
        <v>1</v>
      </c>
      <c r="F82" s="27">
        <v>1</v>
      </c>
      <c r="G82" s="27">
        <v>0</v>
      </c>
      <c r="H82" s="27">
        <v>1</v>
      </c>
      <c r="I82" s="27">
        <v>0</v>
      </c>
      <c r="J82" s="27">
        <v>0</v>
      </c>
      <c r="K82" s="27">
        <v>0</v>
      </c>
      <c r="L82" s="27">
        <v>1</v>
      </c>
      <c r="M82" s="27">
        <v>1</v>
      </c>
      <c r="N82" s="27">
        <v>0</v>
      </c>
      <c r="O82" s="27">
        <v>0</v>
      </c>
      <c r="P82" s="27">
        <v>2</v>
      </c>
      <c r="Q82" s="27">
        <v>1</v>
      </c>
      <c r="R82" s="27">
        <v>0</v>
      </c>
      <c r="S82" s="27">
        <v>0</v>
      </c>
      <c r="T82" s="26">
        <v>2</v>
      </c>
    </row>
    <row r="83" spans="3:20">
      <c r="C83" s="8" t="s">
        <v>181</v>
      </c>
      <c r="D83" s="27">
        <v>0</v>
      </c>
      <c r="E83" s="27">
        <v>1</v>
      </c>
      <c r="F83" s="27">
        <v>1</v>
      </c>
      <c r="G83" s="27">
        <v>0</v>
      </c>
      <c r="H83" s="27">
        <v>1</v>
      </c>
      <c r="I83" s="27">
        <v>0</v>
      </c>
      <c r="J83" s="27">
        <v>0</v>
      </c>
      <c r="K83" s="27">
        <v>0</v>
      </c>
      <c r="L83" s="27">
        <v>1</v>
      </c>
      <c r="M83" s="27">
        <v>1</v>
      </c>
      <c r="N83" s="27">
        <v>0</v>
      </c>
      <c r="O83" s="27">
        <v>0</v>
      </c>
      <c r="P83" s="27">
        <v>2</v>
      </c>
      <c r="Q83" s="27">
        <v>1</v>
      </c>
      <c r="R83" s="27">
        <v>1</v>
      </c>
      <c r="S83" s="27">
        <v>0</v>
      </c>
      <c r="T83" s="26">
        <v>2</v>
      </c>
    </row>
    <row r="84" spans="3:20">
      <c r="C84" s="8" t="s">
        <v>211</v>
      </c>
      <c r="D84" s="27">
        <v>0</v>
      </c>
      <c r="E84" s="27">
        <v>0</v>
      </c>
      <c r="F84" s="27">
        <v>1</v>
      </c>
      <c r="G84" s="27">
        <v>0</v>
      </c>
      <c r="H84" s="27">
        <v>0</v>
      </c>
      <c r="I84" s="27">
        <v>1</v>
      </c>
      <c r="J84" s="27">
        <v>1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6</v>
      </c>
      <c r="Q84" s="27">
        <v>0</v>
      </c>
      <c r="R84" s="27">
        <v>0</v>
      </c>
      <c r="S84" s="27">
        <v>0</v>
      </c>
      <c r="T84" s="26">
        <v>7</v>
      </c>
    </row>
    <row r="85" spans="3:20">
      <c r="C85" s="8" t="s">
        <v>241</v>
      </c>
      <c r="D85" s="27">
        <v>0</v>
      </c>
      <c r="E85" s="27">
        <v>1</v>
      </c>
      <c r="F85" s="27">
        <v>1</v>
      </c>
      <c r="G85" s="27">
        <v>0</v>
      </c>
      <c r="H85" s="27">
        <v>1</v>
      </c>
      <c r="I85" s="27">
        <v>1</v>
      </c>
      <c r="J85" s="27">
        <v>1</v>
      </c>
      <c r="K85" s="27">
        <v>0</v>
      </c>
      <c r="L85" s="27">
        <v>1</v>
      </c>
      <c r="M85" s="27">
        <v>1</v>
      </c>
      <c r="N85" s="27">
        <v>0</v>
      </c>
      <c r="O85" s="27">
        <v>0</v>
      </c>
      <c r="P85" s="27">
        <v>2</v>
      </c>
      <c r="Q85" s="27">
        <v>1</v>
      </c>
      <c r="R85" s="27">
        <v>0</v>
      </c>
      <c r="S85" s="27">
        <v>0</v>
      </c>
      <c r="T85" s="26">
        <v>2</v>
      </c>
    </row>
    <row r="86" spans="3:20">
      <c r="C86" s="8" t="s">
        <v>194</v>
      </c>
      <c r="D86" s="27">
        <v>0</v>
      </c>
      <c r="E86" s="27">
        <v>0</v>
      </c>
      <c r="F86" s="27">
        <v>1</v>
      </c>
      <c r="G86" s="27">
        <v>0</v>
      </c>
      <c r="H86" s="27">
        <v>0</v>
      </c>
      <c r="I86" s="27">
        <v>1</v>
      </c>
      <c r="J86" s="27">
        <v>1</v>
      </c>
      <c r="K86" s="27">
        <v>1</v>
      </c>
      <c r="L86" s="27">
        <v>1</v>
      </c>
      <c r="M86" s="27">
        <v>1</v>
      </c>
      <c r="N86" s="27">
        <v>0</v>
      </c>
      <c r="O86" s="27">
        <v>0</v>
      </c>
      <c r="P86" s="27">
        <v>4</v>
      </c>
      <c r="Q86" s="27">
        <v>0</v>
      </c>
      <c r="R86" s="27">
        <v>0</v>
      </c>
      <c r="S86" s="27">
        <v>0</v>
      </c>
      <c r="T86" s="26">
        <v>5</v>
      </c>
    </row>
    <row r="87" spans="3:20">
      <c r="C87" s="8" t="s">
        <v>209</v>
      </c>
      <c r="D87" s="27">
        <v>0</v>
      </c>
      <c r="E87" s="27">
        <v>1</v>
      </c>
      <c r="F87" s="27">
        <v>1</v>
      </c>
      <c r="G87" s="27">
        <v>0</v>
      </c>
      <c r="H87" s="27">
        <v>1</v>
      </c>
      <c r="I87" s="27">
        <v>0</v>
      </c>
      <c r="J87" s="27">
        <v>0</v>
      </c>
      <c r="K87" s="27">
        <v>0</v>
      </c>
      <c r="L87" s="27">
        <v>1</v>
      </c>
      <c r="M87" s="27">
        <v>1</v>
      </c>
      <c r="N87" s="27">
        <v>0</v>
      </c>
      <c r="O87" s="27">
        <v>0</v>
      </c>
      <c r="P87" s="27">
        <v>2</v>
      </c>
      <c r="Q87" s="27">
        <v>1</v>
      </c>
      <c r="R87" s="27">
        <v>0</v>
      </c>
      <c r="S87" s="27">
        <v>0</v>
      </c>
      <c r="T87" s="26">
        <v>2</v>
      </c>
    </row>
    <row r="88" spans="3:20">
      <c r="C88" s="8" t="s">
        <v>240</v>
      </c>
      <c r="D88" s="27">
        <v>0</v>
      </c>
      <c r="E88" s="27">
        <v>0</v>
      </c>
      <c r="F88" s="27">
        <v>1</v>
      </c>
      <c r="G88" s="27">
        <v>0</v>
      </c>
      <c r="H88" s="27">
        <v>0</v>
      </c>
      <c r="I88" s="27">
        <v>1</v>
      </c>
      <c r="J88" s="27">
        <v>1</v>
      </c>
      <c r="K88" s="27">
        <v>0</v>
      </c>
      <c r="L88" s="27">
        <v>0</v>
      </c>
      <c r="M88" s="27">
        <v>0</v>
      </c>
      <c r="N88" s="27">
        <v>1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6">
        <v>7</v>
      </c>
    </row>
    <row r="89" spans="3:20">
      <c r="C89" s="8" t="s">
        <v>220</v>
      </c>
      <c r="D89" s="27">
        <v>0</v>
      </c>
      <c r="E89" s="27">
        <v>1</v>
      </c>
      <c r="F89" s="27">
        <v>1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1</v>
      </c>
      <c r="M89" s="27">
        <v>1</v>
      </c>
      <c r="N89" s="27">
        <v>0</v>
      </c>
      <c r="O89" s="27">
        <v>0</v>
      </c>
      <c r="P89" s="27">
        <v>2</v>
      </c>
      <c r="Q89" s="27">
        <v>1</v>
      </c>
      <c r="R89" s="27">
        <v>0</v>
      </c>
      <c r="S89" s="27">
        <v>1</v>
      </c>
      <c r="T89" s="26">
        <v>2</v>
      </c>
    </row>
    <row r="90" spans="3:20">
      <c r="C90" s="8" t="s">
        <v>225</v>
      </c>
      <c r="D90" s="27">
        <v>0</v>
      </c>
      <c r="E90" s="27">
        <v>0</v>
      </c>
      <c r="F90" s="27">
        <v>1</v>
      </c>
      <c r="G90" s="27">
        <v>0</v>
      </c>
      <c r="H90" s="27">
        <v>0</v>
      </c>
      <c r="I90" s="27">
        <v>0</v>
      </c>
      <c r="J90" s="27">
        <v>1</v>
      </c>
      <c r="K90" s="27">
        <v>1</v>
      </c>
      <c r="L90" s="27">
        <v>1</v>
      </c>
      <c r="M90" s="27">
        <v>1</v>
      </c>
      <c r="N90" s="27">
        <v>1</v>
      </c>
      <c r="O90" s="27">
        <v>0</v>
      </c>
      <c r="P90" s="27">
        <v>0</v>
      </c>
      <c r="Q90" s="27">
        <v>1</v>
      </c>
      <c r="R90" s="27">
        <v>0</v>
      </c>
      <c r="S90" s="27">
        <v>0</v>
      </c>
      <c r="T90" s="26">
        <v>3</v>
      </c>
    </row>
    <row r="91" spans="3:20">
      <c r="C91" s="8" t="s">
        <v>247</v>
      </c>
      <c r="D91" s="27">
        <v>1</v>
      </c>
      <c r="E91" s="27">
        <v>0</v>
      </c>
      <c r="F91" s="27">
        <v>0</v>
      </c>
      <c r="G91" s="27">
        <v>1</v>
      </c>
      <c r="H91" s="27">
        <v>0</v>
      </c>
      <c r="I91" s="27">
        <v>0</v>
      </c>
      <c r="J91" s="27">
        <v>0</v>
      </c>
      <c r="K91" s="27">
        <v>1</v>
      </c>
      <c r="L91" s="27">
        <v>1</v>
      </c>
      <c r="M91" s="27">
        <v>1</v>
      </c>
      <c r="N91" s="27">
        <v>0</v>
      </c>
      <c r="O91" s="27">
        <v>0</v>
      </c>
      <c r="P91" s="27">
        <v>2</v>
      </c>
      <c r="Q91" s="27">
        <v>1</v>
      </c>
      <c r="R91" s="27">
        <v>0</v>
      </c>
      <c r="S91" s="27">
        <v>0</v>
      </c>
      <c r="T91" s="26">
        <v>1</v>
      </c>
    </row>
    <row r="92" spans="3:20">
      <c r="C92" s="8" t="s">
        <v>223</v>
      </c>
      <c r="D92" s="27">
        <v>0</v>
      </c>
      <c r="E92" s="27">
        <v>0</v>
      </c>
      <c r="F92" s="27">
        <v>1</v>
      </c>
      <c r="G92" s="27">
        <v>0</v>
      </c>
      <c r="H92" s="27">
        <v>0</v>
      </c>
      <c r="I92" s="27">
        <v>1</v>
      </c>
      <c r="J92" s="27">
        <v>1</v>
      </c>
      <c r="K92" s="27">
        <v>1</v>
      </c>
      <c r="L92" s="27">
        <v>1</v>
      </c>
      <c r="M92" s="27">
        <v>0</v>
      </c>
      <c r="N92" s="27">
        <v>0</v>
      </c>
      <c r="O92" s="27">
        <v>1</v>
      </c>
      <c r="P92" s="27">
        <v>0</v>
      </c>
      <c r="Q92" s="27">
        <v>1</v>
      </c>
      <c r="R92" s="27">
        <v>0</v>
      </c>
      <c r="S92" s="27">
        <v>1</v>
      </c>
      <c r="T92" s="26">
        <v>4</v>
      </c>
    </row>
    <row r="93" spans="3:20">
      <c r="C93" s="8" t="s">
        <v>172</v>
      </c>
      <c r="D93" s="27">
        <v>0</v>
      </c>
      <c r="E93" s="27">
        <v>0</v>
      </c>
      <c r="F93" s="27">
        <v>1</v>
      </c>
      <c r="G93" s="27">
        <v>0</v>
      </c>
      <c r="H93" s="27">
        <v>0</v>
      </c>
      <c r="I93" s="27">
        <v>1</v>
      </c>
      <c r="J93" s="27">
        <v>1</v>
      </c>
      <c r="K93" s="27">
        <v>1</v>
      </c>
      <c r="L93" s="27">
        <v>1</v>
      </c>
      <c r="M93" s="27">
        <v>0</v>
      </c>
      <c r="N93" s="27">
        <v>0</v>
      </c>
      <c r="O93" s="27">
        <v>1</v>
      </c>
      <c r="P93" s="27">
        <v>0</v>
      </c>
      <c r="Q93" s="27">
        <v>1</v>
      </c>
      <c r="R93" s="27">
        <v>0</v>
      </c>
      <c r="S93" s="27">
        <v>0</v>
      </c>
      <c r="T93" s="26">
        <v>4</v>
      </c>
    </row>
    <row r="94" spans="3:20">
      <c r="C94" s="8" t="s">
        <v>183</v>
      </c>
      <c r="D94" s="27">
        <v>0</v>
      </c>
      <c r="E94" s="27">
        <v>0</v>
      </c>
      <c r="F94" s="27">
        <v>1</v>
      </c>
      <c r="G94" s="27">
        <v>0</v>
      </c>
      <c r="H94" s="27">
        <v>0</v>
      </c>
      <c r="I94" s="27">
        <v>1</v>
      </c>
      <c r="J94" s="27">
        <v>1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4</v>
      </c>
      <c r="Q94" s="27">
        <v>0</v>
      </c>
      <c r="R94" s="27">
        <v>0</v>
      </c>
      <c r="S94" s="27">
        <v>0</v>
      </c>
      <c r="T94" s="26">
        <v>7</v>
      </c>
    </row>
    <row r="95" spans="3:20">
      <c r="C95" s="8" t="s">
        <v>208</v>
      </c>
      <c r="D95" s="27">
        <v>0</v>
      </c>
      <c r="E95" s="27">
        <v>0</v>
      </c>
      <c r="F95" s="27">
        <v>1</v>
      </c>
      <c r="G95" s="27">
        <v>0</v>
      </c>
      <c r="H95" s="27">
        <v>1</v>
      </c>
      <c r="I95" s="27">
        <v>0</v>
      </c>
      <c r="J95" s="27">
        <v>1</v>
      </c>
      <c r="K95" s="27">
        <v>0</v>
      </c>
      <c r="L95" s="27">
        <v>0</v>
      </c>
      <c r="M95" s="27">
        <v>1</v>
      </c>
      <c r="N95" s="27">
        <v>0</v>
      </c>
      <c r="O95" s="27">
        <v>0</v>
      </c>
      <c r="P95" s="27">
        <v>6</v>
      </c>
      <c r="Q95" s="27">
        <v>0</v>
      </c>
      <c r="R95" s="27">
        <v>0</v>
      </c>
      <c r="S95" s="27">
        <v>0</v>
      </c>
      <c r="T95" s="26">
        <v>6</v>
      </c>
    </row>
    <row r="96" spans="3:20">
      <c r="C96" s="8" t="s">
        <v>201</v>
      </c>
      <c r="D96" s="27">
        <v>0</v>
      </c>
      <c r="E96" s="27">
        <v>0</v>
      </c>
      <c r="F96" s="27">
        <v>1</v>
      </c>
      <c r="G96" s="27">
        <v>0</v>
      </c>
      <c r="H96" s="27">
        <v>0</v>
      </c>
      <c r="I96" s="27">
        <v>1</v>
      </c>
      <c r="J96" s="27">
        <v>0</v>
      </c>
      <c r="K96" s="27">
        <v>1</v>
      </c>
      <c r="L96" s="27">
        <v>1</v>
      </c>
      <c r="M96" s="27">
        <v>0</v>
      </c>
      <c r="N96" s="27">
        <v>0</v>
      </c>
      <c r="O96" s="27">
        <v>1</v>
      </c>
      <c r="P96" s="27">
        <v>0</v>
      </c>
      <c r="Q96" s="27">
        <v>1</v>
      </c>
      <c r="R96" s="27">
        <v>0</v>
      </c>
      <c r="S96" s="27">
        <v>0</v>
      </c>
      <c r="T96" s="26">
        <v>4</v>
      </c>
    </row>
    <row r="97" spans="3:20">
      <c r="C97" s="8" t="s">
        <v>197</v>
      </c>
      <c r="D97" s="27">
        <v>1</v>
      </c>
      <c r="E97" s="27">
        <v>0</v>
      </c>
      <c r="F97" s="27">
        <v>0</v>
      </c>
      <c r="G97" s="27">
        <v>1</v>
      </c>
      <c r="H97" s="27">
        <v>0</v>
      </c>
      <c r="I97" s="27">
        <v>0</v>
      </c>
      <c r="J97" s="27">
        <v>0</v>
      </c>
      <c r="K97" s="27">
        <v>1</v>
      </c>
      <c r="L97" s="27">
        <v>1</v>
      </c>
      <c r="M97" s="27">
        <v>1</v>
      </c>
      <c r="N97" s="27">
        <v>0</v>
      </c>
      <c r="O97" s="27">
        <v>0</v>
      </c>
      <c r="P97" s="27">
        <v>4</v>
      </c>
      <c r="Q97" s="27">
        <v>1</v>
      </c>
      <c r="R97" s="27">
        <v>0</v>
      </c>
      <c r="S97" s="27">
        <v>1</v>
      </c>
      <c r="T97" s="26">
        <v>1</v>
      </c>
    </row>
    <row r="98" spans="3:20">
      <c r="C98" s="8" t="s">
        <v>184</v>
      </c>
      <c r="D98" s="27">
        <v>0</v>
      </c>
      <c r="E98" s="27">
        <v>0</v>
      </c>
      <c r="F98" s="27">
        <v>1</v>
      </c>
      <c r="G98" s="27">
        <v>0</v>
      </c>
      <c r="H98" s="27">
        <v>0</v>
      </c>
      <c r="I98" s="27">
        <v>1</v>
      </c>
      <c r="J98" s="27">
        <v>1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6</v>
      </c>
      <c r="Q98" s="27">
        <v>0</v>
      </c>
      <c r="R98" s="27">
        <v>0</v>
      </c>
      <c r="S98" s="27">
        <v>0</v>
      </c>
      <c r="T98" s="26">
        <v>7</v>
      </c>
    </row>
    <row r="99" spans="3:20">
      <c r="C99" s="8" t="s">
        <v>187</v>
      </c>
      <c r="D99" s="27">
        <v>0</v>
      </c>
      <c r="E99" s="27">
        <v>0</v>
      </c>
      <c r="F99" s="27">
        <v>1</v>
      </c>
      <c r="G99" s="27">
        <v>0</v>
      </c>
      <c r="H99" s="27">
        <v>0</v>
      </c>
      <c r="I99" s="27">
        <v>1</v>
      </c>
      <c r="J99" s="27">
        <v>1</v>
      </c>
      <c r="K99" s="27">
        <v>1</v>
      </c>
      <c r="L99" s="27">
        <v>1</v>
      </c>
      <c r="M99" s="27">
        <v>0</v>
      </c>
      <c r="N99" s="27">
        <v>0</v>
      </c>
      <c r="O99" s="27">
        <v>1</v>
      </c>
      <c r="P99" s="27">
        <v>0</v>
      </c>
      <c r="Q99" s="27">
        <v>1</v>
      </c>
      <c r="R99" s="27">
        <v>0</v>
      </c>
      <c r="S99" s="27">
        <v>1</v>
      </c>
      <c r="T99" s="26">
        <v>4</v>
      </c>
    </row>
    <row r="100" spans="3:20">
      <c r="C100" s="8" t="s">
        <v>242</v>
      </c>
      <c r="D100" s="27">
        <v>0</v>
      </c>
      <c r="E100" s="27">
        <v>1</v>
      </c>
      <c r="F100" s="27">
        <v>1</v>
      </c>
      <c r="G100" s="27">
        <v>0</v>
      </c>
      <c r="H100" s="27">
        <v>1</v>
      </c>
      <c r="I100" s="27">
        <v>1</v>
      </c>
      <c r="J100" s="27">
        <v>1</v>
      </c>
      <c r="K100" s="27">
        <v>0</v>
      </c>
      <c r="L100" s="27">
        <v>1</v>
      </c>
      <c r="M100" s="27">
        <v>1</v>
      </c>
      <c r="N100" s="27">
        <v>0</v>
      </c>
      <c r="O100" s="27">
        <v>0</v>
      </c>
      <c r="P100" s="27">
        <v>2</v>
      </c>
      <c r="Q100" s="27">
        <v>1</v>
      </c>
      <c r="R100" s="27">
        <v>0</v>
      </c>
      <c r="S100" s="27">
        <v>0</v>
      </c>
      <c r="T100" s="26">
        <v>2</v>
      </c>
    </row>
    <row r="101" spans="3:20">
      <c r="C101" s="8" t="s">
        <v>174</v>
      </c>
      <c r="D101" s="27">
        <v>1</v>
      </c>
      <c r="E101" s="27">
        <v>0</v>
      </c>
      <c r="F101" s="27">
        <v>0</v>
      </c>
      <c r="G101" s="27">
        <v>1</v>
      </c>
      <c r="H101" s="27">
        <v>0</v>
      </c>
      <c r="I101" s="27">
        <v>0</v>
      </c>
      <c r="J101" s="27">
        <v>1</v>
      </c>
      <c r="K101" s="27">
        <v>1</v>
      </c>
      <c r="L101" s="27">
        <v>1</v>
      </c>
      <c r="M101" s="27">
        <v>1</v>
      </c>
      <c r="N101" s="27">
        <v>0</v>
      </c>
      <c r="O101" s="27">
        <v>0</v>
      </c>
      <c r="P101" s="27">
        <v>4</v>
      </c>
      <c r="Q101" s="27">
        <v>1</v>
      </c>
      <c r="R101" s="27">
        <v>0</v>
      </c>
      <c r="S101" s="27">
        <v>1</v>
      </c>
      <c r="T101" s="26">
        <v>1</v>
      </c>
    </row>
    <row r="102" spans="3:20">
      <c r="C102" s="8" t="s">
        <v>213</v>
      </c>
      <c r="D102" s="27">
        <v>1</v>
      </c>
      <c r="E102" s="27">
        <v>0</v>
      </c>
      <c r="F102" s="27">
        <v>0</v>
      </c>
      <c r="G102" s="27">
        <v>1</v>
      </c>
      <c r="H102" s="27">
        <v>0</v>
      </c>
      <c r="I102" s="27">
        <v>1</v>
      </c>
      <c r="J102" s="27">
        <v>1</v>
      </c>
      <c r="K102" s="27">
        <v>1</v>
      </c>
      <c r="L102" s="27">
        <v>1</v>
      </c>
      <c r="M102" s="27">
        <v>1</v>
      </c>
      <c r="N102" s="27">
        <v>0</v>
      </c>
      <c r="O102" s="27">
        <v>0</v>
      </c>
      <c r="P102" s="27">
        <v>4</v>
      </c>
      <c r="Q102" s="27">
        <v>1</v>
      </c>
      <c r="R102" s="27">
        <v>0</v>
      </c>
      <c r="S102" s="27">
        <v>1</v>
      </c>
      <c r="T102" s="26">
        <v>1</v>
      </c>
    </row>
    <row r="103" spans="3:20">
      <c r="C103" s="8" t="s">
        <v>206</v>
      </c>
      <c r="D103" s="27">
        <v>1</v>
      </c>
      <c r="E103" s="27">
        <v>0</v>
      </c>
      <c r="F103" s="27">
        <v>1</v>
      </c>
      <c r="G103" s="27">
        <v>0</v>
      </c>
      <c r="H103" s="27">
        <v>1</v>
      </c>
      <c r="I103" s="27">
        <v>0</v>
      </c>
      <c r="J103" s="27">
        <v>0</v>
      </c>
      <c r="K103" s="27">
        <v>0</v>
      </c>
      <c r="L103" s="27">
        <v>0</v>
      </c>
      <c r="M103" s="27">
        <v>1</v>
      </c>
      <c r="N103" s="27">
        <v>1</v>
      </c>
      <c r="O103" s="27">
        <v>0</v>
      </c>
      <c r="P103" s="27">
        <v>6</v>
      </c>
      <c r="Q103" s="27">
        <v>0</v>
      </c>
      <c r="R103" s="27">
        <v>1</v>
      </c>
      <c r="S103" s="27">
        <v>0</v>
      </c>
      <c r="T103" s="26">
        <v>6</v>
      </c>
    </row>
    <row r="104" spans="3:20">
      <c r="C104" s="8" t="s">
        <v>180</v>
      </c>
      <c r="D104" s="27">
        <v>1</v>
      </c>
      <c r="E104" s="27">
        <v>0</v>
      </c>
      <c r="F104" s="27">
        <v>0</v>
      </c>
      <c r="G104" s="27">
        <v>1</v>
      </c>
      <c r="H104" s="27">
        <v>0</v>
      </c>
      <c r="I104" s="27">
        <v>0</v>
      </c>
      <c r="J104" s="27">
        <v>1</v>
      </c>
      <c r="K104" s="27">
        <v>1</v>
      </c>
      <c r="L104" s="27">
        <v>1</v>
      </c>
      <c r="M104" s="27">
        <v>1</v>
      </c>
      <c r="N104" s="27">
        <v>0</v>
      </c>
      <c r="O104" s="27">
        <v>0</v>
      </c>
      <c r="P104" s="27">
        <v>4</v>
      </c>
      <c r="Q104" s="27">
        <v>1</v>
      </c>
      <c r="R104" s="27">
        <v>0</v>
      </c>
      <c r="S104" s="27">
        <v>1</v>
      </c>
      <c r="T104" s="26">
        <v>1</v>
      </c>
    </row>
    <row r="105" spans="3:20">
      <c r="C105" s="8" t="s">
        <v>176</v>
      </c>
      <c r="D105" s="27">
        <v>1</v>
      </c>
      <c r="E105" s="27">
        <v>0</v>
      </c>
      <c r="F105" s="27">
        <v>0</v>
      </c>
      <c r="G105" s="27">
        <v>1</v>
      </c>
      <c r="H105" s="27">
        <v>0</v>
      </c>
      <c r="I105" s="27">
        <v>0</v>
      </c>
      <c r="J105" s="27">
        <v>0</v>
      </c>
      <c r="K105" s="27">
        <v>1</v>
      </c>
      <c r="L105" s="27">
        <v>1</v>
      </c>
      <c r="M105" s="27">
        <v>1</v>
      </c>
      <c r="N105" s="27">
        <v>0</v>
      </c>
      <c r="O105" s="27">
        <v>0</v>
      </c>
      <c r="P105" s="27">
        <v>4</v>
      </c>
      <c r="Q105" s="27">
        <v>1</v>
      </c>
      <c r="R105" s="27">
        <v>1</v>
      </c>
      <c r="S105" s="27">
        <v>1</v>
      </c>
      <c r="T105" s="26">
        <v>1</v>
      </c>
    </row>
    <row r="106" spans="3:20">
      <c r="C106" s="8" t="s">
        <v>234</v>
      </c>
      <c r="D106" s="27">
        <v>0</v>
      </c>
      <c r="E106" s="27">
        <v>1</v>
      </c>
      <c r="F106" s="27">
        <v>1</v>
      </c>
      <c r="G106" s="27">
        <v>0</v>
      </c>
      <c r="H106" s="27">
        <v>0</v>
      </c>
      <c r="I106" s="27">
        <v>0</v>
      </c>
      <c r="J106" s="27">
        <v>1</v>
      </c>
      <c r="K106" s="27">
        <v>0</v>
      </c>
      <c r="L106" s="27">
        <v>1</v>
      </c>
      <c r="M106" s="27">
        <v>1</v>
      </c>
      <c r="N106" s="27">
        <v>0</v>
      </c>
      <c r="O106" s="27">
        <v>0</v>
      </c>
      <c r="P106" s="27">
        <v>2</v>
      </c>
      <c r="Q106" s="27">
        <v>1</v>
      </c>
      <c r="R106" s="27">
        <v>0</v>
      </c>
      <c r="S106" s="27">
        <v>1</v>
      </c>
      <c r="T106" s="26">
        <v>2</v>
      </c>
    </row>
    <row r="107" spans="3:20">
      <c r="C107" s="8" t="s">
        <v>221</v>
      </c>
      <c r="D107" s="27">
        <v>0</v>
      </c>
      <c r="E107" s="27">
        <v>1</v>
      </c>
      <c r="F107" s="27">
        <v>1</v>
      </c>
      <c r="G107" s="27">
        <v>0</v>
      </c>
      <c r="H107" s="27">
        <v>1</v>
      </c>
      <c r="I107" s="27">
        <v>0</v>
      </c>
      <c r="J107" s="27">
        <v>0</v>
      </c>
      <c r="K107" s="27">
        <v>0</v>
      </c>
      <c r="L107" s="27">
        <v>1</v>
      </c>
      <c r="M107" s="27">
        <v>1</v>
      </c>
      <c r="N107" s="27">
        <v>0</v>
      </c>
      <c r="O107" s="27">
        <v>0</v>
      </c>
      <c r="P107" s="27">
        <v>2</v>
      </c>
      <c r="Q107" s="27">
        <v>1</v>
      </c>
      <c r="R107" s="27">
        <v>1</v>
      </c>
      <c r="S107" s="27">
        <v>0</v>
      </c>
      <c r="T107" s="26">
        <v>2</v>
      </c>
    </row>
    <row r="108" spans="3:20">
      <c r="C108" s="8" t="s">
        <v>239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1</v>
      </c>
      <c r="J108" s="27">
        <v>1</v>
      </c>
      <c r="K108" s="27">
        <v>1</v>
      </c>
      <c r="L108" s="27">
        <v>1</v>
      </c>
      <c r="M108" s="27">
        <v>0</v>
      </c>
      <c r="N108" s="27">
        <v>1</v>
      </c>
      <c r="O108" s="27">
        <v>0</v>
      </c>
      <c r="P108" s="27">
        <v>0</v>
      </c>
      <c r="Q108" s="27">
        <v>1</v>
      </c>
      <c r="R108" s="27">
        <v>0</v>
      </c>
      <c r="S108" s="27">
        <v>0</v>
      </c>
      <c r="T108" s="26">
        <v>3</v>
      </c>
    </row>
    <row r="109" spans="3:20">
      <c r="C109" s="8" t="s">
        <v>257</v>
      </c>
      <c r="D109" s="27">
        <v>0</v>
      </c>
      <c r="E109" s="27">
        <v>1</v>
      </c>
      <c r="F109" s="27">
        <v>1</v>
      </c>
      <c r="G109" s="27">
        <v>0</v>
      </c>
      <c r="H109" s="27">
        <v>1</v>
      </c>
      <c r="I109" s="27">
        <v>0</v>
      </c>
      <c r="J109" s="27">
        <v>1</v>
      </c>
      <c r="K109" s="27">
        <v>0</v>
      </c>
      <c r="L109" s="27">
        <v>1</v>
      </c>
      <c r="M109" s="27">
        <v>1</v>
      </c>
      <c r="N109" s="27">
        <v>0</v>
      </c>
      <c r="O109" s="27">
        <v>0</v>
      </c>
      <c r="P109" s="27">
        <v>2</v>
      </c>
      <c r="Q109" s="27">
        <v>1</v>
      </c>
      <c r="R109" s="27">
        <v>0</v>
      </c>
      <c r="S109" s="27">
        <v>1</v>
      </c>
      <c r="T109" s="26">
        <v>2</v>
      </c>
    </row>
    <row r="110" spans="3:20">
      <c r="C110" s="8" t="s">
        <v>214</v>
      </c>
      <c r="D110" s="27">
        <v>1</v>
      </c>
      <c r="E110" s="27">
        <v>0</v>
      </c>
      <c r="F110" s="27">
        <v>0</v>
      </c>
      <c r="G110" s="27">
        <v>1</v>
      </c>
      <c r="H110" s="27">
        <v>0</v>
      </c>
      <c r="I110" s="27">
        <v>0</v>
      </c>
      <c r="J110" s="27">
        <v>1</v>
      </c>
      <c r="K110" s="27">
        <v>1</v>
      </c>
      <c r="L110" s="27">
        <v>1</v>
      </c>
      <c r="M110" s="27">
        <v>1</v>
      </c>
      <c r="N110" s="27">
        <v>0</v>
      </c>
      <c r="O110" s="27">
        <v>0</v>
      </c>
      <c r="P110" s="27">
        <v>4</v>
      </c>
      <c r="Q110" s="27">
        <v>1</v>
      </c>
      <c r="R110" s="27">
        <v>0</v>
      </c>
      <c r="S110" s="27">
        <v>0</v>
      </c>
      <c r="T110" s="26">
        <v>1</v>
      </c>
    </row>
    <row r="111" spans="3:20">
      <c r="C111" s="8" t="s">
        <v>173</v>
      </c>
      <c r="D111" s="27">
        <v>1</v>
      </c>
      <c r="E111" s="27">
        <v>0</v>
      </c>
      <c r="F111" s="27">
        <v>0</v>
      </c>
      <c r="G111" s="27">
        <v>1</v>
      </c>
      <c r="H111" s="27">
        <v>0</v>
      </c>
      <c r="I111" s="27">
        <v>0</v>
      </c>
      <c r="J111" s="27">
        <v>1</v>
      </c>
      <c r="K111" s="27">
        <v>1</v>
      </c>
      <c r="L111" s="27">
        <v>1</v>
      </c>
      <c r="M111" s="27">
        <v>1</v>
      </c>
      <c r="N111" s="27">
        <v>0</v>
      </c>
      <c r="O111" s="27">
        <v>0</v>
      </c>
      <c r="P111" s="27">
        <v>4</v>
      </c>
      <c r="Q111" s="27">
        <v>0</v>
      </c>
      <c r="R111" s="27">
        <v>0</v>
      </c>
      <c r="S111" s="27">
        <v>1</v>
      </c>
      <c r="T111" s="26">
        <v>1</v>
      </c>
    </row>
    <row r="112" spans="3:20">
      <c r="C112" s="8" t="s">
        <v>189</v>
      </c>
      <c r="D112" s="27">
        <v>0</v>
      </c>
      <c r="E112" s="27">
        <v>1</v>
      </c>
      <c r="F112" s="27">
        <v>1</v>
      </c>
      <c r="G112" s="27">
        <v>0</v>
      </c>
      <c r="H112" s="27">
        <v>1</v>
      </c>
      <c r="I112" s="27">
        <v>0</v>
      </c>
      <c r="J112" s="27">
        <v>0</v>
      </c>
      <c r="K112" s="27">
        <v>0</v>
      </c>
      <c r="L112" s="27">
        <v>1</v>
      </c>
      <c r="M112" s="27">
        <v>1</v>
      </c>
      <c r="N112" s="27">
        <v>0</v>
      </c>
      <c r="O112" s="27">
        <v>0</v>
      </c>
      <c r="P112" s="27">
        <v>2</v>
      </c>
      <c r="Q112" s="27">
        <v>1</v>
      </c>
      <c r="R112" s="27">
        <v>1</v>
      </c>
      <c r="S112" s="27">
        <v>0</v>
      </c>
      <c r="T112" s="26">
        <v>2</v>
      </c>
    </row>
    <row r="113" spans="3:20">
      <c r="C113" s="8" t="s">
        <v>244</v>
      </c>
      <c r="D113" s="27">
        <v>0</v>
      </c>
      <c r="E113" s="27">
        <v>0</v>
      </c>
      <c r="F113" s="27">
        <v>1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1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6">
        <v>7</v>
      </c>
    </row>
    <row r="114" spans="3:20">
      <c r="C114" s="8" t="s">
        <v>228</v>
      </c>
      <c r="D114" s="27">
        <v>1</v>
      </c>
      <c r="E114" s="27">
        <v>0</v>
      </c>
      <c r="F114" s="27">
        <v>0</v>
      </c>
      <c r="G114" s="27">
        <v>1</v>
      </c>
      <c r="H114" s="27">
        <v>0</v>
      </c>
      <c r="I114" s="27">
        <v>0</v>
      </c>
      <c r="J114" s="27">
        <v>0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4</v>
      </c>
      <c r="Q114" s="27">
        <v>1</v>
      </c>
      <c r="R114" s="27">
        <v>1</v>
      </c>
      <c r="S114" s="27">
        <v>1</v>
      </c>
      <c r="T114" s="26">
        <v>1</v>
      </c>
    </row>
    <row r="115" spans="3:20">
      <c r="C115" s="8" t="s">
        <v>233</v>
      </c>
      <c r="D115" s="27">
        <v>1</v>
      </c>
      <c r="E115" s="27">
        <v>0</v>
      </c>
      <c r="F115" s="27">
        <v>0</v>
      </c>
      <c r="G115" s="27">
        <v>1</v>
      </c>
      <c r="H115" s="27">
        <v>0</v>
      </c>
      <c r="I115" s="27">
        <v>0</v>
      </c>
      <c r="J115" s="27">
        <v>0</v>
      </c>
      <c r="K115" s="27">
        <v>1</v>
      </c>
      <c r="L115" s="27">
        <v>1</v>
      </c>
      <c r="M115" s="27">
        <v>1</v>
      </c>
      <c r="N115" s="27">
        <v>0</v>
      </c>
      <c r="O115" s="27">
        <v>0</v>
      </c>
      <c r="P115" s="27">
        <v>4</v>
      </c>
      <c r="Q115" s="27">
        <v>1</v>
      </c>
      <c r="R115" s="27">
        <v>1</v>
      </c>
      <c r="S115" s="27">
        <v>1</v>
      </c>
      <c r="T115" s="26">
        <v>1</v>
      </c>
    </row>
    <row r="116" spans="3:20">
      <c r="C116" s="8" t="s">
        <v>177</v>
      </c>
      <c r="D116" s="27">
        <v>0</v>
      </c>
      <c r="E116" s="27">
        <v>0</v>
      </c>
      <c r="F116" s="27">
        <v>1</v>
      </c>
      <c r="G116" s="27">
        <v>0</v>
      </c>
      <c r="H116" s="27">
        <v>0</v>
      </c>
      <c r="I116" s="27">
        <v>1</v>
      </c>
      <c r="J116" s="27">
        <v>0</v>
      </c>
      <c r="K116" s="27">
        <v>1</v>
      </c>
      <c r="L116" s="27">
        <v>1</v>
      </c>
      <c r="M116" s="27">
        <v>0</v>
      </c>
      <c r="N116" s="27">
        <v>0</v>
      </c>
      <c r="O116" s="27">
        <v>1</v>
      </c>
      <c r="P116" s="27">
        <v>0</v>
      </c>
      <c r="Q116" s="27">
        <v>1</v>
      </c>
      <c r="R116" s="27">
        <v>1</v>
      </c>
      <c r="S116" s="27">
        <v>0</v>
      </c>
      <c r="T116" s="26">
        <v>4</v>
      </c>
    </row>
    <row r="117" spans="3:20">
      <c r="C117" s="8" t="s">
        <v>256</v>
      </c>
      <c r="D117" s="27">
        <v>1</v>
      </c>
      <c r="E117" s="27">
        <v>0</v>
      </c>
      <c r="F117" s="27">
        <v>0</v>
      </c>
      <c r="G117" s="27">
        <v>1</v>
      </c>
      <c r="H117" s="27">
        <v>0</v>
      </c>
      <c r="I117" s="27">
        <v>0</v>
      </c>
      <c r="J117" s="27">
        <v>0</v>
      </c>
      <c r="K117" s="27">
        <v>1</v>
      </c>
      <c r="L117" s="27">
        <v>1</v>
      </c>
      <c r="M117" s="27">
        <v>1</v>
      </c>
      <c r="N117" s="27">
        <v>0</v>
      </c>
      <c r="O117" s="27">
        <v>0</v>
      </c>
      <c r="P117" s="27">
        <v>4</v>
      </c>
      <c r="Q117" s="27">
        <v>1</v>
      </c>
      <c r="R117" s="27">
        <v>0</v>
      </c>
      <c r="S117" s="27">
        <v>0</v>
      </c>
      <c r="T117" s="26">
        <v>1</v>
      </c>
    </row>
    <row r="118" spans="3:20">
      <c r="C118" s="8" t="s">
        <v>200</v>
      </c>
      <c r="D118" s="27">
        <v>0</v>
      </c>
      <c r="E118" s="27">
        <v>1</v>
      </c>
      <c r="F118" s="27">
        <v>1</v>
      </c>
      <c r="G118" s="27">
        <v>0</v>
      </c>
      <c r="H118" s="27">
        <v>1</v>
      </c>
      <c r="I118" s="27">
        <v>1</v>
      </c>
      <c r="J118" s="27">
        <v>1</v>
      </c>
      <c r="K118" s="27">
        <v>0</v>
      </c>
      <c r="L118" s="27">
        <v>1</v>
      </c>
      <c r="M118" s="27">
        <v>1</v>
      </c>
      <c r="N118" s="27">
        <v>0</v>
      </c>
      <c r="O118" s="27">
        <v>0</v>
      </c>
      <c r="P118" s="27">
        <v>2</v>
      </c>
      <c r="Q118" s="27">
        <v>1</v>
      </c>
      <c r="R118" s="27">
        <v>0</v>
      </c>
      <c r="S118" s="27">
        <v>0</v>
      </c>
      <c r="T118" s="26">
        <v>2</v>
      </c>
    </row>
    <row r="119" spans="3:20">
      <c r="C119" s="8" t="s">
        <v>237</v>
      </c>
      <c r="D119" s="27">
        <v>1</v>
      </c>
      <c r="E119" s="27">
        <v>0</v>
      </c>
      <c r="F119" s="27">
        <v>0</v>
      </c>
      <c r="G119" s="27">
        <v>1</v>
      </c>
      <c r="H119" s="27">
        <v>0</v>
      </c>
      <c r="I119" s="27">
        <v>1</v>
      </c>
      <c r="J119" s="27">
        <v>1</v>
      </c>
      <c r="K119" s="27">
        <v>1</v>
      </c>
      <c r="L119" s="27">
        <v>1</v>
      </c>
      <c r="M119" s="27">
        <v>1</v>
      </c>
      <c r="N119" s="27">
        <v>0</v>
      </c>
      <c r="O119" s="27">
        <v>1</v>
      </c>
      <c r="P119" s="27">
        <v>0</v>
      </c>
      <c r="Q119" s="27">
        <v>0</v>
      </c>
      <c r="R119" s="27">
        <v>0</v>
      </c>
      <c r="S119" s="27">
        <v>1</v>
      </c>
      <c r="T119" s="26">
        <v>1</v>
      </c>
    </row>
    <row r="120" spans="3:20">
      <c r="C120" s="8" t="s">
        <v>255</v>
      </c>
      <c r="D120" s="27">
        <v>1</v>
      </c>
      <c r="E120" s="27">
        <v>0</v>
      </c>
      <c r="F120" s="27">
        <v>0</v>
      </c>
      <c r="G120" s="27">
        <v>1</v>
      </c>
      <c r="H120" s="27">
        <v>1</v>
      </c>
      <c r="I120" s="27">
        <v>0</v>
      </c>
      <c r="J120" s="27">
        <v>0</v>
      </c>
      <c r="K120" s="27">
        <v>1</v>
      </c>
      <c r="L120" s="27">
        <v>1</v>
      </c>
      <c r="M120" s="27">
        <v>1</v>
      </c>
      <c r="N120" s="27">
        <v>0</v>
      </c>
      <c r="O120" s="27">
        <v>0</v>
      </c>
      <c r="P120" s="27">
        <v>2</v>
      </c>
      <c r="Q120" s="27">
        <v>1</v>
      </c>
      <c r="R120" s="27">
        <v>0</v>
      </c>
      <c r="S120" s="27">
        <v>0</v>
      </c>
      <c r="T120" s="26">
        <v>1</v>
      </c>
    </row>
    <row r="121" spans="3:20">
      <c r="C121" s="8" t="s">
        <v>245</v>
      </c>
      <c r="D121" s="27">
        <v>0</v>
      </c>
      <c r="E121" s="27">
        <v>0</v>
      </c>
      <c r="F121" s="27">
        <v>1</v>
      </c>
      <c r="G121" s="27">
        <v>0</v>
      </c>
      <c r="H121" s="27">
        <v>0</v>
      </c>
      <c r="I121" s="27">
        <v>1</v>
      </c>
      <c r="J121" s="27">
        <v>0</v>
      </c>
      <c r="K121" s="27">
        <v>1</v>
      </c>
      <c r="L121" s="27">
        <v>1</v>
      </c>
      <c r="M121" s="27">
        <v>0</v>
      </c>
      <c r="N121" s="27">
        <v>0</v>
      </c>
      <c r="O121" s="27">
        <v>1</v>
      </c>
      <c r="P121" s="27">
        <v>0</v>
      </c>
      <c r="Q121" s="27">
        <v>1</v>
      </c>
      <c r="R121" s="27">
        <v>0</v>
      </c>
      <c r="S121" s="27">
        <v>0</v>
      </c>
      <c r="T121" s="26">
        <v>4</v>
      </c>
    </row>
    <row r="122" spans="3:20">
      <c r="C122" s="8" t="s">
        <v>222</v>
      </c>
      <c r="D122" s="27">
        <v>0</v>
      </c>
      <c r="E122" s="27">
        <v>1</v>
      </c>
      <c r="F122" s="27">
        <v>1</v>
      </c>
      <c r="G122" s="27">
        <v>0</v>
      </c>
      <c r="H122" s="27">
        <v>1</v>
      </c>
      <c r="I122" s="27">
        <v>0</v>
      </c>
      <c r="J122" s="27">
        <v>0</v>
      </c>
      <c r="K122" s="27">
        <v>0</v>
      </c>
      <c r="L122" s="27">
        <v>1</v>
      </c>
      <c r="M122" s="27">
        <v>1</v>
      </c>
      <c r="N122" s="27">
        <v>0</v>
      </c>
      <c r="O122" s="27">
        <v>0</v>
      </c>
      <c r="P122" s="27">
        <v>2</v>
      </c>
      <c r="Q122" s="27">
        <v>1</v>
      </c>
      <c r="R122" s="27">
        <v>0</v>
      </c>
      <c r="S122" s="27">
        <v>0</v>
      </c>
      <c r="T122" s="26">
        <v>2</v>
      </c>
    </row>
    <row r="123" spans="3:20">
      <c r="C123" s="8" t="s">
        <v>210</v>
      </c>
      <c r="D123" s="27">
        <v>1</v>
      </c>
      <c r="E123" s="27">
        <v>0</v>
      </c>
      <c r="F123" s="27">
        <v>0</v>
      </c>
      <c r="G123" s="27">
        <v>1</v>
      </c>
      <c r="H123" s="27">
        <v>0</v>
      </c>
      <c r="I123" s="27">
        <v>0</v>
      </c>
      <c r="J123" s="27">
        <v>1</v>
      </c>
      <c r="K123" s="27">
        <v>1</v>
      </c>
      <c r="L123" s="27">
        <v>1</v>
      </c>
      <c r="M123" s="27">
        <v>1</v>
      </c>
      <c r="N123" s="27">
        <v>0</v>
      </c>
      <c r="O123" s="27">
        <v>0</v>
      </c>
      <c r="P123" s="27">
        <v>4</v>
      </c>
      <c r="Q123" s="27">
        <v>1</v>
      </c>
      <c r="R123" s="27">
        <v>0</v>
      </c>
      <c r="S123" s="27">
        <v>1</v>
      </c>
      <c r="T123" s="26">
        <v>1</v>
      </c>
    </row>
    <row r="124" spans="3:20">
      <c r="C124" s="8" t="s">
        <v>263</v>
      </c>
      <c r="D124" s="27">
        <v>0</v>
      </c>
      <c r="E124" s="27">
        <v>0</v>
      </c>
      <c r="F124" s="27">
        <v>1</v>
      </c>
      <c r="G124" s="27">
        <v>0</v>
      </c>
      <c r="H124" s="27">
        <v>0</v>
      </c>
      <c r="I124" s="27">
        <v>1</v>
      </c>
      <c r="J124" s="27">
        <v>1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8</v>
      </c>
      <c r="Q124" s="27">
        <v>0</v>
      </c>
      <c r="R124" s="27">
        <v>0</v>
      </c>
      <c r="S124" s="27">
        <v>1</v>
      </c>
      <c r="T124" s="26">
        <v>7</v>
      </c>
    </row>
    <row r="125" spans="3:20">
      <c r="C125" s="8" t="s">
        <v>216</v>
      </c>
      <c r="D125" s="27">
        <v>1</v>
      </c>
      <c r="E125" s="27">
        <v>0</v>
      </c>
      <c r="F125" s="27">
        <v>1</v>
      </c>
      <c r="G125" s="27">
        <v>0</v>
      </c>
      <c r="H125" s="27">
        <v>1</v>
      </c>
      <c r="I125" s="27">
        <v>0</v>
      </c>
      <c r="J125" s="27">
        <v>0</v>
      </c>
      <c r="K125" s="27">
        <v>0</v>
      </c>
      <c r="L125" s="27">
        <v>0</v>
      </c>
      <c r="M125" s="27">
        <v>1</v>
      </c>
      <c r="N125" s="27">
        <v>0</v>
      </c>
      <c r="O125" s="27">
        <v>0</v>
      </c>
      <c r="P125" s="27">
        <v>6</v>
      </c>
      <c r="Q125" s="27">
        <v>0</v>
      </c>
      <c r="R125" s="27">
        <v>0</v>
      </c>
      <c r="S125" s="27">
        <v>0</v>
      </c>
      <c r="T125" s="26">
        <v>6</v>
      </c>
    </row>
    <row r="126" spans="3:20">
      <c r="C126" s="8" t="s">
        <v>179</v>
      </c>
      <c r="D126" s="27">
        <v>1</v>
      </c>
      <c r="E126" s="27">
        <v>0</v>
      </c>
      <c r="F126" s="27">
        <v>0</v>
      </c>
      <c r="G126" s="27">
        <v>1</v>
      </c>
      <c r="H126" s="27">
        <v>0</v>
      </c>
      <c r="I126" s="27">
        <v>0</v>
      </c>
      <c r="J126" s="27">
        <v>0</v>
      </c>
      <c r="K126" s="27">
        <v>1</v>
      </c>
      <c r="L126" s="27">
        <v>1</v>
      </c>
      <c r="M126" s="27">
        <v>1</v>
      </c>
      <c r="N126" s="27">
        <v>0</v>
      </c>
      <c r="O126" s="27">
        <v>0</v>
      </c>
      <c r="P126" s="27">
        <v>4</v>
      </c>
      <c r="Q126" s="27">
        <v>0</v>
      </c>
      <c r="R126" s="27">
        <v>1</v>
      </c>
      <c r="S126" s="27">
        <v>0</v>
      </c>
      <c r="T126" s="26">
        <v>1</v>
      </c>
    </row>
    <row r="127" spans="3:20">
      <c r="C127" s="8" t="s">
        <v>260</v>
      </c>
      <c r="D127" s="27">
        <v>1</v>
      </c>
      <c r="E127" s="27">
        <v>0</v>
      </c>
      <c r="F127" s="27">
        <v>0</v>
      </c>
      <c r="G127" s="27">
        <v>1</v>
      </c>
      <c r="H127" s="27">
        <v>0</v>
      </c>
      <c r="I127" s="27">
        <v>0</v>
      </c>
      <c r="J127" s="27">
        <v>1</v>
      </c>
      <c r="K127" s="27">
        <v>1</v>
      </c>
      <c r="L127" s="27">
        <v>1</v>
      </c>
      <c r="M127" s="27">
        <v>1</v>
      </c>
      <c r="N127" s="27">
        <v>0</v>
      </c>
      <c r="O127" s="27">
        <v>0</v>
      </c>
      <c r="P127" s="27">
        <v>4</v>
      </c>
      <c r="Q127" s="27">
        <v>1</v>
      </c>
      <c r="R127" s="27">
        <v>0</v>
      </c>
      <c r="S127" s="27">
        <v>1</v>
      </c>
      <c r="T127" s="26">
        <v>1</v>
      </c>
    </row>
    <row r="128" spans="3:20">
      <c r="C128" s="8" t="s">
        <v>249</v>
      </c>
      <c r="D128" s="27">
        <v>0</v>
      </c>
      <c r="E128" s="27">
        <v>1</v>
      </c>
      <c r="F128" s="27">
        <v>1</v>
      </c>
      <c r="G128" s="27">
        <v>0</v>
      </c>
      <c r="H128" s="27">
        <v>1</v>
      </c>
      <c r="I128" s="27">
        <v>1</v>
      </c>
      <c r="J128" s="27">
        <v>0</v>
      </c>
      <c r="K128" s="27">
        <v>0</v>
      </c>
      <c r="L128" s="27">
        <v>1</v>
      </c>
      <c r="M128" s="27">
        <v>1</v>
      </c>
      <c r="N128" s="27">
        <v>0</v>
      </c>
      <c r="O128" s="27">
        <v>0</v>
      </c>
      <c r="P128" s="27">
        <v>2</v>
      </c>
      <c r="Q128" s="27">
        <v>1</v>
      </c>
      <c r="R128" s="27">
        <v>0</v>
      </c>
      <c r="S128" s="27">
        <v>1</v>
      </c>
      <c r="T128" s="26">
        <v>2</v>
      </c>
    </row>
    <row r="129" spans="3:20">
      <c r="C129" s="8" t="s">
        <v>204</v>
      </c>
      <c r="D129" s="27">
        <v>0</v>
      </c>
      <c r="E129" s="27">
        <v>1</v>
      </c>
      <c r="F129" s="27">
        <v>1</v>
      </c>
      <c r="G129" s="27">
        <v>0</v>
      </c>
      <c r="H129" s="27">
        <v>1</v>
      </c>
      <c r="I129" s="27">
        <v>0</v>
      </c>
      <c r="J129" s="27">
        <v>1</v>
      </c>
      <c r="K129" s="27">
        <v>0</v>
      </c>
      <c r="L129" s="27">
        <v>1</v>
      </c>
      <c r="M129" s="27">
        <v>1</v>
      </c>
      <c r="N129" s="27">
        <v>0</v>
      </c>
      <c r="O129" s="27">
        <v>0</v>
      </c>
      <c r="P129" s="27">
        <v>2</v>
      </c>
      <c r="Q129" s="27">
        <v>1</v>
      </c>
      <c r="R129" s="27">
        <v>0</v>
      </c>
      <c r="S129" s="27">
        <v>0</v>
      </c>
      <c r="T129" s="26">
        <v>2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V18"/>
    <mergeCell ref="C19:E19"/>
    <mergeCell ref="C20:E20"/>
    <mergeCell ref="F19:V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2'!$B$10:$B$10" display="Inputs" xr:uid="{1B37898C-FE5E-4A5E-9665-19EE4F927582}"/>
    <hyperlink ref="D4" location="'STDPartition2'!$B$28:$B$28" display="Partition Summary" xr:uid="{C6FBE7A0-A990-4E20-BC3E-0736E6407E8A}"/>
    <hyperlink ref="F4" location="'STDPartition2'!$B$34:$B$34" display="Partitioned Data" xr:uid="{1418E13F-44D5-438C-8756-61B66BA8C6A1}"/>
  </hyperlink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55E3-B2C5-47CC-B94C-53D37B5488A8}">
  <dimension ref="B1:CV39"/>
  <sheetViews>
    <sheetView showGridLines="0" topLeftCell="A20" workbookViewId="0"/>
  </sheetViews>
  <sheetFormatPr defaultRowHeight="13.2"/>
  <cols>
    <col min="12" max="12" width="29.109375" bestFit="1" customWidth="1"/>
  </cols>
  <sheetData>
    <row r="1" spans="2:100" ht="18">
      <c r="B1" s="5" t="s">
        <v>452</v>
      </c>
      <c r="N1" t="s">
        <v>506</v>
      </c>
      <c r="CV1" s="25" t="s">
        <v>470</v>
      </c>
    </row>
    <row r="3" spans="2:100" ht="15.6">
      <c r="B3" s="28" t="s">
        <v>122</v>
      </c>
      <c r="C3" s="29"/>
      <c r="D3" s="29"/>
      <c r="E3" s="29"/>
      <c r="F3" s="29"/>
      <c r="G3" s="29"/>
      <c r="H3" s="29"/>
      <c r="I3" s="30"/>
      <c r="L3" s="28" t="s">
        <v>145</v>
      </c>
      <c r="M3" s="29"/>
      <c r="N3" s="29"/>
      <c r="O3" s="30"/>
    </row>
    <row r="4" spans="2:100" ht="13.8">
      <c r="B4" s="20" t="s">
        <v>123</v>
      </c>
      <c r="C4" s="18"/>
      <c r="D4" s="20" t="s">
        <v>282</v>
      </c>
      <c r="E4" s="18"/>
      <c r="F4" s="20" t="s">
        <v>428</v>
      </c>
      <c r="G4" s="18"/>
      <c r="H4" s="20" t="s">
        <v>429</v>
      </c>
      <c r="I4" s="18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00" ht="13.8">
      <c r="L5" s="15">
        <v>101</v>
      </c>
      <c r="M5" s="15">
        <v>14</v>
      </c>
      <c r="N5" s="15">
        <v>23</v>
      </c>
      <c r="O5" s="15">
        <v>138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  <c r="J12" s="21"/>
      <c r="K12" s="21"/>
    </row>
    <row r="13" spans="2:100" ht="13.8">
      <c r="C13" s="22" t="s">
        <v>126</v>
      </c>
      <c r="D13" s="22"/>
      <c r="E13" s="22"/>
      <c r="F13" s="23"/>
      <c r="G13" s="12" t="s">
        <v>140</v>
      </c>
      <c r="H13" s="12"/>
      <c r="I13" s="12"/>
      <c r="J13" s="12"/>
      <c r="K13" s="12"/>
    </row>
    <row r="14" spans="2:100" ht="13.8">
      <c r="C14" s="22" t="s">
        <v>127</v>
      </c>
      <c r="D14" s="22"/>
      <c r="E14" s="22"/>
      <c r="F14" s="23"/>
      <c r="G14" s="12" t="s">
        <v>525</v>
      </c>
      <c r="H14" s="12"/>
      <c r="I14" s="12"/>
      <c r="J14" s="12"/>
      <c r="K14" s="12"/>
    </row>
    <row r="15" spans="2:100" ht="13.8">
      <c r="C15" s="22" t="s">
        <v>453</v>
      </c>
      <c r="D15" s="22"/>
      <c r="E15" s="22"/>
      <c r="F15" s="23"/>
      <c r="G15" s="12" t="s">
        <v>526</v>
      </c>
      <c r="H15" s="12"/>
      <c r="I15" s="12"/>
      <c r="J15" s="12"/>
      <c r="K15" s="12"/>
    </row>
    <row r="16" spans="2:100" ht="13.8">
      <c r="C16" s="22" t="s">
        <v>454</v>
      </c>
      <c r="D16" s="22"/>
      <c r="E16" s="22"/>
      <c r="F16" s="23"/>
      <c r="G16" s="12">
        <v>74</v>
      </c>
      <c r="H16" s="12"/>
      <c r="I16" s="12"/>
      <c r="J16" s="12"/>
      <c r="K16" s="12"/>
    </row>
    <row r="17" spans="3:20" ht="13.8">
      <c r="C17" s="22" t="s">
        <v>455</v>
      </c>
      <c r="D17" s="22"/>
      <c r="E17" s="22"/>
      <c r="F17" s="23"/>
      <c r="G17" s="12" t="s">
        <v>527</v>
      </c>
      <c r="H17" s="12"/>
      <c r="I17" s="12"/>
      <c r="J17" s="12"/>
      <c r="K17" s="12"/>
    </row>
    <row r="18" spans="3:20" ht="13.8">
      <c r="C18" s="22" t="s">
        <v>456</v>
      </c>
      <c r="D18" s="22"/>
      <c r="E18" s="22"/>
      <c r="F18" s="23"/>
      <c r="G18" s="12">
        <v>19</v>
      </c>
      <c r="H18" s="12"/>
      <c r="I18" s="12"/>
      <c r="J18" s="12"/>
      <c r="K18" s="12"/>
    </row>
    <row r="20" spans="3:20" ht="15.6">
      <c r="C20" s="21" t="s">
        <v>130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3:20" ht="13.8">
      <c r="C21" s="22" t="s">
        <v>457</v>
      </c>
      <c r="D21" s="23"/>
      <c r="E21" s="12">
        <v>16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3:20" ht="13.8">
      <c r="C22" s="22" t="s">
        <v>458</v>
      </c>
      <c r="D22" s="23"/>
      <c r="E22" s="15" t="s">
        <v>153</v>
      </c>
      <c r="F22" s="15" t="s">
        <v>154</v>
      </c>
      <c r="G22" s="15" t="s">
        <v>155</v>
      </c>
      <c r="H22" s="15" t="s">
        <v>156</v>
      </c>
      <c r="I22" s="15" t="s">
        <v>157</v>
      </c>
      <c r="J22" s="15" t="s">
        <v>158</v>
      </c>
      <c r="K22" s="15" t="s">
        <v>159</v>
      </c>
      <c r="L22" s="15" t="s">
        <v>160</v>
      </c>
      <c r="M22" s="15" t="s">
        <v>161</v>
      </c>
      <c r="N22" s="15" t="s">
        <v>162</v>
      </c>
      <c r="O22" s="15" t="s">
        <v>163</v>
      </c>
      <c r="P22" s="15" t="s">
        <v>164</v>
      </c>
      <c r="Q22" s="15" t="s">
        <v>165</v>
      </c>
      <c r="R22" s="15" t="s">
        <v>166</v>
      </c>
      <c r="S22" s="15" t="s">
        <v>167</v>
      </c>
      <c r="T22" s="15" t="s">
        <v>168</v>
      </c>
    </row>
    <row r="23" spans="3:20" ht="13.8">
      <c r="C23" s="22" t="s">
        <v>459</v>
      </c>
      <c r="D23" s="23"/>
      <c r="E23" s="11" t="s">
        <v>169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5" spans="3:20" ht="15.6">
      <c r="C25" s="21" t="s">
        <v>460</v>
      </c>
      <c r="D25" s="21"/>
      <c r="E25" s="21"/>
      <c r="F25" s="21"/>
      <c r="G25" s="21"/>
      <c r="H25" s="21"/>
      <c r="I25" s="21"/>
    </row>
    <row r="26" spans="3:20" ht="13.8">
      <c r="C26" s="22" t="s">
        <v>461</v>
      </c>
      <c r="D26" s="22"/>
      <c r="E26" s="23"/>
      <c r="F26" s="12" t="b">
        <v>1</v>
      </c>
      <c r="G26" s="12"/>
      <c r="H26" s="12"/>
      <c r="I26" s="12"/>
    </row>
    <row r="27" spans="3:20" ht="13.8">
      <c r="C27" s="22" t="s">
        <v>462</v>
      </c>
      <c r="D27" s="22"/>
      <c r="E27" s="23"/>
      <c r="F27" s="12">
        <v>1</v>
      </c>
      <c r="G27" s="12"/>
      <c r="H27" s="12"/>
      <c r="I27" s="12"/>
    </row>
    <row r="28" spans="3:20" ht="13.8">
      <c r="C28" s="22" t="s">
        <v>463</v>
      </c>
      <c r="D28" s="22"/>
      <c r="E28" s="23"/>
      <c r="F28" s="13" t="s">
        <v>466</v>
      </c>
      <c r="G28" s="14"/>
      <c r="H28" s="14"/>
      <c r="I28" s="32"/>
    </row>
    <row r="30" spans="3:20" ht="15.6">
      <c r="C30" s="28" t="s">
        <v>464</v>
      </c>
      <c r="D30" s="29"/>
      <c r="E30" s="29"/>
      <c r="F30" s="29"/>
      <c r="G30" s="29"/>
      <c r="H30" s="29"/>
      <c r="I30" s="30"/>
    </row>
    <row r="31" spans="3:20" ht="13.8">
      <c r="C31" s="23" t="s">
        <v>465</v>
      </c>
      <c r="D31" s="33"/>
      <c r="E31" s="34"/>
      <c r="F31" s="13">
        <v>7</v>
      </c>
      <c r="G31" s="14"/>
      <c r="H31" s="14"/>
      <c r="I31" s="32"/>
    </row>
    <row r="33" spans="3:9" ht="15.6">
      <c r="C33" s="28" t="s">
        <v>471</v>
      </c>
      <c r="D33" s="29"/>
      <c r="E33" s="29"/>
      <c r="F33" s="29"/>
      <c r="G33" s="29"/>
      <c r="H33" s="29"/>
      <c r="I33" s="30"/>
    </row>
    <row r="34" spans="3:9" ht="13.8">
      <c r="C34" s="23" t="s">
        <v>472</v>
      </c>
      <c r="D34" s="33"/>
      <c r="E34" s="34"/>
      <c r="F34" s="13" t="b">
        <v>0</v>
      </c>
      <c r="G34" s="14"/>
      <c r="H34" s="14"/>
      <c r="I34" s="32"/>
    </row>
    <row r="35" spans="3:9" ht="13.8">
      <c r="C35" s="23" t="s">
        <v>473</v>
      </c>
      <c r="D35" s="33"/>
      <c r="E35" s="34"/>
      <c r="F35" s="13" t="b">
        <v>0</v>
      </c>
      <c r="G35" s="14"/>
      <c r="H35" s="14"/>
      <c r="I35" s="32"/>
    </row>
    <row r="37" spans="3:9" ht="15.6">
      <c r="C37" s="28" t="s">
        <v>474</v>
      </c>
      <c r="D37" s="29"/>
      <c r="E37" s="29"/>
      <c r="F37" s="29"/>
      <c r="G37" s="30"/>
    </row>
    <row r="38" spans="3:9" ht="13.8">
      <c r="C38" s="9" t="s">
        <v>475</v>
      </c>
      <c r="D38" s="10"/>
      <c r="E38" s="10"/>
      <c r="F38" s="10"/>
      <c r="G38" s="35"/>
    </row>
    <row r="39" spans="3:9" ht="13.8">
      <c r="C39" s="9" t="s">
        <v>476</v>
      </c>
      <c r="D39" s="10"/>
      <c r="E39" s="10"/>
      <c r="F39" s="10"/>
      <c r="G39" s="35"/>
    </row>
  </sheetData>
  <mergeCells count="43">
    <mergeCell ref="H4:I4"/>
    <mergeCell ref="B3:I3"/>
    <mergeCell ref="L3:O3"/>
    <mergeCell ref="C37:G37"/>
    <mergeCell ref="C38:G38"/>
    <mergeCell ref="C39:G39"/>
    <mergeCell ref="B4:C4"/>
    <mergeCell ref="D4:E4"/>
    <mergeCell ref="F4:G4"/>
    <mergeCell ref="C30:I30"/>
    <mergeCell ref="C31:E31"/>
    <mergeCell ref="F31:I31"/>
    <mergeCell ref="C33:I33"/>
    <mergeCell ref="C34:E34"/>
    <mergeCell ref="C35:E35"/>
    <mergeCell ref="F34:I34"/>
    <mergeCell ref="F35:I35"/>
    <mergeCell ref="C25:I25"/>
    <mergeCell ref="C26:E26"/>
    <mergeCell ref="C27:E27"/>
    <mergeCell ref="C28:E28"/>
    <mergeCell ref="F26:I26"/>
    <mergeCell ref="F27:I27"/>
    <mergeCell ref="F28:I28"/>
    <mergeCell ref="C20:T20"/>
    <mergeCell ref="C21:D21"/>
    <mergeCell ref="C22:D22"/>
    <mergeCell ref="C23:D23"/>
    <mergeCell ref="E21:T21"/>
    <mergeCell ref="E23:T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NB_Output2'!$B$10:$B$10" display="Inputs" xr:uid="{BC41E4D5-6775-4B98-95E5-C46D9B5AF703}"/>
    <hyperlink ref="D4" location="'NB_Stored2'!$B$10:$B$10" display="PMML Model" xr:uid="{35F79E27-27E8-4A73-9582-043ABC419401}"/>
    <hyperlink ref="F4" location="'NB_TrainingScore2'!$B$10:$B$10" display="Training: Classification Summary" xr:uid="{ED68EE8E-12CD-4BD4-A43E-59FAC79CA17C}"/>
    <hyperlink ref="H4" location="'NB_ValidationScore2'!$B$10:$B$10" display="Validation: Classification Summary" xr:uid="{F2C1CD29-032F-457F-BF69-C3F6A5FE8C1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E665-981F-42C0-8BFE-9BC924119C44}">
  <dimension ref="B1:O36"/>
  <sheetViews>
    <sheetView showGridLines="0" topLeftCell="A12" workbookViewId="0">
      <selection activeCell="D36" sqref="D36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450</v>
      </c>
      <c r="N1" t="s">
        <v>506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101</v>
      </c>
      <c r="M5" s="15">
        <v>14</v>
      </c>
      <c r="N5" s="15">
        <v>23</v>
      </c>
      <c r="O5" s="15">
        <v>138</v>
      </c>
    </row>
    <row r="10" spans="2:15" ht="18">
      <c r="B10" s="6" t="s">
        <v>428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  <c r="J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451</v>
      </c>
      <c r="I13" t="s">
        <v>448</v>
      </c>
      <c r="J13" t="s">
        <v>449</v>
      </c>
    </row>
    <row r="14" spans="2:15">
      <c r="C14" s="8">
        <v>1</v>
      </c>
      <c r="D14" s="7">
        <v>29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>
        <v>0</v>
      </c>
    </row>
    <row r="15" spans="2:15">
      <c r="C15" s="8">
        <v>2</v>
      </c>
      <c r="D15" s="7">
        <v>0</v>
      </c>
      <c r="E15" s="7">
        <v>13</v>
      </c>
      <c r="F15" s="7">
        <v>0</v>
      </c>
      <c r="G15" s="7">
        <v>0</v>
      </c>
      <c r="H15" s="7">
        <v>0</v>
      </c>
      <c r="I15" s="7">
        <v>0</v>
      </c>
      <c r="J15">
        <v>0</v>
      </c>
    </row>
    <row r="16" spans="2:15">
      <c r="C16" s="8">
        <v>3</v>
      </c>
      <c r="D16" s="7">
        <v>0</v>
      </c>
      <c r="E16" s="7">
        <v>0</v>
      </c>
      <c r="F16" s="7">
        <v>5</v>
      </c>
      <c r="G16" s="7">
        <v>0</v>
      </c>
      <c r="H16" s="7">
        <v>0</v>
      </c>
      <c r="I16" s="7">
        <v>0</v>
      </c>
      <c r="J16">
        <v>0</v>
      </c>
    </row>
    <row r="17" spans="3:10">
      <c r="C17" s="8">
        <v>4</v>
      </c>
      <c r="D17" s="7">
        <v>0</v>
      </c>
      <c r="E17" s="7">
        <v>0</v>
      </c>
      <c r="F17" s="7">
        <v>0</v>
      </c>
      <c r="G17" s="7">
        <v>10</v>
      </c>
      <c r="H17" s="7">
        <v>0</v>
      </c>
      <c r="I17" s="7">
        <v>0</v>
      </c>
      <c r="J17">
        <v>0</v>
      </c>
    </row>
    <row r="18" spans="3:10">
      <c r="C18" s="8">
        <v>5</v>
      </c>
      <c r="D18" s="7">
        <v>0</v>
      </c>
      <c r="E18" s="7">
        <v>0</v>
      </c>
      <c r="F18" s="7">
        <v>0</v>
      </c>
      <c r="G18" s="7">
        <v>0</v>
      </c>
      <c r="H18" s="7">
        <v>4</v>
      </c>
      <c r="I18" s="7">
        <v>0</v>
      </c>
      <c r="J18">
        <v>0</v>
      </c>
    </row>
    <row r="19" spans="3:10">
      <c r="C19" s="8">
        <v>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6</v>
      </c>
      <c r="J19">
        <v>0</v>
      </c>
    </row>
    <row r="20" spans="3:10">
      <c r="C20" s="8">
        <v>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>
        <v>7</v>
      </c>
    </row>
    <row r="22" spans="3:10" ht="15.6">
      <c r="C22" s="21" t="s">
        <v>432</v>
      </c>
      <c r="D22" s="21"/>
      <c r="E22" s="21"/>
      <c r="F22" s="21"/>
    </row>
    <row r="23" spans="3:10">
      <c r="C23" t="s">
        <v>433</v>
      </c>
      <c r="D23" t="s">
        <v>437</v>
      </c>
      <c r="E23" t="s">
        <v>439</v>
      </c>
      <c r="F23" t="s">
        <v>440</v>
      </c>
    </row>
    <row r="24" spans="3:10">
      <c r="C24" s="8">
        <v>1</v>
      </c>
      <c r="D24">
        <f>SUM($D$14:$J$14)</f>
        <v>29</v>
      </c>
      <c r="E24">
        <f>SUM($D$14:$J$14) - $D$14</f>
        <v>0</v>
      </c>
      <c r="F24">
        <f>IF($D$24=0,"Undefined",$E$24*100 / $D$24)</f>
        <v>0</v>
      </c>
    </row>
    <row r="25" spans="3:10">
      <c r="C25" s="8">
        <v>2</v>
      </c>
      <c r="D25">
        <f>SUM($D$15:$J$15)</f>
        <v>13</v>
      </c>
      <c r="E25">
        <f>SUM($D$15:$J$15) - $E$15</f>
        <v>0</v>
      </c>
      <c r="F25">
        <f>IF($D$25=0,"Undefined",$E$25*100 / $D$25)</f>
        <v>0</v>
      </c>
    </row>
    <row r="26" spans="3:10">
      <c r="C26" s="8">
        <v>3</v>
      </c>
      <c r="D26">
        <f>SUM($D$16:$J$16)</f>
        <v>5</v>
      </c>
      <c r="E26">
        <f>SUM($D$16:$J$16) - $F$16</f>
        <v>0</v>
      </c>
      <c r="F26">
        <f>IF($D$26=0,"Undefined",$E$26*100 / $D$26)</f>
        <v>0</v>
      </c>
    </row>
    <row r="27" spans="3:10">
      <c r="C27" s="8">
        <v>4</v>
      </c>
      <c r="D27">
        <f>SUM($D$17:$J$17)</f>
        <v>10</v>
      </c>
      <c r="E27">
        <f>SUM($D$17:$J$17) - $G$17</f>
        <v>0</v>
      </c>
      <c r="F27">
        <f>IF($D$27=0,"Undefined",$E$27*100 / $D$27)</f>
        <v>0</v>
      </c>
    </row>
    <row r="28" spans="3:10">
      <c r="C28" s="8">
        <v>5</v>
      </c>
      <c r="D28">
        <f>SUM($D$18:$J$18)</f>
        <v>4</v>
      </c>
      <c r="E28">
        <f>SUM($D$18:$J$18) - $H$18</f>
        <v>0</v>
      </c>
      <c r="F28">
        <f>IF($D$28=0,"Undefined",$E$28*100 / $D$28)</f>
        <v>0</v>
      </c>
    </row>
    <row r="29" spans="3:10">
      <c r="C29" s="8">
        <v>6</v>
      </c>
      <c r="D29">
        <f>SUM($D$19:$J$19)</f>
        <v>6</v>
      </c>
      <c r="E29">
        <f>SUM($D$19:$J$19) - $I$19</f>
        <v>0</v>
      </c>
      <c r="F29">
        <f>IF($D$29=0,"Undefined",$E$29*100 / $D$29)</f>
        <v>0</v>
      </c>
    </row>
    <row r="30" spans="3:10">
      <c r="C30" s="8">
        <v>7</v>
      </c>
      <c r="D30">
        <f>SUM($D$20:$J$20)</f>
        <v>7</v>
      </c>
      <c r="E30">
        <f>SUM($D$20:$J$20) - $J$20</f>
        <v>0</v>
      </c>
      <c r="F30">
        <f>IF($D$30=0,"Undefined",$E$30*100 / $D$30)</f>
        <v>0</v>
      </c>
    </row>
    <row r="31" spans="3:10">
      <c r="C31" s="8" t="s">
        <v>434</v>
      </c>
      <c r="D31">
        <f>SUM($D$24:$D$30)</f>
        <v>74</v>
      </c>
      <c r="E31">
        <f>SUM($E$24:$E$30)</f>
        <v>0</v>
      </c>
      <c r="F31">
        <f>IF($D$31=0,"Undefined",$E$31*100 / $D$31)</f>
        <v>0</v>
      </c>
    </row>
    <row r="33" spans="3:4" ht="15.6">
      <c r="C33" s="21" t="s">
        <v>435</v>
      </c>
      <c r="D33" s="21"/>
    </row>
    <row r="34" spans="3:4">
      <c r="C34" t="s">
        <v>436</v>
      </c>
      <c r="D34" t="s">
        <v>438</v>
      </c>
    </row>
    <row r="35" spans="3:4">
      <c r="C35" t="s">
        <v>441</v>
      </c>
      <c r="D35">
        <v>74</v>
      </c>
    </row>
    <row r="36" spans="3:4">
      <c r="C36" t="s">
        <v>442</v>
      </c>
      <c r="D36">
        <v>100</v>
      </c>
    </row>
  </sheetData>
  <mergeCells count="9">
    <mergeCell ref="B3:I3"/>
    <mergeCell ref="L3:O3"/>
    <mergeCell ref="C12:J12"/>
    <mergeCell ref="C22:F22"/>
    <mergeCell ref="C33:D33"/>
    <mergeCell ref="B4:C4"/>
    <mergeCell ref="D4:E4"/>
    <mergeCell ref="F4:G4"/>
    <mergeCell ref="H4:I4"/>
  </mergeCells>
  <hyperlinks>
    <hyperlink ref="B4" location="'NB_Output2'!$B$10:$B$10" display="Inputs" xr:uid="{D63C98C2-170A-4E08-B8AB-5E58945FFFF8}"/>
    <hyperlink ref="D4" location="'NB_Stored2'!$B$10:$B$10" display="PMML Model" xr:uid="{4B5AC764-077B-4E5E-A47C-8D05E00998ED}"/>
    <hyperlink ref="F4" location="'NB_TrainingScore2'!$B$10:$B$10" display="Training: Classification Summary" xr:uid="{E9F23B02-C573-474B-89C0-6F2CCD0FA521}"/>
    <hyperlink ref="H4" location="'NB_ValidationScore2'!$B$10:$B$10" display="Validation: Classification Summary" xr:uid="{0991A3A6-558F-4C84-9D8C-6CF9CD9074CC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E18D-C6D8-473C-8384-14BBEEEDADA1}">
  <dimension ref="B1:O32"/>
  <sheetViews>
    <sheetView showGridLines="0" topLeftCell="A6" workbookViewId="0">
      <selection activeCell="F27" sqref="F27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430</v>
      </c>
      <c r="N1" t="s">
        <v>506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101</v>
      </c>
      <c r="M5" s="15">
        <v>14</v>
      </c>
      <c r="N5" s="15">
        <v>23</v>
      </c>
      <c r="O5" s="15">
        <v>138</v>
      </c>
    </row>
    <row r="10" spans="2:15" ht="18">
      <c r="B10" s="6" t="s">
        <v>429</v>
      </c>
    </row>
    <row r="12" spans="2:15" ht="15.6">
      <c r="C12" s="21" t="s">
        <v>431</v>
      </c>
      <c r="D12" s="21"/>
      <c r="E12" s="21"/>
      <c r="F12" s="21"/>
      <c r="G12" s="21"/>
      <c r="H12" s="21"/>
    </row>
    <row r="13" spans="2:15">
      <c r="C13" s="8" t="s">
        <v>443</v>
      </c>
      <c r="D13" t="s">
        <v>444</v>
      </c>
      <c r="E13" t="s">
        <v>445</v>
      </c>
      <c r="F13" t="s">
        <v>447</v>
      </c>
      <c r="G13" t="s">
        <v>448</v>
      </c>
      <c r="H13" t="s">
        <v>449</v>
      </c>
    </row>
    <row r="14" spans="2:15">
      <c r="C14" s="8">
        <v>1</v>
      </c>
      <c r="D14" s="7">
        <v>9</v>
      </c>
      <c r="E14" s="7">
        <v>0</v>
      </c>
      <c r="F14" s="7">
        <v>0</v>
      </c>
      <c r="G14" s="7">
        <v>0</v>
      </c>
      <c r="H14">
        <v>0</v>
      </c>
    </row>
    <row r="15" spans="2:15">
      <c r="C15" s="8">
        <v>2</v>
      </c>
      <c r="D15" s="7">
        <v>0</v>
      </c>
      <c r="E15" s="7">
        <v>5</v>
      </c>
      <c r="F15" s="7">
        <v>0</v>
      </c>
      <c r="G15" s="7">
        <v>0</v>
      </c>
      <c r="H15">
        <v>0</v>
      </c>
    </row>
    <row r="16" spans="2:15">
      <c r="C16" s="8">
        <v>4</v>
      </c>
      <c r="D16" s="7">
        <v>0</v>
      </c>
      <c r="E16" s="7">
        <v>0</v>
      </c>
      <c r="F16" s="7">
        <v>2</v>
      </c>
      <c r="G16" s="7">
        <v>0</v>
      </c>
      <c r="H16">
        <v>0</v>
      </c>
    </row>
    <row r="17" spans="3:8">
      <c r="C17" s="8">
        <v>6</v>
      </c>
      <c r="D17" s="7">
        <v>0</v>
      </c>
      <c r="E17" s="7">
        <v>0</v>
      </c>
      <c r="F17" s="7">
        <v>0</v>
      </c>
      <c r="G17" s="7">
        <v>1</v>
      </c>
      <c r="H17">
        <v>0</v>
      </c>
    </row>
    <row r="18" spans="3:8">
      <c r="C18" s="8">
        <v>7</v>
      </c>
      <c r="D18" s="7">
        <v>0</v>
      </c>
      <c r="E18" s="7">
        <v>0</v>
      </c>
      <c r="F18" s="7">
        <v>0</v>
      </c>
      <c r="G18" s="7">
        <v>0</v>
      </c>
      <c r="H18">
        <v>2</v>
      </c>
    </row>
    <row r="20" spans="3:8" ht="15.6">
      <c r="C20" s="21" t="s">
        <v>432</v>
      </c>
      <c r="D20" s="21"/>
      <c r="E20" s="21"/>
      <c r="F20" s="21"/>
    </row>
    <row r="21" spans="3:8">
      <c r="C21" t="s">
        <v>433</v>
      </c>
      <c r="D21" t="s">
        <v>437</v>
      </c>
      <c r="E21" t="s">
        <v>439</v>
      </c>
      <c r="F21" t="s">
        <v>440</v>
      </c>
    </row>
    <row r="22" spans="3:8">
      <c r="C22" s="8">
        <v>1</v>
      </c>
      <c r="D22">
        <f>SUM($D$14:$H$14)</f>
        <v>9</v>
      </c>
      <c r="E22">
        <f>SUM($D$14:$H$14) - $D$14</f>
        <v>0</v>
      </c>
      <c r="F22">
        <f>IF($D$22=0,"Undefined",$E$22*100 / $D$22)</f>
        <v>0</v>
      </c>
    </row>
    <row r="23" spans="3:8">
      <c r="C23" s="8">
        <v>2</v>
      </c>
      <c r="D23">
        <f>SUM($D$15:$H$15)</f>
        <v>5</v>
      </c>
      <c r="E23">
        <f>SUM($D$15:$H$15) - $E$15</f>
        <v>0</v>
      </c>
      <c r="F23">
        <f>IF($D$23=0,"Undefined",$E$23*100 / $D$23)</f>
        <v>0</v>
      </c>
    </row>
    <row r="24" spans="3:8">
      <c r="C24" s="8">
        <v>4</v>
      </c>
      <c r="D24">
        <f>SUM($D$16:$H$16)</f>
        <v>2</v>
      </c>
      <c r="E24">
        <f>SUM($D$16:$H$16) - $F$16</f>
        <v>0</v>
      </c>
      <c r="F24">
        <f>IF($D$24=0,"Undefined",$E$24*100 / $D$24)</f>
        <v>0</v>
      </c>
    </row>
    <row r="25" spans="3:8">
      <c r="C25" s="8">
        <v>6</v>
      </c>
      <c r="D25">
        <f>SUM($D$17:$H$17)</f>
        <v>1</v>
      </c>
      <c r="E25">
        <f>SUM($D$17:$H$17) - $G$17</f>
        <v>0</v>
      </c>
      <c r="F25">
        <f>IF($D$25=0,"Undefined",$E$25*100 / $D$25)</f>
        <v>0</v>
      </c>
    </row>
    <row r="26" spans="3:8">
      <c r="C26" s="8">
        <v>7</v>
      </c>
      <c r="D26">
        <f>SUM($D$18:$H$18)</f>
        <v>2</v>
      </c>
      <c r="E26">
        <f>SUM($D$18:$H$18) - $H$18</f>
        <v>0</v>
      </c>
      <c r="F26">
        <f>IF($D$26=0,"Undefined",$E$26*100 / $D$26)</f>
        <v>0</v>
      </c>
    </row>
    <row r="27" spans="3:8">
      <c r="C27" s="8" t="s">
        <v>434</v>
      </c>
      <c r="D27">
        <f>SUM($D$22:$D$26)</f>
        <v>19</v>
      </c>
      <c r="E27">
        <f>SUM($E$22:$E$26)</f>
        <v>0</v>
      </c>
      <c r="F27">
        <f>IF($D$27=0,"Undefined",$E$27*100 / $D$27)</f>
        <v>0</v>
      </c>
    </row>
    <row r="29" spans="3:8" ht="15.6">
      <c r="C29" s="21" t="s">
        <v>435</v>
      </c>
      <c r="D29" s="21"/>
    </row>
    <row r="30" spans="3:8">
      <c r="C30" t="s">
        <v>436</v>
      </c>
      <c r="D30" t="s">
        <v>438</v>
      </c>
    </row>
    <row r="31" spans="3:8">
      <c r="C31" t="s">
        <v>441</v>
      </c>
      <c r="D31">
        <v>19</v>
      </c>
    </row>
    <row r="32" spans="3:8">
      <c r="C32" t="s">
        <v>442</v>
      </c>
      <c r="D32">
        <v>100</v>
      </c>
    </row>
  </sheetData>
  <mergeCells count="9">
    <mergeCell ref="B3:I3"/>
    <mergeCell ref="L3:O3"/>
    <mergeCell ref="C12:H12"/>
    <mergeCell ref="C20:F20"/>
    <mergeCell ref="C29:D29"/>
    <mergeCell ref="B4:C4"/>
    <mergeCell ref="D4:E4"/>
    <mergeCell ref="F4:G4"/>
    <mergeCell ref="H4:I4"/>
  </mergeCells>
  <hyperlinks>
    <hyperlink ref="B4" location="'NB_Output2'!$B$10:$B$10" display="Inputs" xr:uid="{22B9AC1E-BC6D-4BF6-BEEB-F25324DF6FBE}"/>
    <hyperlink ref="D4" location="'NB_Stored2'!$B$10:$B$10" display="PMML Model" xr:uid="{60728999-8129-4258-9B75-B383008201FF}"/>
    <hyperlink ref="F4" location="'NB_TrainingScore2'!$B$10:$B$10" display="Training: Classification Summary" xr:uid="{9DEF023B-5CAE-433D-A794-D43B5206D643}"/>
    <hyperlink ref="H4" location="'NB_ValidationScore2'!$B$10:$B$10" display="Validation: Classification Summary" xr:uid="{717AC0E0-7F13-4249-BCCF-BE0EB7E96C05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57E8-68E6-4735-9BF2-C4A4C0208E87}">
  <dimension ref="B1:O508"/>
  <sheetViews>
    <sheetView showGridLines="0" workbookViewId="0"/>
  </sheetViews>
  <sheetFormatPr defaultRowHeight="13.2"/>
  <cols>
    <col min="12" max="12" width="15.88671875" bestFit="1" customWidth="1"/>
  </cols>
  <sheetData>
    <row r="1" spans="2:15" ht="18">
      <c r="B1" s="5" t="s">
        <v>281</v>
      </c>
      <c r="N1" t="s">
        <v>506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101</v>
      </c>
      <c r="M5" s="15">
        <v>14</v>
      </c>
      <c r="N5" s="15">
        <v>23</v>
      </c>
      <c r="O5" s="15">
        <v>138</v>
      </c>
    </row>
    <row r="10" spans="2:15" ht="18">
      <c r="B10" s="6" t="s">
        <v>282</v>
      </c>
    </row>
    <row r="12" spans="2:15">
      <c r="B12" t="s">
        <v>283</v>
      </c>
    </row>
    <row r="13" spans="2:15">
      <c r="B13" t="s">
        <v>284</v>
      </c>
    </row>
    <row r="14" spans="2:15">
      <c r="B14" t="s">
        <v>285</v>
      </c>
    </row>
    <row r="15" spans="2:15">
      <c r="B15" t="s">
        <v>286</v>
      </c>
    </row>
    <row r="16" spans="2:15">
      <c r="B16" t="s">
        <v>505</v>
      </c>
    </row>
    <row r="17" spans="2:2">
      <c r="B17" t="s">
        <v>288</v>
      </c>
    </row>
    <row r="18" spans="2:2">
      <c r="B18" t="s">
        <v>289</v>
      </c>
    </row>
    <row r="19" spans="2:2">
      <c r="B19" t="s">
        <v>290</v>
      </c>
    </row>
    <row r="20" spans="2:2">
      <c r="B20" t="s">
        <v>291</v>
      </c>
    </row>
    <row r="21" spans="2:2">
      <c r="B21" t="s">
        <v>292</v>
      </c>
    </row>
    <row r="22" spans="2:2">
      <c r="B22" t="s">
        <v>293</v>
      </c>
    </row>
    <row r="23" spans="2:2">
      <c r="B23" t="s">
        <v>294</v>
      </c>
    </row>
    <row r="24" spans="2:2">
      <c r="B24" t="s">
        <v>295</v>
      </c>
    </row>
    <row r="25" spans="2:2">
      <c r="B25" t="s">
        <v>296</v>
      </c>
    </row>
    <row r="26" spans="2:2">
      <c r="B26" t="s">
        <v>297</v>
      </c>
    </row>
    <row r="27" spans="2:2">
      <c r="B27" t="s">
        <v>298</v>
      </c>
    </row>
    <row r="28" spans="2:2">
      <c r="B28" t="s">
        <v>299</v>
      </c>
    </row>
    <row r="29" spans="2:2">
      <c r="B29" t="s">
        <v>300</v>
      </c>
    </row>
    <row r="30" spans="2:2">
      <c r="B30" t="s">
        <v>301</v>
      </c>
    </row>
    <row r="31" spans="2:2">
      <c r="B31" t="s">
        <v>302</v>
      </c>
    </row>
    <row r="32" spans="2:2">
      <c r="B32" t="s">
        <v>303</v>
      </c>
    </row>
    <row r="33" spans="2:2">
      <c r="B33" t="s">
        <v>305</v>
      </c>
    </row>
    <row r="34" spans="2:2">
      <c r="B34" t="s">
        <v>306</v>
      </c>
    </row>
    <row r="35" spans="2:2">
      <c r="B35" t="s">
        <v>307</v>
      </c>
    </row>
    <row r="36" spans="2:2">
      <c r="B36" t="s">
        <v>308</v>
      </c>
    </row>
    <row r="37" spans="2:2">
      <c r="B37" t="s">
        <v>309</v>
      </c>
    </row>
    <row r="38" spans="2:2">
      <c r="B38" t="s">
        <v>310</v>
      </c>
    </row>
    <row r="39" spans="2:2">
      <c r="B39" t="s">
        <v>314</v>
      </c>
    </row>
    <row r="40" spans="2:2">
      <c r="B40" t="s">
        <v>311</v>
      </c>
    </row>
    <row r="41" spans="2:2">
      <c r="B41" t="s">
        <v>313</v>
      </c>
    </row>
    <row r="42" spans="2:2">
      <c r="B42" t="s">
        <v>312</v>
      </c>
    </row>
    <row r="43" spans="2:2">
      <c r="B43" t="s">
        <v>315</v>
      </c>
    </row>
    <row r="44" spans="2:2">
      <c r="B44" t="s">
        <v>316</v>
      </c>
    </row>
    <row r="45" spans="2:2">
      <c r="B45" t="s">
        <v>317</v>
      </c>
    </row>
    <row r="46" spans="2:2">
      <c r="B46" t="s">
        <v>318</v>
      </c>
    </row>
    <row r="47" spans="2:2">
      <c r="B47" t="s">
        <v>319</v>
      </c>
    </row>
    <row r="48" spans="2:2">
      <c r="B48" t="s">
        <v>320</v>
      </c>
    </row>
    <row r="49" spans="2:2">
      <c r="B49" t="s">
        <v>321</v>
      </c>
    </row>
    <row r="50" spans="2:2">
      <c r="B50" t="s">
        <v>322</v>
      </c>
    </row>
    <row r="51" spans="2:2">
      <c r="B51" t="s">
        <v>323</v>
      </c>
    </row>
    <row r="52" spans="2:2">
      <c r="B52" t="s">
        <v>324</v>
      </c>
    </row>
    <row r="53" spans="2:2">
      <c r="B53" t="s">
        <v>325</v>
      </c>
    </row>
    <row r="54" spans="2:2">
      <c r="B54" t="s">
        <v>326</v>
      </c>
    </row>
    <row r="55" spans="2:2">
      <c r="B55" t="s">
        <v>327</v>
      </c>
    </row>
    <row r="56" spans="2:2">
      <c r="B56" t="s">
        <v>328</v>
      </c>
    </row>
    <row r="57" spans="2:2">
      <c r="B57" t="s">
        <v>329</v>
      </c>
    </row>
    <row r="58" spans="2:2">
      <c r="B58" t="s">
        <v>330</v>
      </c>
    </row>
    <row r="59" spans="2:2">
      <c r="B59" t="s">
        <v>331</v>
      </c>
    </row>
    <row r="60" spans="2:2">
      <c r="B60" t="s">
        <v>332</v>
      </c>
    </row>
    <row r="61" spans="2:2">
      <c r="B61" t="s">
        <v>333</v>
      </c>
    </row>
    <row r="62" spans="2:2">
      <c r="B62" t="s">
        <v>334</v>
      </c>
    </row>
    <row r="63" spans="2:2">
      <c r="B63" t="s">
        <v>335</v>
      </c>
    </row>
    <row r="64" spans="2:2">
      <c r="B64" t="s">
        <v>336</v>
      </c>
    </row>
    <row r="65" spans="2:2">
      <c r="B65" t="s">
        <v>337</v>
      </c>
    </row>
    <row r="66" spans="2:2">
      <c r="B66" t="s">
        <v>338</v>
      </c>
    </row>
    <row r="67" spans="2:2">
      <c r="B67" t="s">
        <v>339</v>
      </c>
    </row>
    <row r="68" spans="2:2">
      <c r="B68" t="s">
        <v>507</v>
      </c>
    </row>
    <row r="69" spans="2:2">
      <c r="B69" t="s">
        <v>508</v>
      </c>
    </row>
    <row r="70" spans="2:2">
      <c r="B70" t="s">
        <v>509</v>
      </c>
    </row>
    <row r="71" spans="2:2">
      <c r="B71" t="s">
        <v>510</v>
      </c>
    </row>
    <row r="72" spans="2:2">
      <c r="B72" t="s">
        <v>511</v>
      </c>
    </row>
    <row r="73" spans="2:2">
      <c r="B73" t="s">
        <v>512</v>
      </c>
    </row>
    <row r="74" spans="2:2">
      <c r="B74" t="s">
        <v>513</v>
      </c>
    </row>
    <row r="75" spans="2:2">
      <c r="B75" t="s">
        <v>347</v>
      </c>
    </row>
    <row r="76" spans="2:2">
      <c r="B76" t="s">
        <v>348</v>
      </c>
    </row>
    <row r="77" spans="2:2">
      <c r="B77" t="s">
        <v>349</v>
      </c>
    </row>
    <row r="78" spans="2:2">
      <c r="B78" t="s">
        <v>350</v>
      </c>
    </row>
    <row r="79" spans="2:2">
      <c r="B79" t="s">
        <v>351</v>
      </c>
    </row>
    <row r="80" spans="2:2">
      <c r="B80" t="s">
        <v>352</v>
      </c>
    </row>
    <row r="81" spans="2:2">
      <c r="B81" t="s">
        <v>514</v>
      </c>
    </row>
    <row r="82" spans="2:2">
      <c r="B82" t="s">
        <v>354</v>
      </c>
    </row>
    <row r="83" spans="2:2">
      <c r="B83" t="s">
        <v>358</v>
      </c>
    </row>
    <row r="84" spans="2:2">
      <c r="B84" t="s">
        <v>355</v>
      </c>
    </row>
    <row r="85" spans="2:2">
      <c r="B85" t="s">
        <v>394</v>
      </c>
    </row>
    <row r="86" spans="2:2">
      <c r="B86" t="s">
        <v>356</v>
      </c>
    </row>
    <row r="87" spans="2:2">
      <c r="B87" t="s">
        <v>359</v>
      </c>
    </row>
    <row r="88" spans="2:2">
      <c r="B88" t="s">
        <v>360</v>
      </c>
    </row>
    <row r="89" spans="2:2">
      <c r="B89" t="s">
        <v>361</v>
      </c>
    </row>
    <row r="90" spans="2:2">
      <c r="B90" t="s">
        <v>362</v>
      </c>
    </row>
    <row r="91" spans="2:2">
      <c r="B91" t="s">
        <v>352</v>
      </c>
    </row>
    <row r="92" spans="2:2">
      <c r="B92" t="s">
        <v>363</v>
      </c>
    </row>
    <row r="93" spans="2:2">
      <c r="B93" t="s">
        <v>488</v>
      </c>
    </row>
    <row r="94" spans="2:2">
      <c r="B94" t="s">
        <v>490</v>
      </c>
    </row>
    <row r="95" spans="2:2">
      <c r="B95" t="s">
        <v>515</v>
      </c>
    </row>
    <row r="96" spans="2:2">
      <c r="B96" t="s">
        <v>394</v>
      </c>
    </row>
    <row r="97" spans="2:2">
      <c r="B97" t="s">
        <v>366</v>
      </c>
    </row>
    <row r="98" spans="2:2">
      <c r="B98" t="s">
        <v>516</v>
      </c>
    </row>
    <row r="99" spans="2:2">
      <c r="B99" t="s">
        <v>360</v>
      </c>
    </row>
    <row r="100" spans="2:2">
      <c r="B100" t="s">
        <v>361</v>
      </c>
    </row>
    <row r="101" spans="2:2">
      <c r="B101" t="s">
        <v>369</v>
      </c>
    </row>
    <row r="102" spans="2:2">
      <c r="B102" t="s">
        <v>370</v>
      </c>
    </row>
    <row r="103" spans="2:2">
      <c r="B103" t="s">
        <v>362</v>
      </c>
    </row>
    <row r="104" spans="2:2">
      <c r="B104" t="s">
        <v>352</v>
      </c>
    </row>
    <row r="105" spans="2:2">
      <c r="B105" t="s">
        <v>494</v>
      </c>
    </row>
    <row r="106" spans="2:2">
      <c r="B106" t="s">
        <v>354</v>
      </c>
    </row>
    <row r="107" spans="2:2">
      <c r="B107" t="s">
        <v>374</v>
      </c>
    </row>
    <row r="108" spans="2:2">
      <c r="B108" t="s">
        <v>489</v>
      </c>
    </row>
    <row r="109" spans="2:2">
      <c r="B109" t="s">
        <v>517</v>
      </c>
    </row>
    <row r="110" spans="2:2">
      <c r="B110" t="s">
        <v>356</v>
      </c>
    </row>
    <row r="111" spans="2:2">
      <c r="B111" t="s">
        <v>368</v>
      </c>
    </row>
    <row r="112" spans="2:2">
      <c r="B112" t="s">
        <v>360</v>
      </c>
    </row>
    <row r="113" spans="2:2">
      <c r="B113" t="s">
        <v>361</v>
      </c>
    </row>
    <row r="114" spans="2:2">
      <c r="B114" t="s">
        <v>351</v>
      </c>
    </row>
    <row r="115" spans="2:2">
      <c r="B115" t="s">
        <v>352</v>
      </c>
    </row>
    <row r="116" spans="2:2">
      <c r="B116" t="s">
        <v>409</v>
      </c>
    </row>
    <row r="117" spans="2:2">
      <c r="B117" t="s">
        <v>488</v>
      </c>
    </row>
    <row r="118" spans="2:2">
      <c r="B118" t="s">
        <v>402</v>
      </c>
    </row>
    <row r="119" spans="2:2">
      <c r="B119" t="s">
        <v>492</v>
      </c>
    </row>
    <row r="120" spans="2:2">
      <c r="B120" t="s">
        <v>377</v>
      </c>
    </row>
    <row r="121" spans="2:2">
      <c r="B121" t="s">
        <v>366</v>
      </c>
    </row>
    <row r="122" spans="2:2">
      <c r="B122" t="s">
        <v>399</v>
      </c>
    </row>
    <row r="123" spans="2:2">
      <c r="B123" t="s">
        <v>360</v>
      </c>
    </row>
    <row r="124" spans="2:2">
      <c r="B124" t="s">
        <v>361</v>
      </c>
    </row>
    <row r="125" spans="2:2">
      <c r="B125" t="s">
        <v>369</v>
      </c>
    </row>
    <row r="126" spans="2:2">
      <c r="B126" t="s">
        <v>379</v>
      </c>
    </row>
    <row r="127" spans="2:2">
      <c r="B127" t="s">
        <v>362</v>
      </c>
    </row>
    <row r="128" spans="2:2">
      <c r="B128" t="s">
        <v>352</v>
      </c>
    </row>
    <row r="129" spans="2:2">
      <c r="B129" t="s">
        <v>518</v>
      </c>
    </row>
    <row r="130" spans="2:2">
      <c r="B130" t="s">
        <v>354</v>
      </c>
    </row>
    <row r="131" spans="2:2">
      <c r="B131" t="s">
        <v>490</v>
      </c>
    </row>
    <row r="132" spans="2:2">
      <c r="B132" t="s">
        <v>515</v>
      </c>
    </row>
    <row r="133" spans="2:2">
      <c r="B133" t="s">
        <v>517</v>
      </c>
    </row>
    <row r="134" spans="2:2">
      <c r="B134" t="s">
        <v>366</v>
      </c>
    </row>
    <row r="135" spans="2:2">
      <c r="B135" t="s">
        <v>516</v>
      </c>
    </row>
    <row r="136" spans="2:2">
      <c r="B136" t="s">
        <v>360</v>
      </c>
    </row>
    <row r="137" spans="2:2">
      <c r="B137" t="s">
        <v>361</v>
      </c>
    </row>
    <row r="138" spans="2:2">
      <c r="B138" t="s">
        <v>351</v>
      </c>
    </row>
    <row r="139" spans="2:2">
      <c r="B139" t="s">
        <v>352</v>
      </c>
    </row>
    <row r="140" spans="2:2">
      <c r="B140" t="s">
        <v>381</v>
      </c>
    </row>
    <row r="141" spans="2:2">
      <c r="B141" t="s">
        <v>488</v>
      </c>
    </row>
    <row r="142" spans="2:2">
      <c r="B142" t="s">
        <v>358</v>
      </c>
    </row>
    <row r="143" spans="2:2">
      <c r="B143" t="s">
        <v>355</v>
      </c>
    </row>
    <row r="144" spans="2:2">
      <c r="B144" t="s">
        <v>377</v>
      </c>
    </row>
    <row r="145" spans="2:2">
      <c r="B145" t="s">
        <v>356</v>
      </c>
    </row>
    <row r="146" spans="2:2">
      <c r="B146" t="s">
        <v>359</v>
      </c>
    </row>
    <row r="147" spans="2:2">
      <c r="B147" t="s">
        <v>360</v>
      </c>
    </row>
    <row r="148" spans="2:2">
      <c r="B148" t="s">
        <v>361</v>
      </c>
    </row>
    <row r="149" spans="2:2">
      <c r="B149" t="s">
        <v>369</v>
      </c>
    </row>
    <row r="150" spans="2:2">
      <c r="B150" t="s">
        <v>382</v>
      </c>
    </row>
    <row r="151" spans="2:2">
      <c r="B151" t="s">
        <v>362</v>
      </c>
    </row>
    <row r="152" spans="2:2">
      <c r="B152" t="s">
        <v>352</v>
      </c>
    </row>
    <row r="153" spans="2:2">
      <c r="B153" t="s">
        <v>519</v>
      </c>
    </row>
    <row r="154" spans="2:2">
      <c r="B154" t="s">
        <v>488</v>
      </c>
    </row>
    <row r="155" spans="2:2">
      <c r="B155" t="s">
        <v>490</v>
      </c>
    </row>
    <row r="156" spans="2:2">
      <c r="B156" t="s">
        <v>355</v>
      </c>
    </row>
    <row r="157" spans="2:2">
      <c r="B157" t="s">
        <v>517</v>
      </c>
    </row>
    <row r="158" spans="2:2">
      <c r="B158" t="s">
        <v>366</v>
      </c>
    </row>
    <row r="159" spans="2:2">
      <c r="B159" t="s">
        <v>516</v>
      </c>
    </row>
    <row r="160" spans="2:2">
      <c r="B160" t="s">
        <v>360</v>
      </c>
    </row>
    <row r="161" spans="2:2">
      <c r="B161" t="s">
        <v>361</v>
      </c>
    </row>
    <row r="162" spans="2:2">
      <c r="B162" t="s">
        <v>351</v>
      </c>
    </row>
    <row r="163" spans="2:2">
      <c r="B163" t="s">
        <v>352</v>
      </c>
    </row>
    <row r="164" spans="2:2">
      <c r="B164" t="s">
        <v>384</v>
      </c>
    </row>
    <row r="165" spans="2:2">
      <c r="B165" t="s">
        <v>354</v>
      </c>
    </row>
    <row r="166" spans="2:2">
      <c r="B166" t="s">
        <v>358</v>
      </c>
    </row>
    <row r="167" spans="2:2">
      <c r="B167" t="s">
        <v>515</v>
      </c>
    </row>
    <row r="168" spans="2:2">
      <c r="B168" t="s">
        <v>377</v>
      </c>
    </row>
    <row r="169" spans="2:2">
      <c r="B169" t="s">
        <v>356</v>
      </c>
    </row>
    <row r="170" spans="2:2">
      <c r="B170" t="s">
        <v>359</v>
      </c>
    </row>
    <row r="171" spans="2:2">
      <c r="B171" t="s">
        <v>360</v>
      </c>
    </row>
    <row r="172" spans="2:2">
      <c r="B172" t="s">
        <v>361</v>
      </c>
    </row>
    <row r="173" spans="2:2">
      <c r="B173" t="s">
        <v>369</v>
      </c>
    </row>
    <row r="174" spans="2:2">
      <c r="B174" t="s">
        <v>385</v>
      </c>
    </row>
    <row r="175" spans="2:2">
      <c r="B175" t="s">
        <v>362</v>
      </c>
    </row>
    <row r="176" spans="2:2">
      <c r="B176" t="s">
        <v>352</v>
      </c>
    </row>
    <row r="177" spans="2:2">
      <c r="B177" t="s">
        <v>520</v>
      </c>
    </row>
    <row r="178" spans="2:2">
      <c r="B178" t="s">
        <v>488</v>
      </c>
    </row>
    <row r="179" spans="2:2">
      <c r="B179" t="s">
        <v>490</v>
      </c>
    </row>
    <row r="180" spans="2:2">
      <c r="B180" t="s">
        <v>376</v>
      </c>
    </row>
    <row r="181" spans="2:2">
      <c r="B181" t="s">
        <v>357</v>
      </c>
    </row>
    <row r="182" spans="2:2">
      <c r="B182" t="s">
        <v>366</v>
      </c>
    </row>
    <row r="183" spans="2:2">
      <c r="B183" t="s">
        <v>516</v>
      </c>
    </row>
    <row r="184" spans="2:2">
      <c r="B184" t="s">
        <v>360</v>
      </c>
    </row>
    <row r="185" spans="2:2">
      <c r="B185" t="s">
        <v>361</v>
      </c>
    </row>
    <row r="186" spans="2:2">
      <c r="B186" t="s">
        <v>351</v>
      </c>
    </row>
    <row r="187" spans="2:2">
      <c r="B187" t="s">
        <v>352</v>
      </c>
    </row>
    <row r="188" spans="2:2">
      <c r="B188" t="s">
        <v>388</v>
      </c>
    </row>
    <row r="189" spans="2:2">
      <c r="B189" t="s">
        <v>354</v>
      </c>
    </row>
    <row r="190" spans="2:2">
      <c r="B190" t="s">
        <v>358</v>
      </c>
    </row>
    <row r="191" spans="2:2">
      <c r="B191" t="s">
        <v>521</v>
      </c>
    </row>
    <row r="192" spans="2:2">
      <c r="B192" t="s">
        <v>373</v>
      </c>
    </row>
    <row r="193" spans="2:2">
      <c r="B193" t="s">
        <v>356</v>
      </c>
    </row>
    <row r="194" spans="2:2">
      <c r="B194" t="s">
        <v>359</v>
      </c>
    </row>
    <row r="195" spans="2:2">
      <c r="B195" t="s">
        <v>360</v>
      </c>
    </row>
    <row r="196" spans="2:2">
      <c r="B196" t="s">
        <v>361</v>
      </c>
    </row>
    <row r="197" spans="2:2">
      <c r="B197" t="s">
        <v>369</v>
      </c>
    </row>
    <row r="198" spans="2:2">
      <c r="B198" t="s">
        <v>390</v>
      </c>
    </row>
    <row r="199" spans="2:2">
      <c r="B199" t="s">
        <v>362</v>
      </c>
    </row>
    <row r="200" spans="2:2">
      <c r="B200" t="s">
        <v>352</v>
      </c>
    </row>
    <row r="201" spans="2:2">
      <c r="B201" t="s">
        <v>493</v>
      </c>
    </row>
    <row r="202" spans="2:2">
      <c r="B202" t="s">
        <v>488</v>
      </c>
    </row>
    <row r="203" spans="2:2">
      <c r="B203" t="s">
        <v>490</v>
      </c>
    </row>
    <row r="204" spans="2:2">
      <c r="B204" t="s">
        <v>521</v>
      </c>
    </row>
    <row r="205" spans="2:2">
      <c r="B205" t="s">
        <v>491</v>
      </c>
    </row>
    <row r="206" spans="2:2">
      <c r="B206" t="s">
        <v>366</v>
      </c>
    </row>
    <row r="207" spans="2:2">
      <c r="B207" t="s">
        <v>516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351</v>
      </c>
    </row>
    <row r="211" spans="2:2">
      <c r="B211" t="s">
        <v>352</v>
      </c>
    </row>
    <row r="212" spans="2:2">
      <c r="B212" t="s">
        <v>375</v>
      </c>
    </row>
    <row r="213" spans="2:2">
      <c r="B213" t="s">
        <v>354</v>
      </c>
    </row>
    <row r="214" spans="2:2">
      <c r="B214" t="s">
        <v>358</v>
      </c>
    </row>
    <row r="215" spans="2:2">
      <c r="B215" t="s">
        <v>376</v>
      </c>
    </row>
    <row r="216" spans="2:2">
      <c r="B216" t="s">
        <v>398</v>
      </c>
    </row>
    <row r="217" spans="2:2">
      <c r="B217" t="s">
        <v>356</v>
      </c>
    </row>
    <row r="218" spans="2:2">
      <c r="B218" t="s">
        <v>359</v>
      </c>
    </row>
    <row r="219" spans="2:2">
      <c r="B219" t="s">
        <v>360</v>
      </c>
    </row>
    <row r="220" spans="2:2">
      <c r="B220" t="s">
        <v>361</v>
      </c>
    </row>
    <row r="221" spans="2:2">
      <c r="B221" t="s">
        <v>369</v>
      </c>
    </row>
    <row r="222" spans="2:2">
      <c r="B222" t="s">
        <v>391</v>
      </c>
    </row>
    <row r="223" spans="2:2">
      <c r="B223" t="s">
        <v>362</v>
      </c>
    </row>
    <row r="224" spans="2:2">
      <c r="B224" t="s">
        <v>352</v>
      </c>
    </row>
    <row r="225" spans="2:2">
      <c r="B225" t="s">
        <v>519</v>
      </c>
    </row>
    <row r="226" spans="2:2">
      <c r="B226" t="s">
        <v>495</v>
      </c>
    </row>
    <row r="227" spans="2:2">
      <c r="B227" t="s">
        <v>367</v>
      </c>
    </row>
    <row r="228" spans="2:2">
      <c r="B228" t="s">
        <v>515</v>
      </c>
    </row>
    <row r="229" spans="2:2">
      <c r="B229" t="s">
        <v>373</v>
      </c>
    </row>
    <row r="230" spans="2:2">
      <c r="B230" t="s">
        <v>393</v>
      </c>
    </row>
    <row r="231" spans="2:2">
      <c r="B231" t="s">
        <v>395</v>
      </c>
    </row>
    <row r="232" spans="2:2">
      <c r="B232" t="s">
        <v>360</v>
      </c>
    </row>
    <row r="233" spans="2:2">
      <c r="B233" t="s">
        <v>361</v>
      </c>
    </row>
    <row r="234" spans="2:2">
      <c r="B234" t="s">
        <v>351</v>
      </c>
    </row>
    <row r="235" spans="2:2">
      <c r="B235" t="s">
        <v>352</v>
      </c>
    </row>
    <row r="236" spans="2:2">
      <c r="B236" t="s">
        <v>384</v>
      </c>
    </row>
    <row r="237" spans="2:2">
      <c r="B237" t="s">
        <v>396</v>
      </c>
    </row>
    <row r="238" spans="2:2">
      <c r="B238" t="s">
        <v>378</v>
      </c>
    </row>
    <row r="239" spans="2:2">
      <c r="B239" t="s">
        <v>355</v>
      </c>
    </row>
    <row r="240" spans="2:2">
      <c r="B240" t="s">
        <v>357</v>
      </c>
    </row>
    <row r="241" spans="2:2">
      <c r="B241" t="s">
        <v>397</v>
      </c>
    </row>
    <row r="242" spans="2:2">
      <c r="B242" t="s">
        <v>416</v>
      </c>
    </row>
    <row r="243" spans="2:2">
      <c r="B243" t="s">
        <v>360</v>
      </c>
    </row>
    <row r="244" spans="2:2">
      <c r="B244" t="s">
        <v>361</v>
      </c>
    </row>
    <row r="245" spans="2:2">
      <c r="B245" t="s">
        <v>369</v>
      </c>
    </row>
    <row r="246" spans="2:2">
      <c r="B246" t="s">
        <v>400</v>
      </c>
    </row>
    <row r="247" spans="2:2">
      <c r="B247" t="s">
        <v>362</v>
      </c>
    </row>
    <row r="248" spans="2:2">
      <c r="B248" t="s">
        <v>352</v>
      </c>
    </row>
    <row r="249" spans="2:2">
      <c r="B249" t="s">
        <v>520</v>
      </c>
    </row>
    <row r="250" spans="2:2">
      <c r="B250" t="s">
        <v>354</v>
      </c>
    </row>
    <row r="251" spans="2:2">
      <c r="B251" t="s">
        <v>401</v>
      </c>
    </row>
    <row r="252" spans="2:2">
      <c r="B252" t="s">
        <v>355</v>
      </c>
    </row>
    <row r="253" spans="2:2">
      <c r="B253" t="s">
        <v>377</v>
      </c>
    </row>
    <row r="254" spans="2:2">
      <c r="B254" t="s">
        <v>356</v>
      </c>
    </row>
    <row r="255" spans="2:2">
      <c r="B255" t="s">
        <v>399</v>
      </c>
    </row>
    <row r="256" spans="2:2">
      <c r="B256" t="s">
        <v>360</v>
      </c>
    </row>
    <row r="257" spans="2:2">
      <c r="B257" t="s">
        <v>361</v>
      </c>
    </row>
    <row r="258" spans="2:2">
      <c r="B258" t="s">
        <v>351</v>
      </c>
    </row>
    <row r="259" spans="2:2">
      <c r="B259" t="s">
        <v>352</v>
      </c>
    </row>
    <row r="260" spans="2:2">
      <c r="B260" t="s">
        <v>388</v>
      </c>
    </row>
    <row r="261" spans="2:2">
      <c r="B261" t="s">
        <v>488</v>
      </c>
    </row>
    <row r="262" spans="2:2">
      <c r="B262" t="s">
        <v>496</v>
      </c>
    </row>
    <row r="263" spans="2:2">
      <c r="B263" t="s">
        <v>515</v>
      </c>
    </row>
    <row r="264" spans="2:2">
      <c r="B264" t="s">
        <v>517</v>
      </c>
    </row>
    <row r="265" spans="2:2">
      <c r="B265" t="s">
        <v>366</v>
      </c>
    </row>
    <row r="266" spans="2:2">
      <c r="B266" t="s">
        <v>368</v>
      </c>
    </row>
    <row r="267" spans="2:2">
      <c r="B267" t="s">
        <v>360</v>
      </c>
    </row>
    <row r="268" spans="2:2">
      <c r="B268" t="s">
        <v>361</v>
      </c>
    </row>
    <row r="269" spans="2:2">
      <c r="B269" t="s">
        <v>369</v>
      </c>
    </row>
    <row r="270" spans="2:2">
      <c r="B270" t="s">
        <v>403</v>
      </c>
    </row>
    <row r="271" spans="2:2">
      <c r="B271" t="s">
        <v>351</v>
      </c>
    </row>
    <row r="272" spans="2:2">
      <c r="B272" t="s">
        <v>352</v>
      </c>
    </row>
    <row r="273" spans="2:2">
      <c r="B273" t="s">
        <v>415</v>
      </c>
    </row>
    <row r="274" spans="2:2">
      <c r="B274" t="s">
        <v>498</v>
      </c>
    </row>
    <row r="275" spans="2:2">
      <c r="B275" t="s">
        <v>496</v>
      </c>
    </row>
    <row r="276" spans="2:2">
      <c r="B276" t="s">
        <v>522</v>
      </c>
    </row>
    <row r="277" spans="2:2">
      <c r="B277" t="s">
        <v>398</v>
      </c>
    </row>
    <row r="278" spans="2:2">
      <c r="B278" t="s">
        <v>393</v>
      </c>
    </row>
    <row r="279" spans="2:2">
      <c r="B279" t="s">
        <v>368</v>
      </c>
    </row>
    <row r="280" spans="2:2">
      <c r="B280" t="s">
        <v>360</v>
      </c>
    </row>
    <row r="281" spans="2:2">
      <c r="B281" t="s">
        <v>361</v>
      </c>
    </row>
    <row r="282" spans="2:2">
      <c r="B282" t="s">
        <v>362</v>
      </c>
    </row>
    <row r="283" spans="2:2">
      <c r="B283" t="s">
        <v>352</v>
      </c>
    </row>
    <row r="284" spans="2:2">
      <c r="B284" t="s">
        <v>497</v>
      </c>
    </row>
    <row r="285" spans="2:2">
      <c r="B285" t="s">
        <v>499</v>
      </c>
    </row>
    <row r="286" spans="2:2">
      <c r="B286" t="s">
        <v>401</v>
      </c>
    </row>
    <row r="287" spans="2:2">
      <c r="B287" t="s">
        <v>389</v>
      </c>
    </row>
    <row r="288" spans="2:2">
      <c r="B288" t="s">
        <v>491</v>
      </c>
    </row>
    <row r="289" spans="2:2">
      <c r="B289" t="s">
        <v>397</v>
      </c>
    </row>
    <row r="290" spans="2:2">
      <c r="B290" t="s">
        <v>399</v>
      </c>
    </row>
    <row r="291" spans="2:2">
      <c r="B291" t="s">
        <v>360</v>
      </c>
    </row>
    <row r="292" spans="2:2">
      <c r="B292" t="s">
        <v>361</v>
      </c>
    </row>
    <row r="293" spans="2:2">
      <c r="B293" t="s">
        <v>369</v>
      </c>
    </row>
    <row r="294" spans="2:2">
      <c r="B294" t="s">
        <v>406</v>
      </c>
    </row>
    <row r="295" spans="2:2">
      <c r="B295" t="s">
        <v>351</v>
      </c>
    </row>
    <row r="296" spans="2:2">
      <c r="B296" t="s">
        <v>352</v>
      </c>
    </row>
    <row r="297" spans="2:2">
      <c r="B297" t="s">
        <v>383</v>
      </c>
    </row>
    <row r="298" spans="2:2">
      <c r="B298" t="s">
        <v>410</v>
      </c>
    </row>
    <row r="299" spans="2:2">
      <c r="B299" t="s">
        <v>358</v>
      </c>
    </row>
    <row r="300" spans="2:2">
      <c r="B300" t="s">
        <v>523</v>
      </c>
    </row>
    <row r="301" spans="2:2">
      <c r="B301" t="s">
        <v>377</v>
      </c>
    </row>
    <row r="302" spans="2:2">
      <c r="B302" t="s">
        <v>356</v>
      </c>
    </row>
    <row r="303" spans="2:2">
      <c r="B303" t="s">
        <v>399</v>
      </c>
    </row>
    <row r="304" spans="2:2">
      <c r="B304" t="s">
        <v>360</v>
      </c>
    </row>
    <row r="305" spans="2:2">
      <c r="B305" t="s">
        <v>361</v>
      </c>
    </row>
    <row r="306" spans="2:2">
      <c r="B306" t="s">
        <v>362</v>
      </c>
    </row>
    <row r="307" spans="2:2">
      <c r="B307" t="s">
        <v>352</v>
      </c>
    </row>
    <row r="308" spans="2:2">
      <c r="B308" t="s">
        <v>524</v>
      </c>
    </row>
    <row r="309" spans="2:2">
      <c r="B309" t="s">
        <v>392</v>
      </c>
    </row>
    <row r="310" spans="2:2">
      <c r="B310" t="s">
        <v>490</v>
      </c>
    </row>
    <row r="311" spans="2:2">
      <c r="B311" t="s">
        <v>365</v>
      </c>
    </row>
    <row r="312" spans="2:2">
      <c r="B312" t="s">
        <v>517</v>
      </c>
    </row>
    <row r="313" spans="2:2">
      <c r="B313" t="s">
        <v>366</v>
      </c>
    </row>
    <row r="314" spans="2:2">
      <c r="B314" t="s">
        <v>368</v>
      </c>
    </row>
    <row r="315" spans="2:2">
      <c r="B315" t="s">
        <v>360</v>
      </c>
    </row>
    <row r="316" spans="2:2">
      <c r="B316" t="s">
        <v>361</v>
      </c>
    </row>
    <row r="317" spans="2:2">
      <c r="B317" t="s">
        <v>369</v>
      </c>
    </row>
    <row r="318" spans="2:2">
      <c r="B318" t="s">
        <v>411</v>
      </c>
    </row>
    <row r="319" spans="2:2">
      <c r="B319" t="s">
        <v>351</v>
      </c>
    </row>
    <row r="320" spans="2:2">
      <c r="B320" t="s">
        <v>352</v>
      </c>
    </row>
    <row r="321" spans="2:2">
      <c r="B321" t="s">
        <v>519</v>
      </c>
    </row>
    <row r="322" spans="2:2">
      <c r="B322" t="s">
        <v>354</v>
      </c>
    </row>
    <row r="323" spans="2:2">
      <c r="B323" t="s">
        <v>358</v>
      </c>
    </row>
    <row r="324" spans="2:2">
      <c r="B324" t="s">
        <v>355</v>
      </c>
    </row>
    <row r="325" spans="2:2">
      <c r="B325" t="s">
        <v>377</v>
      </c>
    </row>
    <row r="326" spans="2:2">
      <c r="B326" t="s">
        <v>356</v>
      </c>
    </row>
    <row r="327" spans="2:2">
      <c r="B327" t="s">
        <v>359</v>
      </c>
    </row>
    <row r="328" spans="2:2">
      <c r="B328" t="s">
        <v>360</v>
      </c>
    </row>
    <row r="329" spans="2:2">
      <c r="B329" t="s">
        <v>361</v>
      </c>
    </row>
    <row r="330" spans="2:2">
      <c r="B330" t="s">
        <v>362</v>
      </c>
    </row>
    <row r="331" spans="2:2">
      <c r="B331" t="s">
        <v>352</v>
      </c>
    </row>
    <row r="332" spans="2:2">
      <c r="B332" t="s">
        <v>384</v>
      </c>
    </row>
    <row r="333" spans="2:2">
      <c r="B333" t="s">
        <v>488</v>
      </c>
    </row>
    <row r="334" spans="2:2">
      <c r="B334" t="s">
        <v>490</v>
      </c>
    </row>
    <row r="335" spans="2:2">
      <c r="B335" t="s">
        <v>515</v>
      </c>
    </row>
    <row r="336" spans="2:2">
      <c r="B336" t="s">
        <v>517</v>
      </c>
    </row>
    <row r="337" spans="2:2">
      <c r="B337" t="s">
        <v>366</v>
      </c>
    </row>
    <row r="338" spans="2:2">
      <c r="B338" t="s">
        <v>516</v>
      </c>
    </row>
    <row r="339" spans="2:2">
      <c r="B339" t="s">
        <v>360</v>
      </c>
    </row>
    <row r="340" spans="2:2">
      <c r="B340" t="s">
        <v>361</v>
      </c>
    </row>
    <row r="341" spans="2:2">
      <c r="B341" t="s">
        <v>369</v>
      </c>
    </row>
    <row r="342" spans="2:2">
      <c r="B342" t="s">
        <v>412</v>
      </c>
    </row>
    <row r="343" spans="2:2">
      <c r="B343" t="s">
        <v>351</v>
      </c>
    </row>
    <row r="344" spans="2:2">
      <c r="B344" t="s">
        <v>352</v>
      </c>
    </row>
    <row r="345" spans="2:2">
      <c r="B345" t="s">
        <v>520</v>
      </c>
    </row>
    <row r="346" spans="2:2">
      <c r="B346" t="s">
        <v>488</v>
      </c>
    </row>
    <row r="347" spans="2:2">
      <c r="B347" t="s">
        <v>358</v>
      </c>
    </row>
    <row r="348" spans="2:2">
      <c r="B348" t="s">
        <v>355</v>
      </c>
    </row>
    <row r="349" spans="2:2">
      <c r="B349" t="s">
        <v>377</v>
      </c>
    </row>
    <row r="350" spans="2:2">
      <c r="B350" t="s">
        <v>366</v>
      </c>
    </row>
    <row r="351" spans="2:2">
      <c r="B351" t="s">
        <v>368</v>
      </c>
    </row>
    <row r="352" spans="2:2">
      <c r="B352" t="s">
        <v>360</v>
      </c>
    </row>
    <row r="353" spans="2:2">
      <c r="B353" t="s">
        <v>361</v>
      </c>
    </row>
    <row r="354" spans="2:2">
      <c r="B354" t="s">
        <v>362</v>
      </c>
    </row>
    <row r="355" spans="2:2">
      <c r="B355" t="s">
        <v>352</v>
      </c>
    </row>
    <row r="356" spans="2:2">
      <c r="B356" t="s">
        <v>388</v>
      </c>
    </row>
    <row r="357" spans="2:2">
      <c r="B357" t="s">
        <v>354</v>
      </c>
    </row>
    <row r="358" spans="2:2">
      <c r="B358" t="s">
        <v>490</v>
      </c>
    </row>
    <row r="359" spans="2:2">
      <c r="B359" t="s">
        <v>515</v>
      </c>
    </row>
    <row r="360" spans="2:2">
      <c r="B360" t="s">
        <v>517</v>
      </c>
    </row>
    <row r="361" spans="2:2">
      <c r="B361" t="s">
        <v>356</v>
      </c>
    </row>
    <row r="362" spans="2:2">
      <c r="B362" t="s">
        <v>399</v>
      </c>
    </row>
    <row r="363" spans="2:2">
      <c r="B363" t="s">
        <v>360</v>
      </c>
    </row>
    <row r="364" spans="2:2">
      <c r="B364" t="s">
        <v>361</v>
      </c>
    </row>
    <row r="365" spans="2:2">
      <c r="B365" t="s">
        <v>369</v>
      </c>
    </row>
    <row r="366" spans="2:2">
      <c r="B366" t="s">
        <v>413</v>
      </c>
    </row>
    <row r="367" spans="2:2">
      <c r="B367" t="s">
        <v>414</v>
      </c>
    </row>
    <row r="368" spans="2:2">
      <c r="B368" t="s">
        <v>352</v>
      </c>
    </row>
    <row r="369" spans="2:2">
      <c r="B369" t="s">
        <v>386</v>
      </c>
    </row>
    <row r="370" spans="2:2">
      <c r="B370" t="s">
        <v>354</v>
      </c>
    </row>
    <row r="371" spans="2:2">
      <c r="B371" t="s">
        <v>401</v>
      </c>
    </row>
    <row r="372" spans="2:2">
      <c r="B372" t="s">
        <v>355</v>
      </c>
    </row>
    <row r="373" spans="2:2">
      <c r="B373" t="s">
        <v>377</v>
      </c>
    </row>
    <row r="374" spans="2:2">
      <c r="B374" t="s">
        <v>366</v>
      </c>
    </row>
    <row r="375" spans="2:2">
      <c r="B375" t="s">
        <v>416</v>
      </c>
    </row>
    <row r="376" spans="2:2">
      <c r="B376" t="s">
        <v>360</v>
      </c>
    </row>
    <row r="377" spans="2:2">
      <c r="B377" t="s">
        <v>361</v>
      </c>
    </row>
    <row r="378" spans="2:2">
      <c r="B378" t="s">
        <v>417</v>
      </c>
    </row>
    <row r="379" spans="2:2">
      <c r="B379" t="s">
        <v>352</v>
      </c>
    </row>
    <row r="380" spans="2:2">
      <c r="B380" t="s">
        <v>384</v>
      </c>
    </row>
    <row r="381" spans="2:2">
      <c r="B381" t="s">
        <v>354</v>
      </c>
    </row>
    <row r="382" spans="2:2">
      <c r="B382" t="s">
        <v>401</v>
      </c>
    </row>
    <row r="383" spans="2:2">
      <c r="B383" t="s">
        <v>355</v>
      </c>
    </row>
    <row r="384" spans="2:2">
      <c r="B384" t="s">
        <v>377</v>
      </c>
    </row>
    <row r="385" spans="2:2">
      <c r="B385" t="s">
        <v>356</v>
      </c>
    </row>
    <row r="386" spans="2:2">
      <c r="B386" t="s">
        <v>359</v>
      </c>
    </row>
    <row r="387" spans="2:2">
      <c r="B387" t="s">
        <v>360</v>
      </c>
    </row>
    <row r="388" spans="2:2">
      <c r="B388" t="s">
        <v>361</v>
      </c>
    </row>
    <row r="389" spans="2:2">
      <c r="B389" t="s">
        <v>362</v>
      </c>
    </row>
    <row r="390" spans="2:2">
      <c r="B390" t="s">
        <v>352</v>
      </c>
    </row>
    <row r="391" spans="2:2">
      <c r="B391" t="s">
        <v>363</v>
      </c>
    </row>
    <row r="392" spans="2:2">
      <c r="B392" t="s">
        <v>488</v>
      </c>
    </row>
    <row r="393" spans="2:2">
      <c r="B393" t="s">
        <v>374</v>
      </c>
    </row>
    <row r="394" spans="2:2">
      <c r="B394" t="s">
        <v>355</v>
      </c>
    </row>
    <row r="395" spans="2:2">
      <c r="B395" t="s">
        <v>377</v>
      </c>
    </row>
    <row r="396" spans="2:2">
      <c r="B396" t="s">
        <v>356</v>
      </c>
    </row>
    <row r="397" spans="2:2">
      <c r="B397" t="s">
        <v>395</v>
      </c>
    </row>
    <row r="398" spans="2:2">
      <c r="B398" t="s">
        <v>360</v>
      </c>
    </row>
    <row r="399" spans="2:2">
      <c r="B399" t="s">
        <v>361</v>
      </c>
    </row>
    <row r="400" spans="2:2">
      <c r="B400" t="s">
        <v>418</v>
      </c>
    </row>
    <row r="401" spans="2:2">
      <c r="B401" t="s">
        <v>352</v>
      </c>
    </row>
    <row r="402" spans="2:2">
      <c r="B402" t="s">
        <v>409</v>
      </c>
    </row>
    <row r="403" spans="2:2">
      <c r="B403" t="s">
        <v>354</v>
      </c>
    </row>
    <row r="404" spans="2:2">
      <c r="B404" t="s">
        <v>358</v>
      </c>
    </row>
    <row r="405" spans="2:2">
      <c r="B405" t="s">
        <v>515</v>
      </c>
    </row>
    <row r="406" spans="2:2">
      <c r="B406" t="s">
        <v>377</v>
      </c>
    </row>
    <row r="407" spans="2:2">
      <c r="B407" t="s">
        <v>356</v>
      </c>
    </row>
    <row r="408" spans="2:2">
      <c r="B408" t="s">
        <v>359</v>
      </c>
    </row>
    <row r="409" spans="2:2">
      <c r="B409" t="s">
        <v>360</v>
      </c>
    </row>
    <row r="410" spans="2:2">
      <c r="B410" t="s">
        <v>361</v>
      </c>
    </row>
    <row r="411" spans="2:2">
      <c r="B411" t="s">
        <v>419</v>
      </c>
    </row>
    <row r="412" spans="2:2">
      <c r="B412" t="s">
        <v>352</v>
      </c>
    </row>
    <row r="413" spans="2:2">
      <c r="B413" t="s">
        <v>384</v>
      </c>
    </row>
    <row r="414" spans="2:2">
      <c r="B414" t="s">
        <v>354</v>
      </c>
    </row>
    <row r="415" spans="2:2">
      <c r="B415" t="s">
        <v>378</v>
      </c>
    </row>
    <row r="416" spans="2:2">
      <c r="B416" t="s">
        <v>355</v>
      </c>
    </row>
    <row r="417" spans="2:2">
      <c r="B417" t="s">
        <v>517</v>
      </c>
    </row>
    <row r="418" spans="2:2">
      <c r="B418" t="s">
        <v>356</v>
      </c>
    </row>
    <row r="419" spans="2:2">
      <c r="B419" t="s">
        <v>359</v>
      </c>
    </row>
    <row r="420" spans="2:2">
      <c r="B420" t="s">
        <v>360</v>
      </c>
    </row>
    <row r="421" spans="2:2">
      <c r="B421" t="s">
        <v>361</v>
      </c>
    </row>
    <row r="422" spans="2:2">
      <c r="B422" t="s">
        <v>369</v>
      </c>
    </row>
    <row r="423" spans="2:2">
      <c r="B423" t="s">
        <v>420</v>
      </c>
    </row>
    <row r="424" spans="2:2">
      <c r="B424" t="s">
        <v>351</v>
      </c>
    </row>
    <row r="425" spans="2:2">
      <c r="B425" t="s">
        <v>352</v>
      </c>
    </row>
    <row r="426" spans="2:2">
      <c r="B426" t="s">
        <v>519</v>
      </c>
    </row>
    <row r="427" spans="2:2">
      <c r="B427" t="s">
        <v>488</v>
      </c>
    </row>
    <row r="428" spans="2:2">
      <c r="B428" t="s">
        <v>358</v>
      </c>
    </row>
    <row r="429" spans="2:2">
      <c r="B429" t="s">
        <v>515</v>
      </c>
    </row>
    <row r="430" spans="2:2">
      <c r="B430" t="s">
        <v>377</v>
      </c>
    </row>
    <row r="431" spans="2:2">
      <c r="B431" t="s">
        <v>366</v>
      </c>
    </row>
    <row r="432" spans="2:2">
      <c r="B432" t="s">
        <v>516</v>
      </c>
    </row>
    <row r="433" spans="2:2">
      <c r="B433" t="s">
        <v>360</v>
      </c>
    </row>
    <row r="434" spans="2:2">
      <c r="B434" t="s">
        <v>361</v>
      </c>
    </row>
    <row r="435" spans="2:2">
      <c r="B435" t="s">
        <v>362</v>
      </c>
    </row>
    <row r="436" spans="2:2">
      <c r="B436" t="s">
        <v>352</v>
      </c>
    </row>
    <row r="437" spans="2:2">
      <c r="B437" t="s">
        <v>384</v>
      </c>
    </row>
    <row r="438" spans="2:2">
      <c r="B438" t="s">
        <v>354</v>
      </c>
    </row>
    <row r="439" spans="2:2">
      <c r="B439" t="s">
        <v>490</v>
      </c>
    </row>
    <row r="440" spans="2:2">
      <c r="B440" t="s">
        <v>355</v>
      </c>
    </row>
    <row r="441" spans="2:2">
      <c r="B441" t="s">
        <v>517</v>
      </c>
    </row>
    <row r="442" spans="2:2">
      <c r="B442" t="s">
        <v>356</v>
      </c>
    </row>
    <row r="443" spans="2:2">
      <c r="B443" t="s">
        <v>359</v>
      </c>
    </row>
    <row r="444" spans="2:2">
      <c r="B444" t="s">
        <v>360</v>
      </c>
    </row>
    <row r="445" spans="2:2">
      <c r="B445" t="s">
        <v>361</v>
      </c>
    </row>
    <row r="446" spans="2:2">
      <c r="B446" t="s">
        <v>369</v>
      </c>
    </row>
    <row r="447" spans="2:2">
      <c r="B447" t="s">
        <v>421</v>
      </c>
    </row>
    <row r="448" spans="2:2">
      <c r="B448" t="s">
        <v>351</v>
      </c>
    </row>
    <row r="449" spans="2:2">
      <c r="B449" t="s">
        <v>352</v>
      </c>
    </row>
    <row r="450" spans="2:2">
      <c r="B450" t="s">
        <v>519</v>
      </c>
    </row>
    <row r="451" spans="2:2">
      <c r="B451" t="s">
        <v>354</v>
      </c>
    </row>
    <row r="452" spans="2:2">
      <c r="B452" t="s">
        <v>378</v>
      </c>
    </row>
    <row r="453" spans="2:2">
      <c r="B453" t="s">
        <v>515</v>
      </c>
    </row>
    <row r="454" spans="2:2">
      <c r="B454" t="s">
        <v>517</v>
      </c>
    </row>
    <row r="455" spans="2:2">
      <c r="B455" t="s">
        <v>366</v>
      </c>
    </row>
    <row r="456" spans="2:2">
      <c r="B456" t="s">
        <v>368</v>
      </c>
    </row>
    <row r="457" spans="2:2">
      <c r="B457" t="s">
        <v>360</v>
      </c>
    </row>
    <row r="458" spans="2:2">
      <c r="B458" t="s">
        <v>361</v>
      </c>
    </row>
    <row r="459" spans="2:2">
      <c r="B459" t="s">
        <v>362</v>
      </c>
    </row>
    <row r="460" spans="2:2">
      <c r="B460" t="s">
        <v>352</v>
      </c>
    </row>
    <row r="461" spans="2:2">
      <c r="B461" t="s">
        <v>384</v>
      </c>
    </row>
    <row r="462" spans="2:2">
      <c r="B462" t="s">
        <v>488</v>
      </c>
    </row>
    <row r="463" spans="2:2">
      <c r="B463" t="s">
        <v>367</v>
      </c>
    </row>
    <row r="464" spans="2:2">
      <c r="B464" t="s">
        <v>355</v>
      </c>
    </row>
    <row r="465" spans="2:2">
      <c r="B465" t="s">
        <v>377</v>
      </c>
    </row>
    <row r="466" spans="2:2">
      <c r="B466" t="s">
        <v>356</v>
      </c>
    </row>
    <row r="467" spans="2:2">
      <c r="B467" t="s">
        <v>399</v>
      </c>
    </row>
    <row r="468" spans="2:2">
      <c r="B468" t="s">
        <v>360</v>
      </c>
    </row>
    <row r="469" spans="2:2">
      <c r="B469" t="s">
        <v>361</v>
      </c>
    </row>
    <row r="470" spans="2:2">
      <c r="B470" t="s">
        <v>369</v>
      </c>
    </row>
    <row r="471" spans="2:2">
      <c r="B471" t="s">
        <v>422</v>
      </c>
    </row>
    <row r="472" spans="2:2">
      <c r="B472" t="s">
        <v>362</v>
      </c>
    </row>
    <row r="473" spans="2:2">
      <c r="B473" t="s">
        <v>352</v>
      </c>
    </row>
    <row r="474" spans="2:2">
      <c r="B474" t="s">
        <v>363</v>
      </c>
    </row>
    <row r="475" spans="2:2">
      <c r="B475" t="s">
        <v>354</v>
      </c>
    </row>
    <row r="476" spans="2:2">
      <c r="B476" t="s">
        <v>496</v>
      </c>
    </row>
    <row r="477" spans="2:2">
      <c r="B477" t="s">
        <v>355</v>
      </c>
    </row>
    <row r="478" spans="2:2">
      <c r="B478" t="s">
        <v>517</v>
      </c>
    </row>
    <row r="479" spans="2:2">
      <c r="B479" t="s">
        <v>393</v>
      </c>
    </row>
    <row r="480" spans="2:2">
      <c r="B480" t="s">
        <v>359</v>
      </c>
    </row>
    <row r="481" spans="2:2">
      <c r="B481" t="s">
        <v>360</v>
      </c>
    </row>
    <row r="482" spans="2:2">
      <c r="B482" t="s">
        <v>361</v>
      </c>
    </row>
    <row r="483" spans="2:2">
      <c r="B483" t="s">
        <v>351</v>
      </c>
    </row>
    <row r="484" spans="2:2">
      <c r="B484" t="s">
        <v>352</v>
      </c>
    </row>
    <row r="485" spans="2:2">
      <c r="B485" t="s">
        <v>514</v>
      </c>
    </row>
    <row r="486" spans="2:2">
      <c r="B486" t="s">
        <v>488</v>
      </c>
    </row>
    <row r="487" spans="2:2">
      <c r="B487" t="s">
        <v>401</v>
      </c>
    </row>
    <row r="488" spans="2:2">
      <c r="B488" t="s">
        <v>515</v>
      </c>
    </row>
    <row r="489" spans="2:2">
      <c r="B489" t="s">
        <v>377</v>
      </c>
    </row>
    <row r="490" spans="2:2">
      <c r="B490" t="s">
        <v>397</v>
      </c>
    </row>
    <row r="491" spans="2:2">
      <c r="B491" t="s">
        <v>516</v>
      </c>
    </row>
    <row r="492" spans="2:2">
      <c r="B492" t="s">
        <v>360</v>
      </c>
    </row>
    <row r="493" spans="2:2">
      <c r="B493" t="s">
        <v>361</v>
      </c>
    </row>
    <row r="494" spans="2:2">
      <c r="B494" t="s">
        <v>369</v>
      </c>
    </row>
    <row r="495" spans="2:2">
      <c r="B495" t="s">
        <v>423</v>
      </c>
    </row>
    <row r="496" spans="2:2">
      <c r="B496" t="s">
        <v>424</v>
      </c>
    </row>
    <row r="497" spans="2:2">
      <c r="B497" t="s">
        <v>352</v>
      </c>
    </row>
    <row r="498" spans="2:2">
      <c r="B498" t="s">
        <v>519</v>
      </c>
    </row>
    <row r="499" spans="2:2">
      <c r="B499" t="s">
        <v>488</v>
      </c>
    </row>
    <row r="500" spans="2:2">
      <c r="B500" t="s">
        <v>490</v>
      </c>
    </row>
    <row r="501" spans="2:2">
      <c r="B501" t="s">
        <v>515</v>
      </c>
    </row>
    <row r="502" spans="2:2">
      <c r="B502" t="s">
        <v>517</v>
      </c>
    </row>
    <row r="503" spans="2:2">
      <c r="B503" t="s">
        <v>366</v>
      </c>
    </row>
    <row r="504" spans="2:2">
      <c r="B504" t="s">
        <v>516</v>
      </c>
    </row>
    <row r="505" spans="2:2">
      <c r="B505" t="s">
        <v>360</v>
      </c>
    </row>
    <row r="506" spans="2:2">
      <c r="B506" t="s">
        <v>425</v>
      </c>
    </row>
    <row r="507" spans="2:2">
      <c r="B507" t="s">
        <v>426</v>
      </c>
    </row>
    <row r="508" spans="2:2">
      <c r="B508" t="s">
        <v>427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NB_Output2'!$B$10:$B$10" display="Inputs" xr:uid="{B86E1359-84D0-4DFF-9722-B3AA561B072D}"/>
    <hyperlink ref="D4" location="'NB_Stored2'!$B$10:$B$10" display="PMML Model" xr:uid="{2DA1F88F-7357-4F54-841F-D73BB3554D1B}"/>
    <hyperlink ref="F4" location="'NB_TrainingScore2'!$B$10:$B$10" display="Training: Classification Summary" xr:uid="{76AFAE4D-AD2A-43B5-ADB4-A47AE3597442}"/>
    <hyperlink ref="H4" location="'NB_ValidationScore2'!$B$10:$B$10" display="Validation: Classification Summary" xr:uid="{43760BF7-BC1C-4546-9C84-D7EEE18CE14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D819-697F-42DA-BDD4-27AB9D89F279}">
  <dimension ref="B1:CV129"/>
  <sheetViews>
    <sheetView showGridLines="0" topLeftCell="A43" workbookViewId="0">
      <selection activeCell="G62" sqref="G62"/>
    </sheetView>
  </sheetViews>
  <sheetFormatPr defaultRowHeight="13.2"/>
  <cols>
    <col min="3" max="3" width="11.5546875" customWidth="1"/>
    <col min="4" max="4" width="14.44140625" customWidth="1"/>
    <col min="5" max="5" width="18.21875" customWidth="1"/>
    <col min="6" max="6" width="15.33203125" customWidth="1"/>
    <col min="7" max="7" width="14.5546875" customWidth="1"/>
    <col min="8" max="8" width="18.44140625" customWidth="1"/>
    <col min="9" max="9" width="17.44140625" customWidth="1"/>
    <col min="10" max="10" width="29.109375" bestFit="1" customWidth="1"/>
    <col min="11" max="11" width="17.88671875" customWidth="1"/>
    <col min="12" max="12" width="19.5546875" customWidth="1"/>
    <col min="13" max="13" width="18.77734375" customWidth="1"/>
    <col min="14" max="14" width="20.109375" customWidth="1"/>
    <col min="15" max="15" width="14.21875" customWidth="1"/>
    <col min="16" max="16" width="14.6640625" customWidth="1"/>
    <col min="17" max="17" width="13.6640625" customWidth="1"/>
    <col min="18" max="18" width="19" customWidth="1"/>
    <col min="19" max="19" width="17.21875" customWidth="1"/>
    <col min="20" max="20" width="19.88671875" customWidth="1"/>
  </cols>
  <sheetData>
    <row r="1" spans="2:100" ht="18">
      <c r="B1" s="5" t="s">
        <v>264</v>
      </c>
      <c r="N1" t="s">
        <v>477</v>
      </c>
      <c r="CV1" s="25" t="s">
        <v>478</v>
      </c>
    </row>
    <row r="3" spans="2:100" ht="15.6">
      <c r="B3" s="28" t="s">
        <v>122</v>
      </c>
      <c r="C3" s="29"/>
      <c r="D3" s="29"/>
      <c r="E3" s="29"/>
      <c r="F3" s="29"/>
      <c r="G3" s="30"/>
      <c r="J3" s="28" t="s">
        <v>145</v>
      </c>
      <c r="K3" s="29"/>
      <c r="L3" s="29"/>
      <c r="M3" s="30"/>
    </row>
    <row r="4" spans="2:100" ht="13.8">
      <c r="B4" s="19" t="s">
        <v>123</v>
      </c>
      <c r="C4" s="19"/>
      <c r="D4" s="19" t="s">
        <v>265</v>
      </c>
      <c r="E4" s="19"/>
      <c r="F4" s="19" t="s">
        <v>276</v>
      </c>
      <c r="G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00" ht="13.8">
      <c r="J5" s="15">
        <v>77</v>
      </c>
      <c r="K5" s="15">
        <v>14</v>
      </c>
      <c r="L5" s="15">
        <v>8</v>
      </c>
      <c r="M5" s="15">
        <v>99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</row>
    <row r="13" spans="2:100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00" ht="13.8">
      <c r="C14" s="22" t="s">
        <v>127</v>
      </c>
      <c r="D14" s="22"/>
      <c r="E14" s="23"/>
      <c r="F14" s="11" t="s">
        <v>271</v>
      </c>
      <c r="G14" s="11"/>
      <c r="H14" s="11"/>
      <c r="I14" s="11"/>
    </row>
    <row r="15" spans="2:100" ht="13.8">
      <c r="C15" s="22" t="s">
        <v>128</v>
      </c>
      <c r="D15" s="22"/>
      <c r="E15" s="23"/>
      <c r="F15" s="11" t="s">
        <v>272</v>
      </c>
      <c r="G15" s="11"/>
      <c r="H15" s="11"/>
      <c r="I15" s="11"/>
    </row>
    <row r="16" spans="2:100" ht="13.8">
      <c r="C16" s="22" t="s">
        <v>129</v>
      </c>
      <c r="D16" s="22"/>
      <c r="E16" s="23"/>
      <c r="F16" s="12">
        <v>93</v>
      </c>
      <c r="G16" s="12"/>
      <c r="H16" s="12"/>
      <c r="I16" s="12"/>
    </row>
    <row r="18" spans="2:22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2:22" ht="13.8">
      <c r="C19" s="22" t="s">
        <v>131</v>
      </c>
      <c r="D19" s="22"/>
      <c r="E19" s="23"/>
      <c r="F19" s="12">
        <v>17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2:22" ht="13.8">
      <c r="C20" s="22" t="s">
        <v>132</v>
      </c>
      <c r="D20" s="22"/>
      <c r="E20" s="23"/>
      <c r="F20" s="15" t="s">
        <v>153</v>
      </c>
      <c r="G20" s="15" t="s">
        <v>154</v>
      </c>
      <c r="H20" s="15" t="s">
        <v>155</v>
      </c>
      <c r="I20" s="15" t="s">
        <v>156</v>
      </c>
      <c r="J20" s="15" t="s">
        <v>157</v>
      </c>
      <c r="K20" s="15" t="s">
        <v>158</v>
      </c>
      <c r="L20" s="15" t="s">
        <v>159</v>
      </c>
      <c r="M20" s="15" t="s">
        <v>160</v>
      </c>
      <c r="N20" s="15" t="s">
        <v>161</v>
      </c>
      <c r="O20" s="15" t="s">
        <v>162</v>
      </c>
      <c r="P20" s="15" t="s">
        <v>163</v>
      </c>
      <c r="Q20" s="15" t="s">
        <v>164</v>
      </c>
      <c r="R20" s="15" t="s">
        <v>165</v>
      </c>
      <c r="S20" s="15" t="s">
        <v>166</v>
      </c>
      <c r="T20" s="15" t="s">
        <v>167</v>
      </c>
      <c r="U20" s="15" t="s">
        <v>168</v>
      </c>
      <c r="V20" s="15" t="s">
        <v>169</v>
      </c>
    </row>
    <row r="22" spans="2:22" ht="15.6">
      <c r="C22" s="21" t="s">
        <v>266</v>
      </c>
      <c r="D22" s="21"/>
      <c r="E22" s="21"/>
      <c r="F22" s="21"/>
      <c r="G22" s="21"/>
      <c r="H22" s="21"/>
      <c r="I22" s="21"/>
    </row>
    <row r="23" spans="2:22" ht="13.8">
      <c r="C23" s="22" t="s">
        <v>267</v>
      </c>
      <c r="D23" s="22"/>
      <c r="E23" s="23"/>
      <c r="F23" s="12" t="s">
        <v>273</v>
      </c>
      <c r="G23" s="12"/>
      <c r="H23" s="12"/>
      <c r="I23" s="12"/>
    </row>
    <row r="24" spans="2:22" ht="13.8">
      <c r="C24" s="22" t="s">
        <v>268</v>
      </c>
      <c r="D24" s="22"/>
      <c r="E24" s="23"/>
      <c r="F24" s="12">
        <v>12345</v>
      </c>
      <c r="G24" s="12"/>
      <c r="H24" s="12"/>
      <c r="I24" s="12"/>
    </row>
    <row r="25" spans="2:22" ht="13.8">
      <c r="C25" s="22" t="s">
        <v>269</v>
      </c>
      <c r="D25" s="22"/>
      <c r="E25" s="23"/>
      <c r="F25" s="12">
        <v>0.7</v>
      </c>
      <c r="G25" s="12"/>
      <c r="H25" s="12"/>
      <c r="I25" s="12"/>
    </row>
    <row r="26" spans="2:22" ht="13.8">
      <c r="C26" s="22" t="s">
        <v>270</v>
      </c>
      <c r="D26" s="22"/>
      <c r="E26" s="23"/>
      <c r="F26" s="12">
        <v>0.3</v>
      </c>
      <c r="G26" s="12"/>
      <c r="H26" s="12"/>
      <c r="I26" s="12"/>
    </row>
    <row r="28" spans="2:22" ht="18">
      <c r="B28" s="6" t="s">
        <v>265</v>
      </c>
    </row>
    <row r="30" spans="2:22">
      <c r="C30" s="8" t="s">
        <v>277</v>
      </c>
      <c r="D30" t="s">
        <v>278</v>
      </c>
    </row>
    <row r="31" spans="2:22">
      <c r="C31" s="8" t="s">
        <v>279</v>
      </c>
      <c r="D31">
        <v>65</v>
      </c>
    </row>
    <row r="32" spans="2:22">
      <c r="C32" s="8" t="s">
        <v>280</v>
      </c>
      <c r="D32">
        <v>28</v>
      </c>
    </row>
    <row r="34" spans="2:20" ht="18">
      <c r="B34" s="6" t="s">
        <v>276</v>
      </c>
    </row>
    <row r="36" spans="2:20">
      <c r="C36" s="8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160</v>
      </c>
      <c r="L36" t="s">
        <v>161</v>
      </c>
      <c r="M36" t="s">
        <v>162</v>
      </c>
      <c r="N36" t="s">
        <v>163</v>
      </c>
      <c r="O36" t="s">
        <v>164</v>
      </c>
      <c r="P36" t="s">
        <v>165</v>
      </c>
      <c r="Q36" t="s">
        <v>166</v>
      </c>
      <c r="R36" t="s">
        <v>167</v>
      </c>
      <c r="S36" t="s">
        <v>168</v>
      </c>
      <c r="T36" t="s">
        <v>169</v>
      </c>
    </row>
    <row r="37" spans="2:20">
      <c r="C37" s="8" t="s">
        <v>171</v>
      </c>
      <c r="D37" s="27">
        <v>1</v>
      </c>
      <c r="E37" s="27">
        <v>0</v>
      </c>
      <c r="F37" s="27">
        <v>0</v>
      </c>
      <c r="G37" s="27">
        <v>1</v>
      </c>
      <c r="H37" s="27">
        <v>0</v>
      </c>
      <c r="I37" s="27">
        <v>0</v>
      </c>
      <c r="J37" s="27">
        <v>1</v>
      </c>
      <c r="K37" s="27">
        <v>1</v>
      </c>
      <c r="L37" s="27">
        <v>1</v>
      </c>
      <c r="M37" s="27">
        <v>1</v>
      </c>
      <c r="N37" s="27">
        <v>0</v>
      </c>
      <c r="O37" s="27">
        <v>0</v>
      </c>
      <c r="P37" s="27">
        <v>4</v>
      </c>
      <c r="Q37" s="27">
        <v>0</v>
      </c>
      <c r="R37" s="27">
        <v>0</v>
      </c>
      <c r="S37" s="27">
        <v>1</v>
      </c>
      <c r="T37" s="26">
        <v>1</v>
      </c>
    </row>
    <row r="38" spans="2:20">
      <c r="C38" s="8" t="s">
        <v>175</v>
      </c>
      <c r="D38" s="27">
        <v>1</v>
      </c>
      <c r="E38" s="27">
        <v>0</v>
      </c>
      <c r="F38" s="27">
        <v>0</v>
      </c>
      <c r="G38" s="27">
        <v>1</v>
      </c>
      <c r="H38" s="27">
        <v>0</v>
      </c>
      <c r="I38" s="27">
        <v>0</v>
      </c>
      <c r="J38" s="27">
        <v>0</v>
      </c>
      <c r="K38" s="27">
        <v>1</v>
      </c>
      <c r="L38" s="27">
        <v>1</v>
      </c>
      <c r="M38" s="27">
        <v>1</v>
      </c>
      <c r="N38" s="27">
        <v>0</v>
      </c>
      <c r="O38" s="27">
        <v>0</v>
      </c>
      <c r="P38" s="27">
        <v>4</v>
      </c>
      <c r="Q38" s="27">
        <v>1</v>
      </c>
      <c r="R38" s="27">
        <v>0</v>
      </c>
      <c r="S38" s="27">
        <v>1</v>
      </c>
      <c r="T38" s="26">
        <v>1</v>
      </c>
    </row>
    <row r="39" spans="2:20">
      <c r="C39" s="8" t="s">
        <v>178</v>
      </c>
      <c r="D39" s="27">
        <v>0</v>
      </c>
      <c r="E39" s="27">
        <v>0</v>
      </c>
      <c r="F39" s="27">
        <v>1</v>
      </c>
      <c r="G39" s="27">
        <v>0</v>
      </c>
      <c r="H39" s="27">
        <v>0</v>
      </c>
      <c r="I39" s="27">
        <v>1</v>
      </c>
      <c r="J39" s="27">
        <v>1</v>
      </c>
      <c r="K39" s="27">
        <v>1</v>
      </c>
      <c r="L39" s="27">
        <v>1</v>
      </c>
      <c r="M39" s="27">
        <v>0</v>
      </c>
      <c r="N39" s="27">
        <v>0</v>
      </c>
      <c r="O39" s="27">
        <v>1</v>
      </c>
      <c r="P39" s="27">
        <v>0</v>
      </c>
      <c r="Q39" s="27">
        <v>1</v>
      </c>
      <c r="R39" s="27">
        <v>0</v>
      </c>
      <c r="S39" s="27">
        <v>0</v>
      </c>
      <c r="T39" s="26">
        <v>4</v>
      </c>
    </row>
    <row r="40" spans="2:20">
      <c r="C40" s="8" t="s">
        <v>185</v>
      </c>
      <c r="D40" s="27">
        <v>0</v>
      </c>
      <c r="E40" s="27">
        <v>1</v>
      </c>
      <c r="F40" s="27">
        <v>1</v>
      </c>
      <c r="G40" s="27">
        <v>0</v>
      </c>
      <c r="H40" s="27">
        <v>1</v>
      </c>
      <c r="I40" s="27">
        <v>0</v>
      </c>
      <c r="J40" s="27">
        <v>1</v>
      </c>
      <c r="K40" s="27">
        <v>0</v>
      </c>
      <c r="L40" s="27">
        <v>1</v>
      </c>
      <c r="M40" s="27">
        <v>1</v>
      </c>
      <c r="N40" s="27">
        <v>0</v>
      </c>
      <c r="O40" s="27">
        <v>0</v>
      </c>
      <c r="P40" s="27">
        <v>2</v>
      </c>
      <c r="Q40" s="27">
        <v>1</v>
      </c>
      <c r="R40" s="27">
        <v>0</v>
      </c>
      <c r="S40" s="27">
        <v>0</v>
      </c>
      <c r="T40" s="26">
        <v>2</v>
      </c>
    </row>
    <row r="41" spans="2:20">
      <c r="C41" s="8" t="s">
        <v>188</v>
      </c>
      <c r="D41" s="27">
        <v>0</v>
      </c>
      <c r="E41" s="27">
        <v>0</v>
      </c>
      <c r="F41" s="27">
        <v>0</v>
      </c>
      <c r="G41" s="27">
        <v>1</v>
      </c>
      <c r="H41" s="27">
        <v>0</v>
      </c>
      <c r="I41" s="27">
        <v>1</v>
      </c>
      <c r="J41" s="27">
        <v>1</v>
      </c>
      <c r="K41" s="27">
        <v>1</v>
      </c>
      <c r="L41" s="27">
        <v>1</v>
      </c>
      <c r="M41" s="27">
        <v>1</v>
      </c>
      <c r="N41" s="27">
        <v>0</v>
      </c>
      <c r="O41" s="27">
        <v>1</v>
      </c>
      <c r="P41" s="27">
        <v>0</v>
      </c>
      <c r="Q41" s="27">
        <v>1</v>
      </c>
      <c r="R41" s="27">
        <v>0</v>
      </c>
      <c r="S41" s="27">
        <v>1</v>
      </c>
      <c r="T41" s="26">
        <v>1</v>
      </c>
    </row>
    <row r="42" spans="2:20">
      <c r="C42" s="8" t="s">
        <v>190</v>
      </c>
      <c r="D42" s="27">
        <v>0</v>
      </c>
      <c r="E42" s="27">
        <v>1</v>
      </c>
      <c r="F42" s="27">
        <v>1</v>
      </c>
      <c r="G42" s="27">
        <v>0</v>
      </c>
      <c r="H42" s="27">
        <v>1</v>
      </c>
      <c r="I42" s="27">
        <v>1</v>
      </c>
      <c r="J42" s="27">
        <v>0</v>
      </c>
      <c r="K42" s="27">
        <v>0</v>
      </c>
      <c r="L42" s="27">
        <v>1</v>
      </c>
      <c r="M42" s="27">
        <v>1</v>
      </c>
      <c r="N42" s="27">
        <v>0</v>
      </c>
      <c r="O42" s="27">
        <v>0</v>
      </c>
      <c r="P42" s="27">
        <v>2</v>
      </c>
      <c r="Q42" s="27">
        <v>1</v>
      </c>
      <c r="R42" s="27">
        <v>0</v>
      </c>
      <c r="S42" s="27">
        <v>0</v>
      </c>
      <c r="T42" s="26">
        <v>2</v>
      </c>
    </row>
    <row r="43" spans="2:20">
      <c r="C43" s="8" t="s">
        <v>191</v>
      </c>
      <c r="D43" s="27">
        <v>1</v>
      </c>
      <c r="E43" s="27">
        <v>0</v>
      </c>
      <c r="F43" s="27">
        <v>0</v>
      </c>
      <c r="G43" s="27">
        <v>1</v>
      </c>
      <c r="H43" s="27">
        <v>0</v>
      </c>
      <c r="I43" s="27">
        <v>0</v>
      </c>
      <c r="J43" s="27">
        <v>0</v>
      </c>
      <c r="K43" s="27">
        <v>1</v>
      </c>
      <c r="L43" s="27">
        <v>1</v>
      </c>
      <c r="M43" s="27">
        <v>1</v>
      </c>
      <c r="N43" s="27">
        <v>0</v>
      </c>
      <c r="O43" s="27">
        <v>0</v>
      </c>
      <c r="P43" s="27">
        <v>4</v>
      </c>
      <c r="Q43" s="27">
        <v>1</v>
      </c>
      <c r="R43" s="27">
        <v>0</v>
      </c>
      <c r="S43" s="27">
        <v>1</v>
      </c>
      <c r="T43" s="26">
        <v>1</v>
      </c>
    </row>
    <row r="44" spans="2:20">
      <c r="C44" s="8" t="s">
        <v>192</v>
      </c>
      <c r="D44" s="27">
        <v>0</v>
      </c>
      <c r="E44" s="27">
        <v>1</v>
      </c>
      <c r="F44" s="27">
        <v>1</v>
      </c>
      <c r="G44" s="27">
        <v>0</v>
      </c>
      <c r="H44" s="27">
        <v>1</v>
      </c>
      <c r="I44" s="27">
        <v>0</v>
      </c>
      <c r="J44" s="27">
        <v>0</v>
      </c>
      <c r="K44" s="27">
        <v>0</v>
      </c>
      <c r="L44" s="27">
        <v>1</v>
      </c>
      <c r="M44" s="27">
        <v>1</v>
      </c>
      <c r="N44" s="27">
        <v>0</v>
      </c>
      <c r="O44" s="27">
        <v>0</v>
      </c>
      <c r="P44" s="27">
        <v>2</v>
      </c>
      <c r="Q44" s="27">
        <v>1</v>
      </c>
      <c r="R44" s="27">
        <v>0</v>
      </c>
      <c r="S44" s="27">
        <v>1</v>
      </c>
      <c r="T44" s="26">
        <v>2</v>
      </c>
    </row>
    <row r="45" spans="2:20">
      <c r="C45" s="8" t="s">
        <v>193</v>
      </c>
      <c r="D45" s="27">
        <v>0</v>
      </c>
      <c r="E45" s="27">
        <v>0</v>
      </c>
      <c r="F45" s="27">
        <v>1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1</v>
      </c>
      <c r="N45" s="27">
        <v>0</v>
      </c>
      <c r="O45" s="27">
        <v>0</v>
      </c>
      <c r="P45" s="27">
        <v>6</v>
      </c>
      <c r="Q45" s="27">
        <v>0</v>
      </c>
      <c r="R45" s="27">
        <v>0</v>
      </c>
      <c r="S45" s="27">
        <v>0</v>
      </c>
      <c r="T45" s="26">
        <v>6</v>
      </c>
    </row>
    <row r="46" spans="2:20">
      <c r="C46" s="8" t="s">
        <v>195</v>
      </c>
      <c r="D46" s="27">
        <v>0</v>
      </c>
      <c r="E46" s="27">
        <v>0</v>
      </c>
      <c r="F46" s="27">
        <v>1</v>
      </c>
      <c r="G46" s="27">
        <v>0</v>
      </c>
      <c r="H46" s="27">
        <v>0</v>
      </c>
      <c r="I46" s="27">
        <v>1</v>
      </c>
      <c r="J46" s="27">
        <v>1</v>
      </c>
      <c r="K46" s="27">
        <v>1</v>
      </c>
      <c r="L46" s="27">
        <v>1</v>
      </c>
      <c r="M46" s="27">
        <v>1</v>
      </c>
      <c r="N46" s="27">
        <v>1</v>
      </c>
      <c r="O46" s="27">
        <v>0</v>
      </c>
      <c r="P46" s="27">
        <v>4</v>
      </c>
      <c r="Q46" s="27">
        <v>0</v>
      </c>
      <c r="R46" s="27">
        <v>0</v>
      </c>
      <c r="S46" s="27">
        <v>0</v>
      </c>
      <c r="T46" s="26">
        <v>5</v>
      </c>
    </row>
    <row r="47" spans="2:20">
      <c r="C47" s="8" t="s">
        <v>196</v>
      </c>
      <c r="D47" s="27">
        <v>1</v>
      </c>
      <c r="E47" s="27">
        <v>0</v>
      </c>
      <c r="F47" s="27">
        <v>0</v>
      </c>
      <c r="G47" s="27">
        <v>1</v>
      </c>
      <c r="H47" s="27">
        <v>1</v>
      </c>
      <c r="I47" s="27">
        <v>0</v>
      </c>
      <c r="J47" s="27">
        <v>0</v>
      </c>
      <c r="K47" s="27">
        <v>1</v>
      </c>
      <c r="L47" s="27">
        <v>1</v>
      </c>
      <c r="M47" s="27">
        <v>1</v>
      </c>
      <c r="N47" s="27">
        <v>0</v>
      </c>
      <c r="O47" s="27">
        <v>0</v>
      </c>
      <c r="P47" s="27">
        <v>2</v>
      </c>
      <c r="Q47" s="27">
        <v>1</v>
      </c>
      <c r="R47" s="27">
        <v>0</v>
      </c>
      <c r="S47" s="27">
        <v>0</v>
      </c>
      <c r="T47" s="26">
        <v>1</v>
      </c>
    </row>
    <row r="48" spans="2:20">
      <c r="C48" s="8" t="s">
        <v>198</v>
      </c>
      <c r="D48" s="27">
        <v>1</v>
      </c>
      <c r="E48" s="27">
        <v>0</v>
      </c>
      <c r="F48" s="27">
        <v>0</v>
      </c>
      <c r="G48" s="27">
        <v>1</v>
      </c>
      <c r="H48" s="27">
        <v>0</v>
      </c>
      <c r="I48" s="27">
        <v>0</v>
      </c>
      <c r="J48" s="27">
        <v>0</v>
      </c>
      <c r="K48" s="27">
        <v>1</v>
      </c>
      <c r="L48" s="27">
        <v>1</v>
      </c>
      <c r="M48" s="27">
        <v>1</v>
      </c>
      <c r="N48" s="27">
        <v>0</v>
      </c>
      <c r="O48" s="27">
        <v>0</v>
      </c>
      <c r="P48" s="27">
        <v>4</v>
      </c>
      <c r="Q48" s="27">
        <v>1</v>
      </c>
      <c r="R48" s="27">
        <v>1</v>
      </c>
      <c r="S48" s="27">
        <v>1</v>
      </c>
      <c r="T48" s="26">
        <v>1</v>
      </c>
    </row>
    <row r="49" spans="3:20">
      <c r="C49" s="8" t="s">
        <v>199</v>
      </c>
      <c r="D49" s="27">
        <v>1</v>
      </c>
      <c r="E49" s="27">
        <v>0</v>
      </c>
      <c r="F49" s="27">
        <v>0</v>
      </c>
      <c r="G49" s="27">
        <v>1</v>
      </c>
      <c r="H49" s="27">
        <v>0</v>
      </c>
      <c r="I49" s="27">
        <v>0</v>
      </c>
      <c r="J49" s="27">
        <v>0</v>
      </c>
      <c r="K49" s="27">
        <v>1</v>
      </c>
      <c r="L49" s="27">
        <v>1</v>
      </c>
      <c r="M49" s="27">
        <v>1</v>
      </c>
      <c r="N49" s="27">
        <v>0</v>
      </c>
      <c r="O49" s="27">
        <v>0</v>
      </c>
      <c r="P49" s="27">
        <v>2</v>
      </c>
      <c r="Q49" s="27">
        <v>0</v>
      </c>
      <c r="R49" s="27">
        <v>0</v>
      </c>
      <c r="S49" s="27">
        <v>1</v>
      </c>
      <c r="T49" s="26">
        <v>1</v>
      </c>
    </row>
    <row r="50" spans="3:20">
      <c r="C50" s="8" t="s">
        <v>202</v>
      </c>
      <c r="D50" s="27">
        <v>1</v>
      </c>
      <c r="E50" s="27">
        <v>0</v>
      </c>
      <c r="F50" s="27">
        <v>0</v>
      </c>
      <c r="G50" s="27">
        <v>1</v>
      </c>
      <c r="H50" s="27">
        <v>0</v>
      </c>
      <c r="I50" s="27">
        <v>0</v>
      </c>
      <c r="J50" s="27">
        <v>0</v>
      </c>
      <c r="K50" s="27">
        <v>1</v>
      </c>
      <c r="L50" s="27">
        <v>1</v>
      </c>
      <c r="M50" s="27">
        <v>1</v>
      </c>
      <c r="N50" s="27">
        <v>0</v>
      </c>
      <c r="O50" s="27">
        <v>0</v>
      </c>
      <c r="P50" s="27">
        <v>4</v>
      </c>
      <c r="Q50" s="27">
        <v>1</v>
      </c>
      <c r="R50" s="27">
        <v>1</v>
      </c>
      <c r="S50" s="27">
        <v>0</v>
      </c>
      <c r="T50" s="26">
        <v>1</v>
      </c>
    </row>
    <row r="51" spans="3:20">
      <c r="C51" s="8" t="s">
        <v>205</v>
      </c>
      <c r="D51" s="27">
        <v>0</v>
      </c>
      <c r="E51" s="27">
        <v>0</v>
      </c>
      <c r="F51" s="27">
        <v>1</v>
      </c>
      <c r="G51" s="27">
        <v>0</v>
      </c>
      <c r="H51" s="27">
        <v>0</v>
      </c>
      <c r="I51" s="27">
        <v>1</v>
      </c>
      <c r="J51" s="27">
        <v>1</v>
      </c>
      <c r="K51" s="27">
        <v>1</v>
      </c>
      <c r="L51" s="27">
        <v>1</v>
      </c>
      <c r="M51" s="27">
        <v>0</v>
      </c>
      <c r="N51" s="27">
        <v>0</v>
      </c>
      <c r="O51" s="27">
        <v>1</v>
      </c>
      <c r="P51" s="27">
        <v>0</v>
      </c>
      <c r="Q51" s="27">
        <v>1</v>
      </c>
      <c r="R51" s="27">
        <v>0</v>
      </c>
      <c r="S51" s="27">
        <v>0</v>
      </c>
      <c r="T51" s="26">
        <v>4</v>
      </c>
    </row>
    <row r="52" spans="3:20">
      <c r="C52" s="8" t="s">
        <v>207</v>
      </c>
      <c r="D52" s="27">
        <v>1</v>
      </c>
      <c r="E52" s="27">
        <v>0</v>
      </c>
      <c r="F52" s="27">
        <v>1</v>
      </c>
      <c r="G52" s="27">
        <v>0</v>
      </c>
      <c r="H52" s="27">
        <v>1</v>
      </c>
      <c r="I52" s="27">
        <v>0</v>
      </c>
      <c r="J52" s="27">
        <v>0</v>
      </c>
      <c r="K52" s="27">
        <v>0</v>
      </c>
      <c r="L52" s="27">
        <v>0</v>
      </c>
      <c r="M52" s="27">
        <v>1</v>
      </c>
      <c r="N52" s="27">
        <v>0</v>
      </c>
      <c r="O52" s="27">
        <v>0</v>
      </c>
      <c r="P52" s="27">
        <v>6</v>
      </c>
      <c r="Q52" s="27">
        <v>0</v>
      </c>
      <c r="R52" s="27">
        <v>0</v>
      </c>
      <c r="S52" s="27">
        <v>0</v>
      </c>
      <c r="T52" s="26">
        <v>6</v>
      </c>
    </row>
    <row r="53" spans="3:20">
      <c r="C53" s="8" t="s">
        <v>217</v>
      </c>
      <c r="D53" s="27">
        <v>0</v>
      </c>
      <c r="E53" s="27">
        <v>0</v>
      </c>
      <c r="F53" s="27">
        <v>1</v>
      </c>
      <c r="G53" s="27">
        <v>0</v>
      </c>
      <c r="H53" s="27">
        <v>0</v>
      </c>
      <c r="I53" s="27">
        <v>1</v>
      </c>
      <c r="J53" s="27">
        <v>1</v>
      </c>
      <c r="K53" s="27">
        <v>1</v>
      </c>
      <c r="L53" s="27">
        <v>1</v>
      </c>
      <c r="M53" s="27">
        <v>1</v>
      </c>
      <c r="N53" s="27">
        <v>0</v>
      </c>
      <c r="O53" s="27">
        <v>0</v>
      </c>
      <c r="P53" s="27">
        <v>4</v>
      </c>
      <c r="Q53" s="27">
        <v>1</v>
      </c>
      <c r="R53" s="27">
        <v>0</v>
      </c>
      <c r="S53" s="27">
        <v>0</v>
      </c>
      <c r="T53" s="26">
        <v>5</v>
      </c>
    </row>
    <row r="54" spans="3:20">
      <c r="C54" s="8" t="s">
        <v>218</v>
      </c>
      <c r="D54" s="27">
        <v>1</v>
      </c>
      <c r="E54" s="27">
        <v>0</v>
      </c>
      <c r="F54" s="27">
        <v>0</v>
      </c>
      <c r="G54" s="27">
        <v>1</v>
      </c>
      <c r="H54" s="27">
        <v>0</v>
      </c>
      <c r="I54" s="27">
        <v>0</v>
      </c>
      <c r="J54" s="27">
        <v>1</v>
      </c>
      <c r="K54" s="27">
        <v>1</v>
      </c>
      <c r="L54" s="27">
        <v>1</v>
      </c>
      <c r="M54" s="27">
        <v>1</v>
      </c>
      <c r="N54" s="27">
        <v>0</v>
      </c>
      <c r="O54" s="27">
        <v>0</v>
      </c>
      <c r="P54" s="27">
        <v>4</v>
      </c>
      <c r="Q54" s="27">
        <v>1</v>
      </c>
      <c r="R54" s="27">
        <v>0</v>
      </c>
      <c r="S54" s="27">
        <v>0</v>
      </c>
      <c r="T54" s="26">
        <v>1</v>
      </c>
    </row>
    <row r="55" spans="3:20">
      <c r="C55" s="8" t="s">
        <v>219</v>
      </c>
      <c r="D55" s="27">
        <v>1</v>
      </c>
      <c r="E55" s="27">
        <v>0</v>
      </c>
      <c r="F55" s="27">
        <v>0</v>
      </c>
      <c r="G55" s="27">
        <v>1</v>
      </c>
      <c r="H55" s="27">
        <v>0</v>
      </c>
      <c r="I55" s="27">
        <v>0</v>
      </c>
      <c r="J55" s="27">
        <v>0</v>
      </c>
      <c r="K55" s="27">
        <v>1</v>
      </c>
      <c r="L55" s="27">
        <v>1</v>
      </c>
      <c r="M55" s="27">
        <v>1</v>
      </c>
      <c r="N55" s="27">
        <v>0</v>
      </c>
      <c r="O55" s="27">
        <v>0</v>
      </c>
      <c r="P55" s="27">
        <v>4</v>
      </c>
      <c r="Q55" s="27">
        <v>1</v>
      </c>
      <c r="R55" s="27">
        <v>0</v>
      </c>
      <c r="S55" s="27">
        <v>1</v>
      </c>
      <c r="T55" s="26">
        <v>1</v>
      </c>
    </row>
    <row r="56" spans="3:20">
      <c r="C56" s="8" t="s">
        <v>224</v>
      </c>
      <c r="D56" s="27">
        <v>0</v>
      </c>
      <c r="E56" s="27">
        <v>0</v>
      </c>
      <c r="F56" s="27">
        <v>1</v>
      </c>
      <c r="G56" s="27">
        <v>0</v>
      </c>
      <c r="H56" s="27">
        <v>0</v>
      </c>
      <c r="I56" s="27">
        <v>1</v>
      </c>
      <c r="J56" s="27">
        <v>1</v>
      </c>
      <c r="K56" s="27">
        <v>1</v>
      </c>
      <c r="L56" s="27">
        <v>1</v>
      </c>
      <c r="M56" s="27">
        <v>0</v>
      </c>
      <c r="N56" s="27">
        <v>0</v>
      </c>
      <c r="O56" s="27">
        <v>1</v>
      </c>
      <c r="P56" s="27">
        <v>0</v>
      </c>
      <c r="Q56" s="27">
        <v>1</v>
      </c>
      <c r="R56" s="27">
        <v>0</v>
      </c>
      <c r="S56" s="27">
        <v>0</v>
      </c>
      <c r="T56" s="26">
        <v>4</v>
      </c>
    </row>
    <row r="57" spans="3:20">
      <c r="C57" s="8" t="s">
        <v>226</v>
      </c>
      <c r="D57" s="27">
        <v>1</v>
      </c>
      <c r="E57" s="27">
        <v>0</v>
      </c>
      <c r="F57" s="27">
        <v>1</v>
      </c>
      <c r="G57" s="27">
        <v>1</v>
      </c>
      <c r="H57" s="27">
        <v>0</v>
      </c>
      <c r="I57" s="27">
        <v>1</v>
      </c>
      <c r="J57" s="27">
        <v>1</v>
      </c>
      <c r="K57" s="27">
        <v>0</v>
      </c>
      <c r="L57" s="27">
        <v>1</v>
      </c>
      <c r="M57" s="27">
        <v>1</v>
      </c>
      <c r="N57" s="27">
        <v>0</v>
      </c>
      <c r="O57" s="27">
        <v>0</v>
      </c>
      <c r="P57" s="27">
        <v>4</v>
      </c>
      <c r="Q57" s="27">
        <v>1</v>
      </c>
      <c r="R57" s="27">
        <v>0</v>
      </c>
      <c r="S57" s="27">
        <v>1</v>
      </c>
      <c r="T57" s="26">
        <v>1</v>
      </c>
    </row>
    <row r="58" spans="3:20">
      <c r="C58" s="8" t="s">
        <v>227</v>
      </c>
      <c r="D58" s="27">
        <v>1</v>
      </c>
      <c r="E58" s="27">
        <v>0</v>
      </c>
      <c r="F58" s="27">
        <v>0</v>
      </c>
      <c r="G58" s="27">
        <v>1</v>
      </c>
      <c r="H58" s="27">
        <v>0</v>
      </c>
      <c r="I58" s="27">
        <v>0</v>
      </c>
      <c r="J58" s="27">
        <v>1</v>
      </c>
      <c r="K58" s="27">
        <v>1</v>
      </c>
      <c r="L58" s="27">
        <v>1</v>
      </c>
      <c r="M58" s="27">
        <v>1</v>
      </c>
      <c r="N58" s="27">
        <v>0</v>
      </c>
      <c r="O58" s="27">
        <v>0</v>
      </c>
      <c r="P58" s="27">
        <v>4</v>
      </c>
      <c r="Q58" s="27">
        <v>1</v>
      </c>
      <c r="R58" s="27">
        <v>0</v>
      </c>
      <c r="S58" s="27">
        <v>1</v>
      </c>
      <c r="T58" s="26">
        <v>1</v>
      </c>
    </row>
    <row r="59" spans="3:20">
      <c r="C59" s="8" t="s">
        <v>229</v>
      </c>
      <c r="D59" s="27">
        <v>0</v>
      </c>
      <c r="E59" s="27">
        <v>0</v>
      </c>
      <c r="F59" s="27">
        <v>0</v>
      </c>
      <c r="G59" s="27">
        <v>1</v>
      </c>
      <c r="H59" s="27">
        <v>0</v>
      </c>
      <c r="I59" s="27">
        <v>1</v>
      </c>
      <c r="J59" s="27">
        <v>1</v>
      </c>
      <c r="K59" s="27">
        <v>1</v>
      </c>
      <c r="L59" s="27">
        <v>1</v>
      </c>
      <c r="M59" s="27">
        <v>1</v>
      </c>
      <c r="N59" s="27">
        <v>0</v>
      </c>
      <c r="O59" s="27">
        <v>1</v>
      </c>
      <c r="P59" s="27">
        <v>0</v>
      </c>
      <c r="Q59" s="27">
        <v>1</v>
      </c>
      <c r="R59" s="27">
        <v>0</v>
      </c>
      <c r="S59" s="27">
        <v>1</v>
      </c>
      <c r="T59" s="26">
        <v>1</v>
      </c>
    </row>
    <row r="60" spans="3:20">
      <c r="C60" s="8" t="s">
        <v>230</v>
      </c>
      <c r="D60" s="27">
        <v>1</v>
      </c>
      <c r="E60" s="27">
        <v>0</v>
      </c>
      <c r="F60" s="27">
        <v>0</v>
      </c>
      <c r="G60" s="27">
        <v>1</v>
      </c>
      <c r="H60" s="27">
        <v>0</v>
      </c>
      <c r="I60" s="27">
        <v>0</v>
      </c>
      <c r="J60" s="27">
        <v>1</v>
      </c>
      <c r="K60" s="27">
        <v>1</v>
      </c>
      <c r="L60" s="27">
        <v>1</v>
      </c>
      <c r="M60" s="27">
        <v>1</v>
      </c>
      <c r="N60" s="27">
        <v>0</v>
      </c>
      <c r="O60" s="27">
        <v>0</v>
      </c>
      <c r="P60" s="27">
        <v>4</v>
      </c>
      <c r="Q60" s="27">
        <v>1</v>
      </c>
      <c r="R60" s="27">
        <v>0</v>
      </c>
      <c r="S60" s="27">
        <v>1</v>
      </c>
      <c r="T60" s="26">
        <v>1</v>
      </c>
    </row>
    <row r="61" spans="3:20">
      <c r="C61" s="8" t="s">
        <v>231</v>
      </c>
      <c r="D61" s="27">
        <v>1</v>
      </c>
      <c r="E61" s="27">
        <v>0</v>
      </c>
      <c r="F61" s="27">
        <v>0</v>
      </c>
      <c r="G61" s="27">
        <v>1</v>
      </c>
      <c r="H61" s="27">
        <v>0</v>
      </c>
      <c r="I61" s="27">
        <v>0</v>
      </c>
      <c r="J61" s="27">
        <v>1</v>
      </c>
      <c r="K61" s="27">
        <v>1</v>
      </c>
      <c r="L61" s="27">
        <v>1</v>
      </c>
      <c r="M61" s="27">
        <v>1</v>
      </c>
      <c r="N61" s="27">
        <v>0</v>
      </c>
      <c r="O61" s="27">
        <v>0</v>
      </c>
      <c r="P61" s="27">
        <v>4</v>
      </c>
      <c r="Q61" s="27">
        <v>1</v>
      </c>
      <c r="R61" s="27">
        <v>1</v>
      </c>
      <c r="S61" s="27">
        <v>1</v>
      </c>
      <c r="T61" s="26">
        <v>1</v>
      </c>
    </row>
    <row r="62" spans="3:20">
      <c r="C62" s="8" t="s">
        <v>232</v>
      </c>
      <c r="D62" s="27">
        <v>1</v>
      </c>
      <c r="E62" s="27">
        <v>0</v>
      </c>
      <c r="F62" s="27">
        <v>0</v>
      </c>
      <c r="G62" s="27">
        <v>1</v>
      </c>
      <c r="H62" s="27">
        <v>0</v>
      </c>
      <c r="I62" s="27">
        <v>0</v>
      </c>
      <c r="J62" s="27">
        <v>1</v>
      </c>
      <c r="K62" s="27">
        <v>1</v>
      </c>
      <c r="L62" s="27">
        <v>1</v>
      </c>
      <c r="M62" s="27">
        <v>1</v>
      </c>
      <c r="N62" s="27">
        <v>0</v>
      </c>
      <c r="O62" s="27">
        <v>0</v>
      </c>
      <c r="P62" s="27">
        <v>4</v>
      </c>
      <c r="Q62" s="27">
        <v>1</v>
      </c>
      <c r="R62" s="27">
        <v>0</v>
      </c>
      <c r="S62" s="27">
        <v>1</v>
      </c>
      <c r="T62" s="26">
        <v>1</v>
      </c>
    </row>
    <row r="63" spans="3:20">
      <c r="C63" s="8" t="s">
        <v>235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1</v>
      </c>
      <c r="K63" s="27">
        <v>0</v>
      </c>
      <c r="L63" s="27">
        <v>0</v>
      </c>
      <c r="M63" s="27">
        <v>1</v>
      </c>
      <c r="N63" s="27">
        <v>1</v>
      </c>
      <c r="O63" s="27">
        <v>0</v>
      </c>
      <c r="P63" s="27">
        <v>8</v>
      </c>
      <c r="Q63" s="27">
        <v>1</v>
      </c>
      <c r="R63" s="27">
        <v>0</v>
      </c>
      <c r="S63" s="27">
        <v>0</v>
      </c>
      <c r="T63" s="26">
        <v>7</v>
      </c>
    </row>
    <row r="64" spans="3:20">
      <c r="C64" s="8" t="s">
        <v>236</v>
      </c>
      <c r="D64" s="27">
        <v>0</v>
      </c>
      <c r="E64" s="27">
        <v>0</v>
      </c>
      <c r="F64" s="27">
        <v>1</v>
      </c>
      <c r="G64" s="27">
        <v>0</v>
      </c>
      <c r="H64" s="27">
        <v>0</v>
      </c>
      <c r="I64" s="27">
        <v>1</v>
      </c>
      <c r="J64" s="27">
        <v>0</v>
      </c>
      <c r="K64" s="27">
        <v>1</v>
      </c>
      <c r="L64" s="27">
        <v>1</v>
      </c>
      <c r="M64" s="27">
        <v>0</v>
      </c>
      <c r="N64" s="27">
        <v>0</v>
      </c>
      <c r="O64" s="27">
        <v>1</v>
      </c>
      <c r="P64" s="27">
        <v>0</v>
      </c>
      <c r="Q64" s="27">
        <v>1</v>
      </c>
      <c r="R64" s="27">
        <v>0</v>
      </c>
      <c r="S64" s="27">
        <v>0</v>
      </c>
      <c r="T64" s="26">
        <v>4</v>
      </c>
    </row>
    <row r="65" spans="3:20">
      <c r="C65" s="8" t="s">
        <v>238</v>
      </c>
      <c r="D65" s="27">
        <v>1</v>
      </c>
      <c r="E65" s="27">
        <v>0</v>
      </c>
      <c r="F65" s="27">
        <v>0</v>
      </c>
      <c r="G65" s="27">
        <v>1</v>
      </c>
      <c r="H65" s="27">
        <v>0</v>
      </c>
      <c r="I65" s="27">
        <v>1</v>
      </c>
      <c r="J65" s="27">
        <v>1</v>
      </c>
      <c r="K65" s="27">
        <v>1</v>
      </c>
      <c r="L65" s="27">
        <v>1</v>
      </c>
      <c r="M65" s="27">
        <v>1</v>
      </c>
      <c r="N65" s="27">
        <v>0</v>
      </c>
      <c r="O65" s="27">
        <v>1</v>
      </c>
      <c r="P65" s="27">
        <v>2</v>
      </c>
      <c r="Q65" s="27">
        <v>1</v>
      </c>
      <c r="R65" s="27">
        <v>0</v>
      </c>
      <c r="S65" s="27">
        <v>1</v>
      </c>
      <c r="T65" s="26">
        <v>1</v>
      </c>
    </row>
    <row r="66" spans="3:20">
      <c r="C66" s="8" t="s">
        <v>243</v>
      </c>
      <c r="D66" s="27">
        <v>0</v>
      </c>
      <c r="E66" s="27">
        <v>0</v>
      </c>
      <c r="F66" s="27">
        <v>1</v>
      </c>
      <c r="G66" s="27">
        <v>0</v>
      </c>
      <c r="H66" s="27">
        <v>0</v>
      </c>
      <c r="I66" s="27">
        <v>0</v>
      </c>
      <c r="J66" s="27">
        <v>1</v>
      </c>
      <c r="K66" s="27">
        <v>1</v>
      </c>
      <c r="L66" s="27">
        <v>1</v>
      </c>
      <c r="M66" s="27">
        <v>1</v>
      </c>
      <c r="N66" s="27">
        <v>0</v>
      </c>
      <c r="O66" s="27">
        <v>0</v>
      </c>
      <c r="P66" s="27">
        <v>0</v>
      </c>
      <c r="Q66" s="27">
        <v>1</v>
      </c>
      <c r="R66" s="27">
        <v>0</v>
      </c>
      <c r="S66" s="27">
        <v>0</v>
      </c>
      <c r="T66" s="26">
        <v>3</v>
      </c>
    </row>
    <row r="67" spans="3:20">
      <c r="C67" s="8" t="s">
        <v>251</v>
      </c>
      <c r="D67" s="27">
        <v>0</v>
      </c>
      <c r="E67" s="27">
        <v>0</v>
      </c>
      <c r="F67" s="27">
        <v>1</v>
      </c>
      <c r="G67" s="27">
        <v>0</v>
      </c>
      <c r="H67" s="27">
        <v>0</v>
      </c>
      <c r="I67" s="27">
        <v>1</v>
      </c>
      <c r="J67" s="27">
        <v>0</v>
      </c>
      <c r="K67" s="27">
        <v>1</v>
      </c>
      <c r="L67" s="27">
        <v>1</v>
      </c>
      <c r="M67" s="27">
        <v>1</v>
      </c>
      <c r="N67" s="27">
        <v>0</v>
      </c>
      <c r="O67" s="27">
        <v>0</v>
      </c>
      <c r="P67" s="27">
        <v>4</v>
      </c>
      <c r="Q67" s="27">
        <v>0</v>
      </c>
      <c r="R67" s="27">
        <v>0</v>
      </c>
      <c r="S67" s="27">
        <v>0</v>
      </c>
      <c r="T67" s="26">
        <v>5</v>
      </c>
    </row>
    <row r="68" spans="3:20">
      <c r="C68" s="8" t="s">
        <v>252</v>
      </c>
      <c r="D68" s="27">
        <v>0</v>
      </c>
      <c r="E68" s="27">
        <v>0</v>
      </c>
      <c r="F68" s="27">
        <v>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1</v>
      </c>
      <c r="M68" s="27">
        <v>1</v>
      </c>
      <c r="N68" s="27">
        <v>0</v>
      </c>
      <c r="O68" s="27">
        <v>0</v>
      </c>
      <c r="P68" s="27">
        <v>4</v>
      </c>
      <c r="Q68" s="27">
        <v>1</v>
      </c>
      <c r="R68" s="27">
        <v>0</v>
      </c>
      <c r="S68" s="27">
        <v>1</v>
      </c>
      <c r="T68" s="26">
        <v>3</v>
      </c>
    </row>
    <row r="69" spans="3:20">
      <c r="C69" s="8" t="s">
        <v>253</v>
      </c>
      <c r="D69" s="27">
        <v>0</v>
      </c>
      <c r="E69" s="27">
        <v>0</v>
      </c>
      <c r="F69" s="27">
        <v>1</v>
      </c>
      <c r="G69" s="27">
        <v>0</v>
      </c>
      <c r="H69" s="27">
        <v>0</v>
      </c>
      <c r="I69" s="27">
        <v>0</v>
      </c>
      <c r="J69" s="27">
        <v>1</v>
      </c>
      <c r="K69" s="27">
        <v>1</v>
      </c>
      <c r="L69" s="27">
        <v>1</v>
      </c>
      <c r="M69" s="27">
        <v>1</v>
      </c>
      <c r="N69" s="27">
        <v>0</v>
      </c>
      <c r="O69" s="27">
        <v>0</v>
      </c>
      <c r="P69" s="27">
        <v>4</v>
      </c>
      <c r="Q69" s="27">
        <v>1</v>
      </c>
      <c r="R69" s="27">
        <v>0</v>
      </c>
      <c r="S69" s="27">
        <v>0</v>
      </c>
      <c r="T69" s="26">
        <v>3</v>
      </c>
    </row>
    <row r="70" spans="3:20">
      <c r="C70" s="8" t="s">
        <v>254</v>
      </c>
      <c r="D70" s="27">
        <v>0</v>
      </c>
      <c r="E70" s="27">
        <v>0</v>
      </c>
      <c r="F70" s="27">
        <v>1</v>
      </c>
      <c r="G70" s="27">
        <v>0</v>
      </c>
      <c r="H70" s="27">
        <v>0</v>
      </c>
      <c r="I70" s="27">
        <v>1</v>
      </c>
      <c r="J70" s="27">
        <v>1</v>
      </c>
      <c r="K70" s="27">
        <v>1</v>
      </c>
      <c r="L70" s="27">
        <v>1</v>
      </c>
      <c r="M70" s="27">
        <v>0</v>
      </c>
      <c r="N70" s="27">
        <v>0</v>
      </c>
      <c r="O70" s="27">
        <v>1</v>
      </c>
      <c r="P70" s="27">
        <v>0</v>
      </c>
      <c r="Q70" s="27">
        <v>1</v>
      </c>
      <c r="R70" s="27">
        <v>0</v>
      </c>
      <c r="S70" s="27">
        <v>1</v>
      </c>
      <c r="T70" s="26">
        <v>4</v>
      </c>
    </row>
    <row r="71" spans="3:20">
      <c r="C71" s="8" t="s">
        <v>258</v>
      </c>
      <c r="D71" s="27">
        <v>1</v>
      </c>
      <c r="E71" s="27">
        <v>0</v>
      </c>
      <c r="F71" s="27">
        <v>0</v>
      </c>
      <c r="G71" s="27">
        <v>1</v>
      </c>
      <c r="H71" s="27">
        <v>0</v>
      </c>
      <c r="I71" s="27">
        <v>0</v>
      </c>
      <c r="J71" s="27">
        <v>0</v>
      </c>
      <c r="K71" s="27">
        <v>1</v>
      </c>
      <c r="L71" s="27">
        <v>1</v>
      </c>
      <c r="M71" s="27">
        <v>1</v>
      </c>
      <c r="N71" s="27">
        <v>0</v>
      </c>
      <c r="O71" s="27">
        <v>0</v>
      </c>
      <c r="P71" s="27">
        <v>2</v>
      </c>
      <c r="Q71" s="27">
        <v>1</v>
      </c>
      <c r="R71" s="27">
        <v>0</v>
      </c>
      <c r="S71" s="27">
        <v>1</v>
      </c>
      <c r="T71" s="26">
        <v>1</v>
      </c>
    </row>
    <row r="72" spans="3:20">
      <c r="C72" s="8" t="s">
        <v>261</v>
      </c>
      <c r="D72" s="27">
        <v>0</v>
      </c>
      <c r="E72" s="27">
        <v>0</v>
      </c>
      <c r="F72" s="27">
        <v>1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1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6">
        <v>7</v>
      </c>
    </row>
    <row r="73" spans="3:20">
      <c r="C73" s="8" t="s">
        <v>262</v>
      </c>
      <c r="D73" s="27">
        <v>0</v>
      </c>
      <c r="E73" s="27">
        <v>1</v>
      </c>
      <c r="F73" s="27">
        <v>1</v>
      </c>
      <c r="G73" s="27">
        <v>0</v>
      </c>
      <c r="H73" s="27">
        <v>1</v>
      </c>
      <c r="I73" s="27">
        <v>0</v>
      </c>
      <c r="J73" s="27">
        <v>0</v>
      </c>
      <c r="K73" s="27">
        <v>0</v>
      </c>
      <c r="L73" s="27">
        <v>1</v>
      </c>
      <c r="M73" s="27">
        <v>1</v>
      </c>
      <c r="N73" s="27">
        <v>0</v>
      </c>
      <c r="O73" s="27">
        <v>0</v>
      </c>
      <c r="P73" s="27">
        <v>2</v>
      </c>
      <c r="Q73" s="27">
        <v>1</v>
      </c>
      <c r="R73" s="27">
        <v>0</v>
      </c>
      <c r="S73" s="27">
        <v>0</v>
      </c>
      <c r="T73" s="26">
        <v>2</v>
      </c>
    </row>
    <row r="74" spans="3:20">
      <c r="C74" s="8" t="s">
        <v>215</v>
      </c>
      <c r="D74" s="27">
        <v>1</v>
      </c>
      <c r="E74" s="27">
        <v>0</v>
      </c>
      <c r="F74" s="27">
        <v>0</v>
      </c>
      <c r="G74" s="27">
        <v>1</v>
      </c>
      <c r="H74" s="27">
        <v>0</v>
      </c>
      <c r="I74" s="27">
        <v>0</v>
      </c>
      <c r="J74" s="27">
        <v>1</v>
      </c>
      <c r="K74" s="27">
        <v>1</v>
      </c>
      <c r="L74" s="27">
        <v>1</v>
      </c>
      <c r="M74" s="27">
        <v>1</v>
      </c>
      <c r="N74" s="27">
        <v>0</v>
      </c>
      <c r="O74" s="27">
        <v>0</v>
      </c>
      <c r="P74" s="27">
        <v>4</v>
      </c>
      <c r="Q74" s="27">
        <v>1</v>
      </c>
      <c r="R74" s="27">
        <v>0</v>
      </c>
      <c r="S74" s="27">
        <v>1</v>
      </c>
      <c r="T74" s="26">
        <v>1</v>
      </c>
    </row>
    <row r="75" spans="3:20">
      <c r="C75" s="8" t="s">
        <v>203</v>
      </c>
      <c r="D75" s="27">
        <v>1</v>
      </c>
      <c r="E75" s="27">
        <v>0</v>
      </c>
      <c r="F75" s="27">
        <v>0</v>
      </c>
      <c r="G75" s="27">
        <v>1</v>
      </c>
      <c r="H75" s="27">
        <v>0</v>
      </c>
      <c r="I75" s="27">
        <v>0</v>
      </c>
      <c r="J75" s="27">
        <v>0</v>
      </c>
      <c r="K75" s="27">
        <v>1</v>
      </c>
      <c r="L75" s="27">
        <v>1</v>
      </c>
      <c r="M75" s="27">
        <v>1</v>
      </c>
      <c r="N75" s="27">
        <v>0</v>
      </c>
      <c r="O75" s="27">
        <v>0</v>
      </c>
      <c r="P75" s="27">
        <v>4</v>
      </c>
      <c r="Q75" s="27">
        <v>1</v>
      </c>
      <c r="R75" s="27">
        <v>0</v>
      </c>
      <c r="S75" s="27">
        <v>0</v>
      </c>
      <c r="T75" s="26">
        <v>1</v>
      </c>
    </row>
    <row r="76" spans="3:20">
      <c r="C76" s="8" t="s">
        <v>212</v>
      </c>
      <c r="D76" s="27">
        <v>1</v>
      </c>
      <c r="E76" s="27">
        <v>0</v>
      </c>
      <c r="F76" s="27">
        <v>0</v>
      </c>
      <c r="G76" s="27">
        <v>1</v>
      </c>
      <c r="H76" s="27">
        <v>0</v>
      </c>
      <c r="I76" s="27">
        <v>0</v>
      </c>
      <c r="J76" s="27">
        <v>1</v>
      </c>
      <c r="K76" s="27">
        <v>1</v>
      </c>
      <c r="L76" s="27">
        <v>1</v>
      </c>
      <c r="M76" s="27">
        <v>1</v>
      </c>
      <c r="N76" s="27">
        <v>0</v>
      </c>
      <c r="O76" s="27">
        <v>0</v>
      </c>
      <c r="P76" s="27">
        <v>4</v>
      </c>
      <c r="Q76" s="27">
        <v>1</v>
      </c>
      <c r="R76" s="27">
        <v>0</v>
      </c>
      <c r="S76" s="27">
        <v>1</v>
      </c>
      <c r="T76" s="26">
        <v>1</v>
      </c>
    </row>
    <row r="77" spans="3:20">
      <c r="C77" s="8" t="s">
        <v>259</v>
      </c>
      <c r="D77" s="27">
        <v>1</v>
      </c>
      <c r="E77" s="27">
        <v>0</v>
      </c>
      <c r="F77" s="27">
        <v>1</v>
      </c>
      <c r="G77" s="27">
        <v>0</v>
      </c>
      <c r="H77" s="27">
        <v>1</v>
      </c>
      <c r="I77" s="27">
        <v>0</v>
      </c>
      <c r="J77" s="27">
        <v>0</v>
      </c>
      <c r="K77" s="27">
        <v>0</v>
      </c>
      <c r="L77" s="27">
        <v>0</v>
      </c>
      <c r="M77" s="27">
        <v>1</v>
      </c>
      <c r="N77" s="27">
        <v>1</v>
      </c>
      <c r="O77" s="27">
        <v>0</v>
      </c>
      <c r="P77" s="27">
        <v>6</v>
      </c>
      <c r="Q77" s="27">
        <v>0</v>
      </c>
      <c r="R77" s="27">
        <v>0</v>
      </c>
      <c r="S77" s="27">
        <v>0</v>
      </c>
      <c r="T77" s="26">
        <v>6</v>
      </c>
    </row>
    <row r="78" spans="3:20">
      <c r="C78" s="8" t="s">
        <v>186</v>
      </c>
      <c r="D78" s="27">
        <v>1</v>
      </c>
      <c r="E78" s="27">
        <v>0</v>
      </c>
      <c r="F78" s="27">
        <v>0</v>
      </c>
      <c r="G78" s="27">
        <v>1</v>
      </c>
      <c r="H78" s="27">
        <v>0</v>
      </c>
      <c r="I78" s="27">
        <v>0</v>
      </c>
      <c r="J78" s="27">
        <v>0</v>
      </c>
      <c r="K78" s="27">
        <v>1</v>
      </c>
      <c r="L78" s="27">
        <v>1</v>
      </c>
      <c r="M78" s="27">
        <v>1</v>
      </c>
      <c r="N78" s="27">
        <v>0</v>
      </c>
      <c r="O78" s="27">
        <v>0</v>
      </c>
      <c r="P78" s="27">
        <v>4</v>
      </c>
      <c r="Q78" s="27">
        <v>1</v>
      </c>
      <c r="R78" s="27">
        <v>0</v>
      </c>
      <c r="S78" s="27">
        <v>1</v>
      </c>
      <c r="T78" s="26">
        <v>1</v>
      </c>
    </row>
    <row r="79" spans="3:20">
      <c r="C79" s="8" t="s">
        <v>250</v>
      </c>
      <c r="D79" s="27">
        <v>0</v>
      </c>
      <c r="E79" s="27">
        <v>0</v>
      </c>
      <c r="F79" s="27">
        <v>1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1</v>
      </c>
      <c r="N79" s="27">
        <v>0</v>
      </c>
      <c r="O79" s="27">
        <v>0</v>
      </c>
      <c r="P79" s="27">
        <v>6</v>
      </c>
      <c r="Q79" s="27">
        <v>0</v>
      </c>
      <c r="R79" s="27">
        <v>0</v>
      </c>
      <c r="S79" s="27">
        <v>0</v>
      </c>
      <c r="T79" s="26">
        <v>6</v>
      </c>
    </row>
    <row r="80" spans="3:20">
      <c r="C80" s="8" t="s">
        <v>248</v>
      </c>
      <c r="D80" s="27">
        <v>0</v>
      </c>
      <c r="E80" s="27">
        <v>0</v>
      </c>
      <c r="F80" s="27">
        <v>1</v>
      </c>
      <c r="G80" s="27">
        <v>0</v>
      </c>
      <c r="H80" s="27">
        <v>0</v>
      </c>
      <c r="I80" s="27">
        <v>1</v>
      </c>
      <c r="J80" s="27">
        <v>1</v>
      </c>
      <c r="K80" s="27">
        <v>1</v>
      </c>
      <c r="L80" s="27">
        <v>1</v>
      </c>
      <c r="M80" s="27">
        <v>0</v>
      </c>
      <c r="N80" s="27">
        <v>1</v>
      </c>
      <c r="O80" s="27">
        <v>1</v>
      </c>
      <c r="P80" s="27">
        <v>0</v>
      </c>
      <c r="Q80" s="27">
        <v>1</v>
      </c>
      <c r="R80" s="27">
        <v>0</v>
      </c>
      <c r="S80" s="27">
        <v>1</v>
      </c>
      <c r="T80" s="26">
        <v>4</v>
      </c>
    </row>
    <row r="81" spans="3:20">
      <c r="C81" s="8" t="s">
        <v>246</v>
      </c>
      <c r="D81" s="27">
        <v>0</v>
      </c>
      <c r="E81" s="27">
        <v>1</v>
      </c>
      <c r="F81" s="27">
        <v>1</v>
      </c>
      <c r="G81" s="27">
        <v>0</v>
      </c>
      <c r="H81" s="27">
        <v>1</v>
      </c>
      <c r="I81" s="27">
        <v>0</v>
      </c>
      <c r="J81" s="27">
        <v>0</v>
      </c>
      <c r="K81" s="27">
        <v>0</v>
      </c>
      <c r="L81" s="27">
        <v>1</v>
      </c>
      <c r="M81" s="27">
        <v>1</v>
      </c>
      <c r="N81" s="27">
        <v>0</v>
      </c>
      <c r="O81" s="27">
        <v>0</v>
      </c>
      <c r="P81" s="27">
        <v>2</v>
      </c>
      <c r="Q81" s="27">
        <v>1</v>
      </c>
      <c r="R81" s="27">
        <v>0</v>
      </c>
      <c r="S81" s="27">
        <v>0</v>
      </c>
      <c r="T81" s="26">
        <v>2</v>
      </c>
    </row>
    <row r="82" spans="3:20">
      <c r="C82" s="8" t="s">
        <v>182</v>
      </c>
      <c r="D82" s="27">
        <v>0</v>
      </c>
      <c r="E82" s="27">
        <v>0</v>
      </c>
      <c r="F82" s="27">
        <v>1</v>
      </c>
      <c r="G82" s="27">
        <v>0</v>
      </c>
      <c r="H82" s="27">
        <v>0</v>
      </c>
      <c r="I82" s="27">
        <v>0</v>
      </c>
      <c r="J82" s="27">
        <v>1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6">
        <v>7</v>
      </c>
    </row>
    <row r="83" spans="3:20">
      <c r="C83" s="8" t="s">
        <v>181</v>
      </c>
      <c r="D83" s="27">
        <v>0</v>
      </c>
      <c r="E83" s="27">
        <v>1</v>
      </c>
      <c r="F83" s="27">
        <v>1</v>
      </c>
      <c r="G83" s="27">
        <v>0</v>
      </c>
      <c r="H83" s="27">
        <v>1</v>
      </c>
      <c r="I83" s="27">
        <v>0</v>
      </c>
      <c r="J83" s="27">
        <v>0</v>
      </c>
      <c r="K83" s="27">
        <v>0</v>
      </c>
      <c r="L83" s="27">
        <v>1</v>
      </c>
      <c r="M83" s="27">
        <v>1</v>
      </c>
      <c r="N83" s="27">
        <v>0</v>
      </c>
      <c r="O83" s="27">
        <v>0</v>
      </c>
      <c r="P83" s="27">
        <v>2</v>
      </c>
      <c r="Q83" s="27">
        <v>1</v>
      </c>
      <c r="R83" s="27">
        <v>1</v>
      </c>
      <c r="S83" s="27">
        <v>0</v>
      </c>
      <c r="T83" s="26">
        <v>2</v>
      </c>
    </row>
    <row r="84" spans="3:20">
      <c r="C84" s="8" t="s">
        <v>211</v>
      </c>
      <c r="D84" s="27">
        <v>0</v>
      </c>
      <c r="E84" s="27">
        <v>0</v>
      </c>
      <c r="F84" s="27">
        <v>1</v>
      </c>
      <c r="G84" s="27">
        <v>0</v>
      </c>
      <c r="H84" s="27">
        <v>0</v>
      </c>
      <c r="I84" s="27">
        <v>1</v>
      </c>
      <c r="J84" s="27">
        <v>1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6</v>
      </c>
      <c r="Q84" s="27">
        <v>0</v>
      </c>
      <c r="R84" s="27">
        <v>0</v>
      </c>
      <c r="S84" s="27">
        <v>0</v>
      </c>
      <c r="T84" s="26">
        <v>7</v>
      </c>
    </row>
    <row r="85" spans="3:20">
      <c r="C85" s="8" t="s">
        <v>241</v>
      </c>
      <c r="D85" s="27">
        <v>0</v>
      </c>
      <c r="E85" s="27">
        <v>1</v>
      </c>
      <c r="F85" s="27">
        <v>1</v>
      </c>
      <c r="G85" s="27">
        <v>0</v>
      </c>
      <c r="H85" s="27">
        <v>1</v>
      </c>
      <c r="I85" s="27">
        <v>1</v>
      </c>
      <c r="J85" s="27">
        <v>1</v>
      </c>
      <c r="K85" s="27">
        <v>0</v>
      </c>
      <c r="L85" s="27">
        <v>1</v>
      </c>
      <c r="M85" s="27">
        <v>1</v>
      </c>
      <c r="N85" s="27">
        <v>0</v>
      </c>
      <c r="O85" s="27">
        <v>0</v>
      </c>
      <c r="P85" s="27">
        <v>2</v>
      </c>
      <c r="Q85" s="27">
        <v>1</v>
      </c>
      <c r="R85" s="27">
        <v>0</v>
      </c>
      <c r="S85" s="27">
        <v>0</v>
      </c>
      <c r="T85" s="26">
        <v>2</v>
      </c>
    </row>
    <row r="86" spans="3:20">
      <c r="C86" s="8" t="s">
        <v>194</v>
      </c>
      <c r="D86" s="27">
        <v>0</v>
      </c>
      <c r="E86" s="27">
        <v>0</v>
      </c>
      <c r="F86" s="27">
        <v>1</v>
      </c>
      <c r="G86" s="27">
        <v>0</v>
      </c>
      <c r="H86" s="27">
        <v>0</v>
      </c>
      <c r="I86" s="27">
        <v>1</v>
      </c>
      <c r="J86" s="27">
        <v>1</v>
      </c>
      <c r="K86" s="27">
        <v>1</v>
      </c>
      <c r="L86" s="27">
        <v>1</v>
      </c>
      <c r="M86" s="27">
        <v>1</v>
      </c>
      <c r="N86" s="27">
        <v>0</v>
      </c>
      <c r="O86" s="27">
        <v>0</v>
      </c>
      <c r="P86" s="27">
        <v>4</v>
      </c>
      <c r="Q86" s="27">
        <v>0</v>
      </c>
      <c r="R86" s="27">
        <v>0</v>
      </c>
      <c r="S86" s="27">
        <v>0</v>
      </c>
      <c r="T86" s="26">
        <v>5</v>
      </c>
    </row>
    <row r="87" spans="3:20">
      <c r="C87" s="8" t="s">
        <v>209</v>
      </c>
      <c r="D87" s="27">
        <v>0</v>
      </c>
      <c r="E87" s="27">
        <v>1</v>
      </c>
      <c r="F87" s="27">
        <v>1</v>
      </c>
      <c r="G87" s="27">
        <v>0</v>
      </c>
      <c r="H87" s="27">
        <v>1</v>
      </c>
      <c r="I87" s="27">
        <v>0</v>
      </c>
      <c r="J87" s="27">
        <v>0</v>
      </c>
      <c r="K87" s="27">
        <v>0</v>
      </c>
      <c r="L87" s="27">
        <v>1</v>
      </c>
      <c r="M87" s="27">
        <v>1</v>
      </c>
      <c r="N87" s="27">
        <v>0</v>
      </c>
      <c r="O87" s="27">
        <v>0</v>
      </c>
      <c r="P87" s="27">
        <v>2</v>
      </c>
      <c r="Q87" s="27">
        <v>1</v>
      </c>
      <c r="R87" s="27">
        <v>0</v>
      </c>
      <c r="S87" s="27">
        <v>0</v>
      </c>
      <c r="T87" s="26">
        <v>2</v>
      </c>
    </row>
    <row r="88" spans="3:20">
      <c r="C88" s="8" t="s">
        <v>240</v>
      </c>
      <c r="D88" s="27">
        <v>0</v>
      </c>
      <c r="E88" s="27">
        <v>0</v>
      </c>
      <c r="F88" s="27">
        <v>1</v>
      </c>
      <c r="G88" s="27">
        <v>0</v>
      </c>
      <c r="H88" s="27">
        <v>0</v>
      </c>
      <c r="I88" s="27">
        <v>1</v>
      </c>
      <c r="J88" s="27">
        <v>1</v>
      </c>
      <c r="K88" s="27">
        <v>0</v>
      </c>
      <c r="L88" s="27">
        <v>0</v>
      </c>
      <c r="M88" s="27">
        <v>0</v>
      </c>
      <c r="N88" s="27">
        <v>1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6">
        <v>7</v>
      </c>
    </row>
    <row r="89" spans="3:20">
      <c r="C89" s="8" t="s">
        <v>220</v>
      </c>
      <c r="D89" s="27">
        <v>0</v>
      </c>
      <c r="E89" s="27">
        <v>1</v>
      </c>
      <c r="F89" s="27">
        <v>1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1</v>
      </c>
      <c r="M89" s="27">
        <v>1</v>
      </c>
      <c r="N89" s="27">
        <v>0</v>
      </c>
      <c r="O89" s="27">
        <v>0</v>
      </c>
      <c r="P89" s="27">
        <v>2</v>
      </c>
      <c r="Q89" s="27">
        <v>1</v>
      </c>
      <c r="R89" s="27">
        <v>0</v>
      </c>
      <c r="S89" s="27">
        <v>1</v>
      </c>
      <c r="T89" s="26">
        <v>2</v>
      </c>
    </row>
    <row r="90" spans="3:20">
      <c r="C90" s="8" t="s">
        <v>225</v>
      </c>
      <c r="D90" s="27">
        <v>0</v>
      </c>
      <c r="E90" s="27">
        <v>0</v>
      </c>
      <c r="F90" s="27">
        <v>1</v>
      </c>
      <c r="G90" s="27">
        <v>0</v>
      </c>
      <c r="H90" s="27">
        <v>0</v>
      </c>
      <c r="I90" s="27">
        <v>0</v>
      </c>
      <c r="J90" s="27">
        <v>1</v>
      </c>
      <c r="K90" s="27">
        <v>1</v>
      </c>
      <c r="L90" s="27">
        <v>1</v>
      </c>
      <c r="M90" s="27">
        <v>1</v>
      </c>
      <c r="N90" s="27">
        <v>1</v>
      </c>
      <c r="O90" s="27">
        <v>0</v>
      </c>
      <c r="P90" s="27">
        <v>0</v>
      </c>
      <c r="Q90" s="27">
        <v>1</v>
      </c>
      <c r="R90" s="27">
        <v>0</v>
      </c>
      <c r="S90" s="27">
        <v>0</v>
      </c>
      <c r="T90" s="26">
        <v>3</v>
      </c>
    </row>
    <row r="91" spans="3:20">
      <c r="C91" s="8" t="s">
        <v>247</v>
      </c>
      <c r="D91" s="27">
        <v>1</v>
      </c>
      <c r="E91" s="27">
        <v>0</v>
      </c>
      <c r="F91" s="27">
        <v>0</v>
      </c>
      <c r="G91" s="27">
        <v>1</v>
      </c>
      <c r="H91" s="27">
        <v>0</v>
      </c>
      <c r="I91" s="27">
        <v>0</v>
      </c>
      <c r="J91" s="27">
        <v>0</v>
      </c>
      <c r="K91" s="27">
        <v>1</v>
      </c>
      <c r="L91" s="27">
        <v>1</v>
      </c>
      <c r="M91" s="27">
        <v>1</v>
      </c>
      <c r="N91" s="27">
        <v>0</v>
      </c>
      <c r="O91" s="27">
        <v>0</v>
      </c>
      <c r="P91" s="27">
        <v>2</v>
      </c>
      <c r="Q91" s="27">
        <v>1</v>
      </c>
      <c r="R91" s="27">
        <v>0</v>
      </c>
      <c r="S91" s="27">
        <v>0</v>
      </c>
      <c r="T91" s="26">
        <v>1</v>
      </c>
    </row>
    <row r="92" spans="3:20">
      <c r="C92" s="8" t="s">
        <v>223</v>
      </c>
      <c r="D92" s="27">
        <v>0</v>
      </c>
      <c r="E92" s="27">
        <v>0</v>
      </c>
      <c r="F92" s="27">
        <v>1</v>
      </c>
      <c r="G92" s="27">
        <v>0</v>
      </c>
      <c r="H92" s="27">
        <v>0</v>
      </c>
      <c r="I92" s="27">
        <v>1</v>
      </c>
      <c r="J92" s="27">
        <v>1</v>
      </c>
      <c r="K92" s="27">
        <v>1</v>
      </c>
      <c r="L92" s="27">
        <v>1</v>
      </c>
      <c r="M92" s="27">
        <v>0</v>
      </c>
      <c r="N92" s="27">
        <v>0</v>
      </c>
      <c r="O92" s="27">
        <v>1</v>
      </c>
      <c r="P92" s="27">
        <v>0</v>
      </c>
      <c r="Q92" s="27">
        <v>1</v>
      </c>
      <c r="R92" s="27">
        <v>0</v>
      </c>
      <c r="S92" s="27">
        <v>1</v>
      </c>
      <c r="T92" s="26">
        <v>4</v>
      </c>
    </row>
    <row r="93" spans="3:20">
      <c r="C93" s="8" t="s">
        <v>172</v>
      </c>
      <c r="D93" s="27">
        <v>0</v>
      </c>
      <c r="E93" s="27">
        <v>0</v>
      </c>
      <c r="F93" s="27">
        <v>1</v>
      </c>
      <c r="G93" s="27">
        <v>0</v>
      </c>
      <c r="H93" s="27">
        <v>0</v>
      </c>
      <c r="I93" s="27">
        <v>1</v>
      </c>
      <c r="J93" s="27">
        <v>1</v>
      </c>
      <c r="K93" s="27">
        <v>1</v>
      </c>
      <c r="L93" s="27">
        <v>1</v>
      </c>
      <c r="M93" s="27">
        <v>0</v>
      </c>
      <c r="N93" s="27">
        <v>0</v>
      </c>
      <c r="O93" s="27">
        <v>1</v>
      </c>
      <c r="P93" s="27">
        <v>0</v>
      </c>
      <c r="Q93" s="27">
        <v>1</v>
      </c>
      <c r="R93" s="27">
        <v>0</v>
      </c>
      <c r="S93" s="27">
        <v>0</v>
      </c>
      <c r="T93" s="26">
        <v>4</v>
      </c>
    </row>
    <row r="94" spans="3:20">
      <c r="C94" s="8" t="s">
        <v>183</v>
      </c>
      <c r="D94" s="27">
        <v>0</v>
      </c>
      <c r="E94" s="27">
        <v>0</v>
      </c>
      <c r="F94" s="27">
        <v>1</v>
      </c>
      <c r="G94" s="27">
        <v>0</v>
      </c>
      <c r="H94" s="27">
        <v>0</v>
      </c>
      <c r="I94" s="27">
        <v>1</v>
      </c>
      <c r="J94" s="27">
        <v>1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4</v>
      </c>
      <c r="Q94" s="27">
        <v>0</v>
      </c>
      <c r="R94" s="27">
        <v>0</v>
      </c>
      <c r="S94" s="27">
        <v>0</v>
      </c>
      <c r="T94" s="26">
        <v>7</v>
      </c>
    </row>
    <row r="95" spans="3:20">
      <c r="C95" s="8" t="s">
        <v>208</v>
      </c>
      <c r="D95" s="27">
        <v>0</v>
      </c>
      <c r="E95" s="27">
        <v>0</v>
      </c>
      <c r="F95" s="27">
        <v>1</v>
      </c>
      <c r="G95" s="27">
        <v>0</v>
      </c>
      <c r="H95" s="27">
        <v>1</v>
      </c>
      <c r="I95" s="27">
        <v>0</v>
      </c>
      <c r="J95" s="27">
        <v>1</v>
      </c>
      <c r="K95" s="27">
        <v>0</v>
      </c>
      <c r="L95" s="27">
        <v>0</v>
      </c>
      <c r="M95" s="27">
        <v>1</v>
      </c>
      <c r="N95" s="27">
        <v>0</v>
      </c>
      <c r="O95" s="27">
        <v>0</v>
      </c>
      <c r="P95" s="27">
        <v>6</v>
      </c>
      <c r="Q95" s="27">
        <v>0</v>
      </c>
      <c r="R95" s="27">
        <v>0</v>
      </c>
      <c r="S95" s="27">
        <v>0</v>
      </c>
      <c r="T95" s="26">
        <v>6</v>
      </c>
    </row>
    <row r="96" spans="3:20">
      <c r="C96" s="8" t="s">
        <v>201</v>
      </c>
      <c r="D96" s="27">
        <v>0</v>
      </c>
      <c r="E96" s="27">
        <v>0</v>
      </c>
      <c r="F96" s="27">
        <v>1</v>
      </c>
      <c r="G96" s="27">
        <v>0</v>
      </c>
      <c r="H96" s="27">
        <v>0</v>
      </c>
      <c r="I96" s="27">
        <v>1</v>
      </c>
      <c r="J96" s="27">
        <v>0</v>
      </c>
      <c r="K96" s="27">
        <v>1</v>
      </c>
      <c r="L96" s="27">
        <v>1</v>
      </c>
      <c r="M96" s="27">
        <v>0</v>
      </c>
      <c r="N96" s="27">
        <v>0</v>
      </c>
      <c r="O96" s="27">
        <v>1</v>
      </c>
      <c r="P96" s="27">
        <v>0</v>
      </c>
      <c r="Q96" s="27">
        <v>1</v>
      </c>
      <c r="R96" s="27">
        <v>0</v>
      </c>
      <c r="S96" s="27">
        <v>0</v>
      </c>
      <c r="T96" s="26">
        <v>4</v>
      </c>
    </row>
    <row r="97" spans="3:20">
      <c r="C97" s="8" t="s">
        <v>197</v>
      </c>
      <c r="D97" s="27">
        <v>1</v>
      </c>
      <c r="E97" s="27">
        <v>0</v>
      </c>
      <c r="F97" s="27">
        <v>0</v>
      </c>
      <c r="G97" s="27">
        <v>1</v>
      </c>
      <c r="H97" s="27">
        <v>0</v>
      </c>
      <c r="I97" s="27">
        <v>0</v>
      </c>
      <c r="J97" s="27">
        <v>0</v>
      </c>
      <c r="K97" s="27">
        <v>1</v>
      </c>
      <c r="L97" s="27">
        <v>1</v>
      </c>
      <c r="M97" s="27">
        <v>1</v>
      </c>
      <c r="N97" s="27">
        <v>0</v>
      </c>
      <c r="O97" s="27">
        <v>0</v>
      </c>
      <c r="P97" s="27">
        <v>4</v>
      </c>
      <c r="Q97" s="27">
        <v>1</v>
      </c>
      <c r="R97" s="27">
        <v>0</v>
      </c>
      <c r="S97" s="27">
        <v>1</v>
      </c>
      <c r="T97" s="26">
        <v>1</v>
      </c>
    </row>
    <row r="98" spans="3:20">
      <c r="C98" s="8" t="s">
        <v>184</v>
      </c>
      <c r="D98" s="27">
        <v>0</v>
      </c>
      <c r="E98" s="27">
        <v>0</v>
      </c>
      <c r="F98" s="27">
        <v>1</v>
      </c>
      <c r="G98" s="27">
        <v>0</v>
      </c>
      <c r="H98" s="27">
        <v>0</v>
      </c>
      <c r="I98" s="27">
        <v>1</v>
      </c>
      <c r="J98" s="27">
        <v>1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6</v>
      </c>
      <c r="Q98" s="27">
        <v>0</v>
      </c>
      <c r="R98" s="27">
        <v>0</v>
      </c>
      <c r="S98" s="27">
        <v>0</v>
      </c>
      <c r="T98" s="26">
        <v>7</v>
      </c>
    </row>
    <row r="99" spans="3:20">
      <c r="C99" s="8" t="s">
        <v>187</v>
      </c>
      <c r="D99" s="27">
        <v>0</v>
      </c>
      <c r="E99" s="27">
        <v>0</v>
      </c>
      <c r="F99" s="27">
        <v>1</v>
      </c>
      <c r="G99" s="27">
        <v>0</v>
      </c>
      <c r="H99" s="27">
        <v>0</v>
      </c>
      <c r="I99" s="27">
        <v>1</v>
      </c>
      <c r="J99" s="27">
        <v>1</v>
      </c>
      <c r="K99" s="27">
        <v>1</v>
      </c>
      <c r="L99" s="27">
        <v>1</v>
      </c>
      <c r="M99" s="27">
        <v>0</v>
      </c>
      <c r="N99" s="27">
        <v>0</v>
      </c>
      <c r="O99" s="27">
        <v>1</v>
      </c>
      <c r="P99" s="27">
        <v>0</v>
      </c>
      <c r="Q99" s="27">
        <v>1</v>
      </c>
      <c r="R99" s="27">
        <v>0</v>
      </c>
      <c r="S99" s="27">
        <v>1</v>
      </c>
      <c r="T99" s="26">
        <v>4</v>
      </c>
    </row>
    <row r="100" spans="3:20">
      <c r="C100" s="8" t="s">
        <v>242</v>
      </c>
      <c r="D100" s="27">
        <v>0</v>
      </c>
      <c r="E100" s="27">
        <v>1</v>
      </c>
      <c r="F100" s="27">
        <v>1</v>
      </c>
      <c r="G100" s="27">
        <v>0</v>
      </c>
      <c r="H100" s="27">
        <v>1</v>
      </c>
      <c r="I100" s="27">
        <v>1</v>
      </c>
      <c r="J100" s="27">
        <v>1</v>
      </c>
      <c r="K100" s="27">
        <v>0</v>
      </c>
      <c r="L100" s="27">
        <v>1</v>
      </c>
      <c r="M100" s="27">
        <v>1</v>
      </c>
      <c r="N100" s="27">
        <v>0</v>
      </c>
      <c r="O100" s="27">
        <v>0</v>
      </c>
      <c r="P100" s="27">
        <v>2</v>
      </c>
      <c r="Q100" s="27">
        <v>1</v>
      </c>
      <c r="R100" s="27">
        <v>0</v>
      </c>
      <c r="S100" s="27">
        <v>0</v>
      </c>
      <c r="T100" s="26">
        <v>2</v>
      </c>
    </row>
    <row r="101" spans="3:20">
      <c r="C101" s="8" t="s">
        <v>174</v>
      </c>
      <c r="D101" s="27">
        <v>1</v>
      </c>
      <c r="E101" s="27">
        <v>0</v>
      </c>
      <c r="F101" s="27">
        <v>0</v>
      </c>
      <c r="G101" s="27">
        <v>1</v>
      </c>
      <c r="H101" s="27">
        <v>0</v>
      </c>
      <c r="I101" s="27">
        <v>0</v>
      </c>
      <c r="J101" s="27">
        <v>1</v>
      </c>
      <c r="K101" s="27">
        <v>1</v>
      </c>
      <c r="L101" s="27">
        <v>1</v>
      </c>
      <c r="M101" s="27">
        <v>1</v>
      </c>
      <c r="N101" s="27">
        <v>0</v>
      </c>
      <c r="O101" s="27">
        <v>0</v>
      </c>
      <c r="P101" s="27">
        <v>4</v>
      </c>
      <c r="Q101" s="27">
        <v>1</v>
      </c>
      <c r="R101" s="27">
        <v>0</v>
      </c>
      <c r="S101" s="27">
        <v>1</v>
      </c>
      <c r="T101" s="26">
        <v>1</v>
      </c>
    </row>
    <row r="102" spans="3:20">
      <c r="C102" s="8" t="s">
        <v>213</v>
      </c>
      <c r="D102" s="27">
        <v>1</v>
      </c>
      <c r="E102" s="27">
        <v>0</v>
      </c>
      <c r="F102" s="27">
        <v>0</v>
      </c>
      <c r="G102" s="27">
        <v>1</v>
      </c>
      <c r="H102" s="27">
        <v>0</v>
      </c>
      <c r="I102" s="27">
        <v>1</v>
      </c>
      <c r="J102" s="27">
        <v>1</v>
      </c>
      <c r="K102" s="27">
        <v>1</v>
      </c>
      <c r="L102" s="27">
        <v>1</v>
      </c>
      <c r="M102" s="27">
        <v>1</v>
      </c>
      <c r="N102" s="27">
        <v>0</v>
      </c>
      <c r="O102" s="27">
        <v>0</v>
      </c>
      <c r="P102" s="27">
        <v>4</v>
      </c>
      <c r="Q102" s="27">
        <v>1</v>
      </c>
      <c r="R102" s="27">
        <v>0</v>
      </c>
      <c r="S102" s="27">
        <v>1</v>
      </c>
      <c r="T102" s="26">
        <v>1</v>
      </c>
    </row>
    <row r="103" spans="3:20">
      <c r="C103" s="8" t="s">
        <v>206</v>
      </c>
      <c r="D103" s="27">
        <v>1</v>
      </c>
      <c r="E103" s="27">
        <v>0</v>
      </c>
      <c r="F103" s="27">
        <v>1</v>
      </c>
      <c r="G103" s="27">
        <v>0</v>
      </c>
      <c r="H103" s="27">
        <v>1</v>
      </c>
      <c r="I103" s="27">
        <v>0</v>
      </c>
      <c r="J103" s="27">
        <v>0</v>
      </c>
      <c r="K103" s="27">
        <v>0</v>
      </c>
      <c r="L103" s="27">
        <v>0</v>
      </c>
      <c r="M103" s="27">
        <v>1</v>
      </c>
      <c r="N103" s="27">
        <v>1</v>
      </c>
      <c r="O103" s="27">
        <v>0</v>
      </c>
      <c r="P103" s="27">
        <v>6</v>
      </c>
      <c r="Q103" s="27">
        <v>0</v>
      </c>
      <c r="R103" s="27">
        <v>1</v>
      </c>
      <c r="S103" s="27">
        <v>0</v>
      </c>
      <c r="T103" s="26">
        <v>6</v>
      </c>
    </row>
    <row r="104" spans="3:20">
      <c r="C104" s="8" t="s">
        <v>180</v>
      </c>
      <c r="D104" s="27">
        <v>1</v>
      </c>
      <c r="E104" s="27">
        <v>0</v>
      </c>
      <c r="F104" s="27">
        <v>0</v>
      </c>
      <c r="G104" s="27">
        <v>1</v>
      </c>
      <c r="H104" s="27">
        <v>0</v>
      </c>
      <c r="I104" s="27">
        <v>0</v>
      </c>
      <c r="J104" s="27">
        <v>1</v>
      </c>
      <c r="K104" s="27">
        <v>1</v>
      </c>
      <c r="L104" s="27">
        <v>1</v>
      </c>
      <c r="M104" s="27">
        <v>1</v>
      </c>
      <c r="N104" s="27">
        <v>0</v>
      </c>
      <c r="O104" s="27">
        <v>0</v>
      </c>
      <c r="P104" s="27">
        <v>4</v>
      </c>
      <c r="Q104" s="27">
        <v>1</v>
      </c>
      <c r="R104" s="27">
        <v>0</v>
      </c>
      <c r="S104" s="27">
        <v>1</v>
      </c>
      <c r="T104" s="26">
        <v>1</v>
      </c>
    </row>
    <row r="105" spans="3:20">
      <c r="C105" s="8" t="s">
        <v>176</v>
      </c>
      <c r="D105" s="27">
        <v>1</v>
      </c>
      <c r="E105" s="27">
        <v>0</v>
      </c>
      <c r="F105" s="27">
        <v>0</v>
      </c>
      <c r="G105" s="27">
        <v>1</v>
      </c>
      <c r="H105" s="27">
        <v>0</v>
      </c>
      <c r="I105" s="27">
        <v>0</v>
      </c>
      <c r="J105" s="27">
        <v>0</v>
      </c>
      <c r="K105" s="27">
        <v>1</v>
      </c>
      <c r="L105" s="27">
        <v>1</v>
      </c>
      <c r="M105" s="27">
        <v>1</v>
      </c>
      <c r="N105" s="27">
        <v>0</v>
      </c>
      <c r="O105" s="27">
        <v>0</v>
      </c>
      <c r="P105" s="27">
        <v>4</v>
      </c>
      <c r="Q105" s="27">
        <v>1</v>
      </c>
      <c r="R105" s="27">
        <v>1</v>
      </c>
      <c r="S105" s="27">
        <v>1</v>
      </c>
      <c r="T105" s="26">
        <v>1</v>
      </c>
    </row>
    <row r="106" spans="3:20">
      <c r="C106" s="8" t="s">
        <v>234</v>
      </c>
      <c r="D106" s="27">
        <v>0</v>
      </c>
      <c r="E106" s="27">
        <v>1</v>
      </c>
      <c r="F106" s="27">
        <v>1</v>
      </c>
      <c r="G106" s="27">
        <v>0</v>
      </c>
      <c r="H106" s="27">
        <v>0</v>
      </c>
      <c r="I106" s="27">
        <v>0</v>
      </c>
      <c r="J106" s="27">
        <v>1</v>
      </c>
      <c r="K106" s="27">
        <v>0</v>
      </c>
      <c r="L106" s="27">
        <v>1</v>
      </c>
      <c r="M106" s="27">
        <v>1</v>
      </c>
      <c r="N106" s="27">
        <v>0</v>
      </c>
      <c r="O106" s="27">
        <v>0</v>
      </c>
      <c r="P106" s="27">
        <v>2</v>
      </c>
      <c r="Q106" s="27">
        <v>1</v>
      </c>
      <c r="R106" s="27">
        <v>0</v>
      </c>
      <c r="S106" s="27">
        <v>1</v>
      </c>
      <c r="T106" s="26">
        <v>2</v>
      </c>
    </row>
    <row r="107" spans="3:20">
      <c r="C107" s="8" t="s">
        <v>221</v>
      </c>
      <c r="D107" s="27">
        <v>0</v>
      </c>
      <c r="E107" s="27">
        <v>1</v>
      </c>
      <c r="F107" s="27">
        <v>1</v>
      </c>
      <c r="G107" s="27">
        <v>0</v>
      </c>
      <c r="H107" s="27">
        <v>1</v>
      </c>
      <c r="I107" s="27">
        <v>0</v>
      </c>
      <c r="J107" s="27">
        <v>0</v>
      </c>
      <c r="K107" s="27">
        <v>0</v>
      </c>
      <c r="L107" s="27">
        <v>1</v>
      </c>
      <c r="M107" s="27">
        <v>1</v>
      </c>
      <c r="N107" s="27">
        <v>0</v>
      </c>
      <c r="O107" s="27">
        <v>0</v>
      </c>
      <c r="P107" s="27">
        <v>2</v>
      </c>
      <c r="Q107" s="27">
        <v>1</v>
      </c>
      <c r="R107" s="27">
        <v>1</v>
      </c>
      <c r="S107" s="27">
        <v>0</v>
      </c>
      <c r="T107" s="26">
        <v>2</v>
      </c>
    </row>
    <row r="108" spans="3:20">
      <c r="C108" s="8" t="s">
        <v>239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1</v>
      </c>
      <c r="J108" s="27">
        <v>1</v>
      </c>
      <c r="K108" s="27">
        <v>1</v>
      </c>
      <c r="L108" s="27">
        <v>1</v>
      </c>
      <c r="M108" s="27">
        <v>0</v>
      </c>
      <c r="N108" s="27">
        <v>1</v>
      </c>
      <c r="O108" s="27">
        <v>0</v>
      </c>
      <c r="P108" s="27">
        <v>0</v>
      </c>
      <c r="Q108" s="27">
        <v>1</v>
      </c>
      <c r="R108" s="27">
        <v>0</v>
      </c>
      <c r="S108" s="27">
        <v>0</v>
      </c>
      <c r="T108" s="26">
        <v>3</v>
      </c>
    </row>
    <row r="109" spans="3:20">
      <c r="C109" s="8" t="s">
        <v>257</v>
      </c>
      <c r="D109" s="27">
        <v>0</v>
      </c>
      <c r="E109" s="27">
        <v>1</v>
      </c>
      <c r="F109" s="27">
        <v>1</v>
      </c>
      <c r="G109" s="27">
        <v>0</v>
      </c>
      <c r="H109" s="27">
        <v>1</v>
      </c>
      <c r="I109" s="27">
        <v>0</v>
      </c>
      <c r="J109" s="27">
        <v>1</v>
      </c>
      <c r="K109" s="27">
        <v>0</v>
      </c>
      <c r="L109" s="27">
        <v>1</v>
      </c>
      <c r="M109" s="27">
        <v>1</v>
      </c>
      <c r="N109" s="27">
        <v>0</v>
      </c>
      <c r="O109" s="27">
        <v>0</v>
      </c>
      <c r="P109" s="27">
        <v>2</v>
      </c>
      <c r="Q109" s="27">
        <v>1</v>
      </c>
      <c r="R109" s="27">
        <v>0</v>
      </c>
      <c r="S109" s="27">
        <v>1</v>
      </c>
      <c r="T109" s="26">
        <v>2</v>
      </c>
    </row>
    <row r="110" spans="3:20">
      <c r="C110" s="8" t="s">
        <v>214</v>
      </c>
      <c r="D110" s="27">
        <v>1</v>
      </c>
      <c r="E110" s="27">
        <v>0</v>
      </c>
      <c r="F110" s="27">
        <v>0</v>
      </c>
      <c r="G110" s="27">
        <v>1</v>
      </c>
      <c r="H110" s="27">
        <v>0</v>
      </c>
      <c r="I110" s="27">
        <v>0</v>
      </c>
      <c r="J110" s="27">
        <v>1</v>
      </c>
      <c r="K110" s="27">
        <v>1</v>
      </c>
      <c r="L110" s="27">
        <v>1</v>
      </c>
      <c r="M110" s="27">
        <v>1</v>
      </c>
      <c r="N110" s="27">
        <v>0</v>
      </c>
      <c r="O110" s="27">
        <v>0</v>
      </c>
      <c r="P110" s="27">
        <v>4</v>
      </c>
      <c r="Q110" s="27">
        <v>1</v>
      </c>
      <c r="R110" s="27">
        <v>0</v>
      </c>
      <c r="S110" s="27">
        <v>0</v>
      </c>
      <c r="T110" s="26">
        <v>1</v>
      </c>
    </row>
    <row r="111" spans="3:20">
      <c r="C111" s="8" t="s">
        <v>173</v>
      </c>
      <c r="D111" s="27">
        <v>1</v>
      </c>
      <c r="E111" s="27">
        <v>0</v>
      </c>
      <c r="F111" s="27">
        <v>0</v>
      </c>
      <c r="G111" s="27">
        <v>1</v>
      </c>
      <c r="H111" s="27">
        <v>0</v>
      </c>
      <c r="I111" s="27">
        <v>0</v>
      </c>
      <c r="J111" s="27">
        <v>1</v>
      </c>
      <c r="K111" s="27">
        <v>1</v>
      </c>
      <c r="L111" s="27">
        <v>1</v>
      </c>
      <c r="M111" s="27">
        <v>1</v>
      </c>
      <c r="N111" s="27">
        <v>0</v>
      </c>
      <c r="O111" s="27">
        <v>0</v>
      </c>
      <c r="P111" s="27">
        <v>4</v>
      </c>
      <c r="Q111" s="27">
        <v>0</v>
      </c>
      <c r="R111" s="27">
        <v>0</v>
      </c>
      <c r="S111" s="27">
        <v>1</v>
      </c>
      <c r="T111" s="26">
        <v>1</v>
      </c>
    </row>
    <row r="112" spans="3:20">
      <c r="C112" s="8" t="s">
        <v>189</v>
      </c>
      <c r="D112" s="27">
        <v>0</v>
      </c>
      <c r="E112" s="27">
        <v>1</v>
      </c>
      <c r="F112" s="27">
        <v>1</v>
      </c>
      <c r="G112" s="27">
        <v>0</v>
      </c>
      <c r="H112" s="27">
        <v>1</v>
      </c>
      <c r="I112" s="27">
        <v>0</v>
      </c>
      <c r="J112" s="27">
        <v>0</v>
      </c>
      <c r="K112" s="27">
        <v>0</v>
      </c>
      <c r="L112" s="27">
        <v>1</v>
      </c>
      <c r="M112" s="27">
        <v>1</v>
      </c>
      <c r="N112" s="27">
        <v>0</v>
      </c>
      <c r="O112" s="27">
        <v>0</v>
      </c>
      <c r="P112" s="27">
        <v>2</v>
      </c>
      <c r="Q112" s="27">
        <v>1</v>
      </c>
      <c r="R112" s="27">
        <v>1</v>
      </c>
      <c r="S112" s="27">
        <v>0</v>
      </c>
      <c r="T112" s="26">
        <v>2</v>
      </c>
    </row>
    <row r="113" spans="3:20">
      <c r="C113" s="8" t="s">
        <v>244</v>
      </c>
      <c r="D113" s="27">
        <v>0</v>
      </c>
      <c r="E113" s="27">
        <v>0</v>
      </c>
      <c r="F113" s="27">
        <v>1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1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6">
        <v>7</v>
      </c>
    </row>
    <row r="114" spans="3:20">
      <c r="C114" s="8" t="s">
        <v>228</v>
      </c>
      <c r="D114" s="27">
        <v>1</v>
      </c>
      <c r="E114" s="27">
        <v>0</v>
      </c>
      <c r="F114" s="27">
        <v>0</v>
      </c>
      <c r="G114" s="27">
        <v>1</v>
      </c>
      <c r="H114" s="27">
        <v>0</v>
      </c>
      <c r="I114" s="27">
        <v>0</v>
      </c>
      <c r="J114" s="27">
        <v>0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4</v>
      </c>
      <c r="Q114" s="27">
        <v>1</v>
      </c>
      <c r="R114" s="27">
        <v>1</v>
      </c>
      <c r="S114" s="27">
        <v>1</v>
      </c>
      <c r="T114" s="26">
        <v>1</v>
      </c>
    </row>
    <row r="115" spans="3:20">
      <c r="C115" s="8" t="s">
        <v>233</v>
      </c>
      <c r="D115" s="27">
        <v>1</v>
      </c>
      <c r="E115" s="27">
        <v>0</v>
      </c>
      <c r="F115" s="27">
        <v>0</v>
      </c>
      <c r="G115" s="27">
        <v>1</v>
      </c>
      <c r="H115" s="27">
        <v>0</v>
      </c>
      <c r="I115" s="27">
        <v>0</v>
      </c>
      <c r="J115" s="27">
        <v>0</v>
      </c>
      <c r="K115" s="27">
        <v>1</v>
      </c>
      <c r="L115" s="27">
        <v>1</v>
      </c>
      <c r="M115" s="27">
        <v>1</v>
      </c>
      <c r="N115" s="27">
        <v>0</v>
      </c>
      <c r="O115" s="27">
        <v>0</v>
      </c>
      <c r="P115" s="27">
        <v>4</v>
      </c>
      <c r="Q115" s="27">
        <v>1</v>
      </c>
      <c r="R115" s="27">
        <v>1</v>
      </c>
      <c r="S115" s="27">
        <v>1</v>
      </c>
      <c r="T115" s="26">
        <v>1</v>
      </c>
    </row>
    <row r="116" spans="3:20">
      <c r="C116" s="8" t="s">
        <v>177</v>
      </c>
      <c r="D116" s="27">
        <v>0</v>
      </c>
      <c r="E116" s="27">
        <v>0</v>
      </c>
      <c r="F116" s="27">
        <v>1</v>
      </c>
      <c r="G116" s="27">
        <v>0</v>
      </c>
      <c r="H116" s="27">
        <v>0</v>
      </c>
      <c r="I116" s="27">
        <v>1</v>
      </c>
      <c r="J116" s="27">
        <v>0</v>
      </c>
      <c r="K116" s="27">
        <v>1</v>
      </c>
      <c r="L116" s="27">
        <v>1</v>
      </c>
      <c r="M116" s="27">
        <v>0</v>
      </c>
      <c r="N116" s="27">
        <v>0</v>
      </c>
      <c r="O116" s="27">
        <v>1</v>
      </c>
      <c r="P116" s="27">
        <v>0</v>
      </c>
      <c r="Q116" s="27">
        <v>1</v>
      </c>
      <c r="R116" s="27">
        <v>1</v>
      </c>
      <c r="S116" s="27">
        <v>0</v>
      </c>
      <c r="T116" s="26">
        <v>4</v>
      </c>
    </row>
    <row r="117" spans="3:20">
      <c r="C117" s="8" t="s">
        <v>256</v>
      </c>
      <c r="D117" s="27">
        <v>1</v>
      </c>
      <c r="E117" s="27">
        <v>0</v>
      </c>
      <c r="F117" s="27">
        <v>0</v>
      </c>
      <c r="G117" s="27">
        <v>1</v>
      </c>
      <c r="H117" s="27">
        <v>0</v>
      </c>
      <c r="I117" s="27">
        <v>0</v>
      </c>
      <c r="J117" s="27">
        <v>0</v>
      </c>
      <c r="K117" s="27">
        <v>1</v>
      </c>
      <c r="L117" s="27">
        <v>1</v>
      </c>
      <c r="M117" s="27">
        <v>1</v>
      </c>
      <c r="N117" s="27">
        <v>0</v>
      </c>
      <c r="O117" s="27">
        <v>0</v>
      </c>
      <c r="P117" s="27">
        <v>4</v>
      </c>
      <c r="Q117" s="27">
        <v>1</v>
      </c>
      <c r="R117" s="27">
        <v>0</v>
      </c>
      <c r="S117" s="27">
        <v>0</v>
      </c>
      <c r="T117" s="26">
        <v>1</v>
      </c>
    </row>
    <row r="118" spans="3:20">
      <c r="C118" s="8" t="s">
        <v>200</v>
      </c>
      <c r="D118" s="27">
        <v>0</v>
      </c>
      <c r="E118" s="27">
        <v>1</v>
      </c>
      <c r="F118" s="27">
        <v>1</v>
      </c>
      <c r="G118" s="27">
        <v>0</v>
      </c>
      <c r="H118" s="27">
        <v>1</v>
      </c>
      <c r="I118" s="27">
        <v>1</v>
      </c>
      <c r="J118" s="27">
        <v>1</v>
      </c>
      <c r="K118" s="27">
        <v>0</v>
      </c>
      <c r="L118" s="27">
        <v>1</v>
      </c>
      <c r="M118" s="27">
        <v>1</v>
      </c>
      <c r="N118" s="27">
        <v>0</v>
      </c>
      <c r="O118" s="27">
        <v>0</v>
      </c>
      <c r="P118" s="27">
        <v>2</v>
      </c>
      <c r="Q118" s="27">
        <v>1</v>
      </c>
      <c r="R118" s="27">
        <v>0</v>
      </c>
      <c r="S118" s="27">
        <v>0</v>
      </c>
      <c r="T118" s="26">
        <v>2</v>
      </c>
    </row>
    <row r="119" spans="3:20">
      <c r="C119" s="8" t="s">
        <v>237</v>
      </c>
      <c r="D119" s="27">
        <v>1</v>
      </c>
      <c r="E119" s="27">
        <v>0</v>
      </c>
      <c r="F119" s="27">
        <v>0</v>
      </c>
      <c r="G119" s="27">
        <v>1</v>
      </c>
      <c r="H119" s="27">
        <v>0</v>
      </c>
      <c r="I119" s="27">
        <v>1</v>
      </c>
      <c r="J119" s="27">
        <v>1</v>
      </c>
      <c r="K119" s="27">
        <v>1</v>
      </c>
      <c r="L119" s="27">
        <v>1</v>
      </c>
      <c r="M119" s="27">
        <v>1</v>
      </c>
      <c r="N119" s="27">
        <v>0</v>
      </c>
      <c r="O119" s="27">
        <v>1</v>
      </c>
      <c r="P119" s="27">
        <v>0</v>
      </c>
      <c r="Q119" s="27">
        <v>0</v>
      </c>
      <c r="R119" s="27">
        <v>0</v>
      </c>
      <c r="S119" s="27">
        <v>1</v>
      </c>
      <c r="T119" s="26">
        <v>1</v>
      </c>
    </row>
    <row r="120" spans="3:20">
      <c r="C120" s="8" t="s">
        <v>255</v>
      </c>
      <c r="D120" s="27">
        <v>1</v>
      </c>
      <c r="E120" s="27">
        <v>0</v>
      </c>
      <c r="F120" s="27">
        <v>0</v>
      </c>
      <c r="G120" s="27">
        <v>1</v>
      </c>
      <c r="H120" s="27">
        <v>1</v>
      </c>
      <c r="I120" s="27">
        <v>0</v>
      </c>
      <c r="J120" s="27">
        <v>0</v>
      </c>
      <c r="K120" s="27">
        <v>1</v>
      </c>
      <c r="L120" s="27">
        <v>1</v>
      </c>
      <c r="M120" s="27">
        <v>1</v>
      </c>
      <c r="N120" s="27">
        <v>0</v>
      </c>
      <c r="O120" s="27">
        <v>0</v>
      </c>
      <c r="P120" s="27">
        <v>2</v>
      </c>
      <c r="Q120" s="27">
        <v>1</v>
      </c>
      <c r="R120" s="27">
        <v>0</v>
      </c>
      <c r="S120" s="27">
        <v>0</v>
      </c>
      <c r="T120" s="26">
        <v>1</v>
      </c>
    </row>
    <row r="121" spans="3:20">
      <c r="C121" s="8" t="s">
        <v>245</v>
      </c>
      <c r="D121" s="27">
        <v>0</v>
      </c>
      <c r="E121" s="27">
        <v>0</v>
      </c>
      <c r="F121" s="27">
        <v>1</v>
      </c>
      <c r="G121" s="27">
        <v>0</v>
      </c>
      <c r="H121" s="27">
        <v>0</v>
      </c>
      <c r="I121" s="27">
        <v>1</v>
      </c>
      <c r="J121" s="27">
        <v>0</v>
      </c>
      <c r="K121" s="27">
        <v>1</v>
      </c>
      <c r="L121" s="27">
        <v>1</v>
      </c>
      <c r="M121" s="27">
        <v>0</v>
      </c>
      <c r="N121" s="27">
        <v>0</v>
      </c>
      <c r="O121" s="27">
        <v>1</v>
      </c>
      <c r="P121" s="27">
        <v>0</v>
      </c>
      <c r="Q121" s="27">
        <v>1</v>
      </c>
      <c r="R121" s="27">
        <v>0</v>
      </c>
      <c r="S121" s="27">
        <v>0</v>
      </c>
      <c r="T121" s="26">
        <v>4</v>
      </c>
    </row>
    <row r="122" spans="3:20">
      <c r="C122" s="8" t="s">
        <v>222</v>
      </c>
      <c r="D122" s="27">
        <v>0</v>
      </c>
      <c r="E122" s="27">
        <v>1</v>
      </c>
      <c r="F122" s="27">
        <v>1</v>
      </c>
      <c r="G122" s="27">
        <v>0</v>
      </c>
      <c r="H122" s="27">
        <v>1</v>
      </c>
      <c r="I122" s="27">
        <v>0</v>
      </c>
      <c r="J122" s="27">
        <v>0</v>
      </c>
      <c r="K122" s="27">
        <v>0</v>
      </c>
      <c r="L122" s="27">
        <v>1</v>
      </c>
      <c r="M122" s="27">
        <v>1</v>
      </c>
      <c r="N122" s="27">
        <v>0</v>
      </c>
      <c r="O122" s="27">
        <v>0</v>
      </c>
      <c r="P122" s="27">
        <v>2</v>
      </c>
      <c r="Q122" s="27">
        <v>1</v>
      </c>
      <c r="R122" s="27">
        <v>0</v>
      </c>
      <c r="S122" s="27">
        <v>0</v>
      </c>
      <c r="T122" s="26">
        <v>2</v>
      </c>
    </row>
    <row r="123" spans="3:20">
      <c r="C123" s="8" t="s">
        <v>210</v>
      </c>
      <c r="D123" s="27">
        <v>1</v>
      </c>
      <c r="E123" s="27">
        <v>0</v>
      </c>
      <c r="F123" s="27">
        <v>0</v>
      </c>
      <c r="G123" s="27">
        <v>1</v>
      </c>
      <c r="H123" s="27">
        <v>0</v>
      </c>
      <c r="I123" s="27">
        <v>0</v>
      </c>
      <c r="J123" s="27">
        <v>1</v>
      </c>
      <c r="K123" s="27">
        <v>1</v>
      </c>
      <c r="L123" s="27">
        <v>1</v>
      </c>
      <c r="M123" s="27">
        <v>1</v>
      </c>
      <c r="N123" s="27">
        <v>0</v>
      </c>
      <c r="O123" s="27">
        <v>0</v>
      </c>
      <c r="P123" s="27">
        <v>4</v>
      </c>
      <c r="Q123" s="27">
        <v>1</v>
      </c>
      <c r="R123" s="27">
        <v>0</v>
      </c>
      <c r="S123" s="27">
        <v>1</v>
      </c>
      <c r="T123" s="26">
        <v>1</v>
      </c>
    </row>
    <row r="124" spans="3:20">
      <c r="C124" s="8" t="s">
        <v>263</v>
      </c>
      <c r="D124" s="27">
        <v>0</v>
      </c>
      <c r="E124" s="27">
        <v>0</v>
      </c>
      <c r="F124" s="27">
        <v>1</v>
      </c>
      <c r="G124" s="27">
        <v>0</v>
      </c>
      <c r="H124" s="27">
        <v>0</v>
      </c>
      <c r="I124" s="27">
        <v>1</v>
      </c>
      <c r="J124" s="27">
        <v>1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8</v>
      </c>
      <c r="Q124" s="27">
        <v>0</v>
      </c>
      <c r="R124" s="27">
        <v>0</v>
      </c>
      <c r="S124" s="27">
        <v>1</v>
      </c>
      <c r="T124" s="26">
        <v>7</v>
      </c>
    </row>
    <row r="125" spans="3:20">
      <c r="C125" s="8" t="s">
        <v>216</v>
      </c>
      <c r="D125" s="27">
        <v>1</v>
      </c>
      <c r="E125" s="27">
        <v>0</v>
      </c>
      <c r="F125" s="27">
        <v>1</v>
      </c>
      <c r="G125" s="27">
        <v>0</v>
      </c>
      <c r="H125" s="27">
        <v>1</v>
      </c>
      <c r="I125" s="27">
        <v>0</v>
      </c>
      <c r="J125" s="27">
        <v>0</v>
      </c>
      <c r="K125" s="27">
        <v>0</v>
      </c>
      <c r="L125" s="27">
        <v>0</v>
      </c>
      <c r="M125" s="27">
        <v>1</v>
      </c>
      <c r="N125" s="27">
        <v>0</v>
      </c>
      <c r="O125" s="27">
        <v>0</v>
      </c>
      <c r="P125" s="27">
        <v>6</v>
      </c>
      <c r="Q125" s="27">
        <v>0</v>
      </c>
      <c r="R125" s="27">
        <v>0</v>
      </c>
      <c r="S125" s="27">
        <v>0</v>
      </c>
      <c r="T125" s="26">
        <v>6</v>
      </c>
    </row>
    <row r="126" spans="3:20">
      <c r="C126" s="8" t="s">
        <v>179</v>
      </c>
      <c r="D126" s="27">
        <v>1</v>
      </c>
      <c r="E126" s="27">
        <v>0</v>
      </c>
      <c r="F126" s="27">
        <v>0</v>
      </c>
      <c r="G126" s="27">
        <v>1</v>
      </c>
      <c r="H126" s="27">
        <v>0</v>
      </c>
      <c r="I126" s="27">
        <v>0</v>
      </c>
      <c r="J126" s="27">
        <v>0</v>
      </c>
      <c r="K126" s="27">
        <v>1</v>
      </c>
      <c r="L126" s="27">
        <v>1</v>
      </c>
      <c r="M126" s="27">
        <v>1</v>
      </c>
      <c r="N126" s="27">
        <v>0</v>
      </c>
      <c r="O126" s="27">
        <v>0</v>
      </c>
      <c r="P126" s="27">
        <v>4</v>
      </c>
      <c r="Q126" s="27">
        <v>0</v>
      </c>
      <c r="R126" s="27">
        <v>1</v>
      </c>
      <c r="S126" s="27">
        <v>0</v>
      </c>
      <c r="T126" s="26">
        <v>1</v>
      </c>
    </row>
    <row r="127" spans="3:20">
      <c r="C127" s="8" t="s">
        <v>260</v>
      </c>
      <c r="D127" s="27">
        <v>1</v>
      </c>
      <c r="E127" s="27">
        <v>0</v>
      </c>
      <c r="F127" s="27">
        <v>0</v>
      </c>
      <c r="G127" s="27">
        <v>1</v>
      </c>
      <c r="H127" s="27">
        <v>0</v>
      </c>
      <c r="I127" s="27">
        <v>0</v>
      </c>
      <c r="J127" s="27">
        <v>1</v>
      </c>
      <c r="K127" s="27">
        <v>1</v>
      </c>
      <c r="L127" s="27">
        <v>1</v>
      </c>
      <c r="M127" s="27">
        <v>1</v>
      </c>
      <c r="N127" s="27">
        <v>0</v>
      </c>
      <c r="O127" s="27">
        <v>0</v>
      </c>
      <c r="P127" s="27">
        <v>4</v>
      </c>
      <c r="Q127" s="27">
        <v>1</v>
      </c>
      <c r="R127" s="27">
        <v>0</v>
      </c>
      <c r="S127" s="27">
        <v>1</v>
      </c>
      <c r="T127" s="26">
        <v>1</v>
      </c>
    </row>
    <row r="128" spans="3:20">
      <c r="C128" s="8" t="s">
        <v>249</v>
      </c>
      <c r="D128" s="27">
        <v>0</v>
      </c>
      <c r="E128" s="27">
        <v>1</v>
      </c>
      <c r="F128" s="27">
        <v>1</v>
      </c>
      <c r="G128" s="27">
        <v>0</v>
      </c>
      <c r="H128" s="27">
        <v>1</v>
      </c>
      <c r="I128" s="27">
        <v>1</v>
      </c>
      <c r="J128" s="27">
        <v>0</v>
      </c>
      <c r="K128" s="27">
        <v>0</v>
      </c>
      <c r="L128" s="27">
        <v>1</v>
      </c>
      <c r="M128" s="27">
        <v>1</v>
      </c>
      <c r="N128" s="27">
        <v>0</v>
      </c>
      <c r="O128" s="27">
        <v>0</v>
      </c>
      <c r="P128" s="27">
        <v>2</v>
      </c>
      <c r="Q128" s="27">
        <v>1</v>
      </c>
      <c r="R128" s="27">
        <v>0</v>
      </c>
      <c r="S128" s="27">
        <v>1</v>
      </c>
      <c r="T128" s="26">
        <v>2</v>
      </c>
    </row>
    <row r="129" spans="3:20">
      <c r="C129" s="8" t="s">
        <v>204</v>
      </c>
      <c r="D129" s="27">
        <v>0</v>
      </c>
      <c r="E129" s="27">
        <v>1</v>
      </c>
      <c r="F129" s="27">
        <v>1</v>
      </c>
      <c r="G129" s="27">
        <v>0</v>
      </c>
      <c r="H129" s="27">
        <v>1</v>
      </c>
      <c r="I129" s="27">
        <v>0</v>
      </c>
      <c r="J129" s="27">
        <v>1</v>
      </c>
      <c r="K129" s="27">
        <v>0</v>
      </c>
      <c r="L129" s="27">
        <v>1</v>
      </c>
      <c r="M129" s="27">
        <v>1</v>
      </c>
      <c r="N129" s="27">
        <v>0</v>
      </c>
      <c r="O129" s="27">
        <v>0</v>
      </c>
      <c r="P129" s="27">
        <v>2</v>
      </c>
      <c r="Q129" s="27">
        <v>1</v>
      </c>
      <c r="R129" s="27">
        <v>0</v>
      </c>
      <c r="S129" s="27">
        <v>0</v>
      </c>
      <c r="T129" s="26">
        <v>2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V18"/>
    <mergeCell ref="C19:E19"/>
    <mergeCell ref="C20:E20"/>
    <mergeCell ref="F19:V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1'!$B$10:$B$10" display="Inputs" xr:uid="{37CCE7AF-B5F9-4451-B4D4-2632698F93AB}"/>
    <hyperlink ref="D4" location="'STDPartition1'!$B$28:$B$28" display="Partition Summary" xr:uid="{9D8D786A-8E35-4BA3-9E5B-26055F0F275F}"/>
    <hyperlink ref="F4" location="'STDPartition1'!$B$34:$B$34" display="Partitioned Data" xr:uid="{AE717EEF-4931-48C3-97FD-1D986E097638}"/>
  </hyperlink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1B97-F5CC-439A-A3C4-3385A8247114}">
  <dimension ref="B1:CV39"/>
  <sheetViews>
    <sheetView showGridLines="0" topLeftCell="A20" workbookViewId="0"/>
  </sheetViews>
  <sheetFormatPr defaultRowHeight="13.2"/>
  <cols>
    <col min="12" max="12" width="29.109375" bestFit="1" customWidth="1"/>
  </cols>
  <sheetData>
    <row r="1" spans="2:100" ht="18">
      <c r="B1" s="5" t="s">
        <v>452</v>
      </c>
      <c r="N1" t="s">
        <v>480</v>
      </c>
      <c r="CV1" s="25" t="s">
        <v>470</v>
      </c>
    </row>
    <row r="3" spans="2:100" ht="15.6">
      <c r="B3" s="28" t="s">
        <v>122</v>
      </c>
      <c r="C3" s="29"/>
      <c r="D3" s="29"/>
      <c r="E3" s="29"/>
      <c r="F3" s="29"/>
      <c r="G3" s="29"/>
      <c r="H3" s="29"/>
      <c r="I3" s="30"/>
      <c r="L3" s="28" t="s">
        <v>145</v>
      </c>
      <c r="M3" s="29"/>
      <c r="N3" s="29"/>
      <c r="O3" s="30"/>
    </row>
    <row r="4" spans="2:100" ht="13.8">
      <c r="B4" s="20" t="s">
        <v>123</v>
      </c>
      <c r="C4" s="18"/>
      <c r="D4" s="20" t="s">
        <v>282</v>
      </c>
      <c r="E4" s="18"/>
      <c r="F4" s="20" t="s">
        <v>428</v>
      </c>
      <c r="G4" s="18"/>
      <c r="H4" s="20" t="s">
        <v>429</v>
      </c>
      <c r="I4" s="18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00" ht="13.8">
      <c r="L5" s="15">
        <v>59</v>
      </c>
      <c r="M5" s="15">
        <v>17</v>
      </c>
      <c r="N5" s="15">
        <v>39</v>
      </c>
      <c r="O5" s="15">
        <v>115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  <c r="J12" s="21"/>
      <c r="K12" s="21"/>
    </row>
    <row r="13" spans="2:100" ht="13.8">
      <c r="C13" s="22" t="s">
        <v>126</v>
      </c>
      <c r="D13" s="22"/>
      <c r="E13" s="22"/>
      <c r="F13" s="23"/>
      <c r="G13" s="12" t="s">
        <v>140</v>
      </c>
      <c r="H13" s="12"/>
      <c r="I13" s="12"/>
      <c r="J13" s="12"/>
      <c r="K13" s="12"/>
    </row>
    <row r="14" spans="2:100" ht="13.8">
      <c r="C14" s="22" t="s">
        <v>127</v>
      </c>
      <c r="D14" s="22"/>
      <c r="E14" s="22"/>
      <c r="F14" s="23"/>
      <c r="G14" s="12" t="s">
        <v>500</v>
      </c>
      <c r="H14" s="12"/>
      <c r="I14" s="12"/>
      <c r="J14" s="12"/>
      <c r="K14" s="12"/>
    </row>
    <row r="15" spans="2:100" ht="13.8">
      <c r="C15" s="22" t="s">
        <v>453</v>
      </c>
      <c r="D15" s="22"/>
      <c r="E15" s="22"/>
      <c r="F15" s="23"/>
      <c r="G15" s="12" t="s">
        <v>501</v>
      </c>
      <c r="H15" s="12"/>
      <c r="I15" s="12"/>
      <c r="J15" s="12"/>
      <c r="K15" s="12"/>
    </row>
    <row r="16" spans="2:100" ht="13.8">
      <c r="C16" s="22" t="s">
        <v>454</v>
      </c>
      <c r="D16" s="22"/>
      <c r="E16" s="22"/>
      <c r="F16" s="23"/>
      <c r="G16" s="12">
        <v>65</v>
      </c>
      <c r="H16" s="12"/>
      <c r="I16" s="12"/>
      <c r="J16" s="12"/>
      <c r="K16" s="12"/>
    </row>
    <row r="17" spans="3:20" ht="13.8">
      <c r="C17" s="22" t="s">
        <v>455</v>
      </c>
      <c r="D17" s="22"/>
      <c r="E17" s="22"/>
      <c r="F17" s="23"/>
      <c r="G17" s="12" t="s">
        <v>502</v>
      </c>
      <c r="H17" s="12"/>
      <c r="I17" s="12"/>
      <c r="J17" s="12"/>
      <c r="K17" s="12"/>
    </row>
    <row r="18" spans="3:20" ht="13.8">
      <c r="C18" s="22" t="s">
        <v>456</v>
      </c>
      <c r="D18" s="22"/>
      <c r="E18" s="22"/>
      <c r="F18" s="23"/>
      <c r="G18" s="12">
        <v>28</v>
      </c>
      <c r="H18" s="12"/>
      <c r="I18" s="12"/>
      <c r="J18" s="12"/>
      <c r="K18" s="12"/>
    </row>
    <row r="20" spans="3:20" ht="15.6">
      <c r="C20" s="21" t="s">
        <v>130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3:20" ht="13.8">
      <c r="C21" s="22" t="s">
        <v>457</v>
      </c>
      <c r="D21" s="23"/>
      <c r="E21" s="12">
        <v>16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3:20" ht="13.8">
      <c r="C22" s="22" t="s">
        <v>458</v>
      </c>
      <c r="D22" s="23"/>
      <c r="E22" s="15" t="s">
        <v>153</v>
      </c>
      <c r="F22" s="15" t="s">
        <v>154</v>
      </c>
      <c r="G22" s="15" t="s">
        <v>155</v>
      </c>
      <c r="H22" s="15" t="s">
        <v>156</v>
      </c>
      <c r="I22" s="15" t="s">
        <v>157</v>
      </c>
      <c r="J22" s="15" t="s">
        <v>158</v>
      </c>
      <c r="K22" s="15" t="s">
        <v>159</v>
      </c>
      <c r="L22" s="15" t="s">
        <v>160</v>
      </c>
      <c r="M22" s="15" t="s">
        <v>161</v>
      </c>
      <c r="N22" s="15" t="s">
        <v>162</v>
      </c>
      <c r="O22" s="15" t="s">
        <v>163</v>
      </c>
      <c r="P22" s="15" t="s">
        <v>164</v>
      </c>
      <c r="Q22" s="15" t="s">
        <v>165</v>
      </c>
      <c r="R22" s="15" t="s">
        <v>166</v>
      </c>
      <c r="S22" s="15" t="s">
        <v>167</v>
      </c>
      <c r="T22" s="15" t="s">
        <v>168</v>
      </c>
    </row>
    <row r="23" spans="3:20" ht="13.8">
      <c r="C23" s="22" t="s">
        <v>459</v>
      </c>
      <c r="D23" s="23"/>
      <c r="E23" s="11" t="s">
        <v>169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5" spans="3:20" ht="15.6">
      <c r="C25" s="21" t="s">
        <v>460</v>
      </c>
      <c r="D25" s="21"/>
      <c r="E25" s="21"/>
      <c r="F25" s="21"/>
      <c r="G25" s="21"/>
      <c r="H25" s="21"/>
      <c r="I25" s="21"/>
    </row>
    <row r="26" spans="3:20" ht="13.8">
      <c r="C26" s="22" t="s">
        <v>461</v>
      </c>
      <c r="D26" s="22"/>
      <c r="E26" s="23"/>
      <c r="F26" s="12" t="b">
        <v>1</v>
      </c>
      <c r="G26" s="12"/>
      <c r="H26" s="12"/>
      <c r="I26" s="12"/>
    </row>
    <row r="27" spans="3:20" ht="13.8">
      <c r="C27" s="22" t="s">
        <v>462</v>
      </c>
      <c r="D27" s="22"/>
      <c r="E27" s="23"/>
      <c r="F27" s="12">
        <v>1</v>
      </c>
      <c r="G27" s="12"/>
      <c r="H27" s="12"/>
      <c r="I27" s="12"/>
    </row>
    <row r="28" spans="3:20" ht="13.8">
      <c r="C28" s="22" t="s">
        <v>463</v>
      </c>
      <c r="D28" s="22"/>
      <c r="E28" s="23"/>
      <c r="F28" s="13" t="s">
        <v>466</v>
      </c>
      <c r="G28" s="14"/>
      <c r="H28" s="14"/>
      <c r="I28" s="32"/>
    </row>
    <row r="30" spans="3:20" ht="15.6">
      <c r="C30" s="28" t="s">
        <v>464</v>
      </c>
      <c r="D30" s="29"/>
      <c r="E30" s="29"/>
      <c r="F30" s="29"/>
      <c r="G30" s="29"/>
      <c r="H30" s="29"/>
      <c r="I30" s="30"/>
    </row>
    <row r="31" spans="3:20" ht="13.8">
      <c r="C31" s="23" t="s">
        <v>465</v>
      </c>
      <c r="D31" s="33"/>
      <c r="E31" s="34"/>
      <c r="F31" s="13">
        <v>7</v>
      </c>
      <c r="G31" s="14"/>
      <c r="H31" s="14"/>
      <c r="I31" s="32"/>
    </row>
    <row r="33" spans="3:9" ht="15.6">
      <c r="C33" s="28" t="s">
        <v>471</v>
      </c>
      <c r="D33" s="29"/>
      <c r="E33" s="29"/>
      <c r="F33" s="29"/>
      <c r="G33" s="29"/>
      <c r="H33" s="29"/>
      <c r="I33" s="30"/>
    </row>
    <row r="34" spans="3:9" ht="13.8">
      <c r="C34" s="23" t="s">
        <v>472</v>
      </c>
      <c r="D34" s="33"/>
      <c r="E34" s="34"/>
      <c r="F34" s="13" t="b">
        <v>0</v>
      </c>
      <c r="G34" s="14"/>
      <c r="H34" s="14"/>
      <c r="I34" s="32"/>
    </row>
    <row r="35" spans="3:9" ht="13.8">
      <c r="C35" s="23" t="s">
        <v>473</v>
      </c>
      <c r="D35" s="33"/>
      <c r="E35" s="34"/>
      <c r="F35" s="13" t="b">
        <v>0</v>
      </c>
      <c r="G35" s="14"/>
      <c r="H35" s="14"/>
      <c r="I35" s="32"/>
    </row>
    <row r="37" spans="3:9" ht="15.6">
      <c r="C37" s="28" t="s">
        <v>474</v>
      </c>
      <c r="D37" s="29"/>
      <c r="E37" s="29"/>
      <c r="F37" s="29"/>
      <c r="G37" s="30"/>
    </row>
    <row r="38" spans="3:9" ht="13.8">
      <c r="C38" s="9" t="s">
        <v>475</v>
      </c>
      <c r="D38" s="10"/>
      <c r="E38" s="10"/>
      <c r="F38" s="10"/>
      <c r="G38" s="35"/>
    </row>
    <row r="39" spans="3:9" ht="13.8">
      <c r="C39" s="9" t="s">
        <v>476</v>
      </c>
      <c r="D39" s="10"/>
      <c r="E39" s="10"/>
      <c r="F39" s="10"/>
      <c r="G39" s="35"/>
    </row>
  </sheetData>
  <mergeCells count="43">
    <mergeCell ref="H4:I4"/>
    <mergeCell ref="B3:I3"/>
    <mergeCell ref="L3:O3"/>
    <mergeCell ref="C37:G37"/>
    <mergeCell ref="C38:G38"/>
    <mergeCell ref="C39:G39"/>
    <mergeCell ref="B4:C4"/>
    <mergeCell ref="D4:E4"/>
    <mergeCell ref="F4:G4"/>
    <mergeCell ref="C30:I30"/>
    <mergeCell ref="C31:E31"/>
    <mergeCell ref="F31:I31"/>
    <mergeCell ref="C33:I33"/>
    <mergeCell ref="C34:E34"/>
    <mergeCell ref="C35:E35"/>
    <mergeCell ref="F34:I34"/>
    <mergeCell ref="F35:I35"/>
    <mergeCell ref="C25:I25"/>
    <mergeCell ref="C26:E26"/>
    <mergeCell ref="C27:E27"/>
    <mergeCell ref="C28:E28"/>
    <mergeCell ref="F26:I26"/>
    <mergeCell ref="F27:I27"/>
    <mergeCell ref="F28:I28"/>
    <mergeCell ref="C20:T20"/>
    <mergeCell ref="C21:D21"/>
    <mergeCell ref="C22:D22"/>
    <mergeCell ref="C23:D23"/>
    <mergeCell ref="E21:T21"/>
    <mergeCell ref="E23:T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NB_Output1'!$B$10:$B$10" display="Inputs" xr:uid="{05DC98A9-24F3-4016-955E-DCC4AD4B9BE8}"/>
    <hyperlink ref="D4" location="'NB_Stored1'!$B$10:$B$10" display="PMML Model" xr:uid="{D23CA07B-EFAD-4D3E-BF20-F07C98E699F1}"/>
    <hyperlink ref="F4" location="'NB_TrainingScore1'!$B$10:$B$10" display="Training: Classification Summary" xr:uid="{AA98DCC7-36BF-4091-9746-BED7F2CC1D2F}"/>
    <hyperlink ref="H4" location="'NB_ValidationScore1'!$B$10:$B$10" display="Validation: Classification Summary" xr:uid="{13679FA2-0BA6-4B21-AB3E-3EDC564551D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724B-49ED-406B-99C4-81A4A218560C}">
  <dimension ref="B1:O36"/>
  <sheetViews>
    <sheetView showGridLines="0" topLeftCell="A12" workbookViewId="0">
      <selection activeCell="D36" sqref="D36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450</v>
      </c>
      <c r="N1" t="s">
        <v>480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59</v>
      </c>
      <c r="M5" s="15">
        <v>17</v>
      </c>
      <c r="N5" s="15">
        <v>39</v>
      </c>
      <c r="O5" s="15">
        <v>115</v>
      </c>
    </row>
    <row r="10" spans="2:15" ht="18">
      <c r="B10" s="6" t="s">
        <v>428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  <c r="J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451</v>
      </c>
      <c r="I13" t="s">
        <v>448</v>
      </c>
      <c r="J13" t="s">
        <v>449</v>
      </c>
    </row>
    <row r="14" spans="2:15">
      <c r="C14" s="8">
        <v>1</v>
      </c>
      <c r="D14" s="7">
        <v>25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>
        <v>0</v>
      </c>
    </row>
    <row r="15" spans="2:15">
      <c r="C15" s="8">
        <v>2</v>
      </c>
      <c r="D15" s="7">
        <v>0</v>
      </c>
      <c r="E15" s="7">
        <v>10</v>
      </c>
      <c r="F15" s="7">
        <v>0</v>
      </c>
      <c r="G15" s="7">
        <v>0</v>
      </c>
      <c r="H15" s="7">
        <v>0</v>
      </c>
      <c r="I15" s="7">
        <v>0</v>
      </c>
      <c r="J15">
        <v>0</v>
      </c>
    </row>
    <row r="16" spans="2:15">
      <c r="C16" s="8">
        <v>3</v>
      </c>
      <c r="D16" s="7">
        <v>0</v>
      </c>
      <c r="E16" s="7">
        <v>0</v>
      </c>
      <c r="F16" s="7">
        <v>4</v>
      </c>
      <c r="G16" s="7">
        <v>0</v>
      </c>
      <c r="H16" s="7">
        <v>0</v>
      </c>
      <c r="I16" s="7">
        <v>0</v>
      </c>
      <c r="J16">
        <v>0</v>
      </c>
    </row>
    <row r="17" spans="3:10">
      <c r="C17" s="8">
        <v>4</v>
      </c>
      <c r="D17" s="7">
        <v>0</v>
      </c>
      <c r="E17" s="7">
        <v>0</v>
      </c>
      <c r="F17" s="7">
        <v>0</v>
      </c>
      <c r="G17" s="7">
        <v>10</v>
      </c>
      <c r="H17" s="7">
        <v>0</v>
      </c>
      <c r="I17" s="7">
        <v>0</v>
      </c>
      <c r="J17">
        <v>0</v>
      </c>
    </row>
    <row r="18" spans="3:10">
      <c r="C18" s="8">
        <v>5</v>
      </c>
      <c r="D18" s="7">
        <v>0</v>
      </c>
      <c r="E18" s="7">
        <v>0</v>
      </c>
      <c r="F18" s="7">
        <v>0</v>
      </c>
      <c r="G18" s="7">
        <v>0</v>
      </c>
      <c r="H18" s="7">
        <v>4</v>
      </c>
      <c r="I18" s="7">
        <v>0</v>
      </c>
      <c r="J18">
        <v>0</v>
      </c>
    </row>
    <row r="19" spans="3:10">
      <c r="C19" s="8">
        <v>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5</v>
      </c>
      <c r="J19">
        <v>0</v>
      </c>
    </row>
    <row r="20" spans="3:10">
      <c r="C20" s="8">
        <v>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>
        <v>6</v>
      </c>
    </row>
    <row r="22" spans="3:10" ht="15.6">
      <c r="C22" s="21" t="s">
        <v>432</v>
      </c>
      <c r="D22" s="21"/>
      <c r="E22" s="21"/>
      <c r="F22" s="21"/>
    </row>
    <row r="23" spans="3:10">
      <c r="C23" t="s">
        <v>433</v>
      </c>
      <c r="D23" t="s">
        <v>437</v>
      </c>
      <c r="E23" t="s">
        <v>439</v>
      </c>
      <c r="F23" t="s">
        <v>440</v>
      </c>
    </row>
    <row r="24" spans="3:10">
      <c r="C24" s="8">
        <v>1</v>
      </c>
      <c r="D24">
        <f>SUM($D$14:$J$14)</f>
        <v>25</v>
      </c>
      <c r="E24">
        <f>SUM($D$14:$J$14) - $D$14</f>
        <v>0</v>
      </c>
      <c r="F24">
        <f>IF($D$24=0,"Undefined",$E$24*100 / $D$24)</f>
        <v>0</v>
      </c>
    </row>
    <row r="25" spans="3:10">
      <c r="C25" s="8">
        <v>2</v>
      </c>
      <c r="D25">
        <f>SUM($D$15:$J$15)</f>
        <v>10</v>
      </c>
      <c r="E25">
        <f>SUM($D$15:$J$15) - $E$15</f>
        <v>0</v>
      </c>
      <c r="F25">
        <f>IF($D$25=0,"Undefined",$E$25*100 / $D$25)</f>
        <v>0</v>
      </c>
    </row>
    <row r="26" spans="3:10">
      <c r="C26" s="8">
        <v>3</v>
      </c>
      <c r="D26">
        <f>SUM($D$16:$J$16)</f>
        <v>4</v>
      </c>
      <c r="E26">
        <f>SUM($D$16:$J$16) - $F$16</f>
        <v>0</v>
      </c>
      <c r="F26">
        <f>IF($D$26=0,"Undefined",$E$26*100 / $D$26)</f>
        <v>0</v>
      </c>
    </row>
    <row r="27" spans="3:10">
      <c r="C27" s="8">
        <v>4</v>
      </c>
      <c r="D27">
        <f>SUM($D$17:$J$17)</f>
        <v>10</v>
      </c>
      <c r="E27">
        <f>SUM($D$17:$J$17) - $G$17</f>
        <v>0</v>
      </c>
      <c r="F27">
        <f>IF($D$27=0,"Undefined",$E$27*100 / $D$27)</f>
        <v>0</v>
      </c>
    </row>
    <row r="28" spans="3:10">
      <c r="C28" s="8">
        <v>5</v>
      </c>
      <c r="D28">
        <f>SUM($D$18:$J$18)</f>
        <v>4</v>
      </c>
      <c r="E28">
        <f>SUM($D$18:$J$18) - $H$18</f>
        <v>0</v>
      </c>
      <c r="F28">
        <f>IF($D$28=0,"Undefined",$E$28*100 / $D$28)</f>
        <v>0</v>
      </c>
    </row>
    <row r="29" spans="3:10">
      <c r="C29" s="8">
        <v>6</v>
      </c>
      <c r="D29">
        <f>SUM($D$19:$J$19)</f>
        <v>5</v>
      </c>
      <c r="E29">
        <f>SUM($D$19:$J$19) - $I$19</f>
        <v>0</v>
      </c>
      <c r="F29">
        <f>IF($D$29=0,"Undefined",$E$29*100 / $D$29)</f>
        <v>0</v>
      </c>
    </row>
    <row r="30" spans="3:10">
      <c r="C30" s="8">
        <v>7</v>
      </c>
      <c r="D30">
        <f>SUM($D$20:$J$20)</f>
        <v>7</v>
      </c>
      <c r="E30">
        <f>SUM($D$20:$J$20) - $J$20</f>
        <v>1</v>
      </c>
      <c r="F30">
        <f>IF($D$30=0,"Undefined",$E$30*100 / $D$30)</f>
        <v>14.285714285714286</v>
      </c>
    </row>
    <row r="31" spans="3:10">
      <c r="C31" s="8" t="s">
        <v>434</v>
      </c>
      <c r="D31">
        <f>SUM($D$24:$D$30)</f>
        <v>65</v>
      </c>
      <c r="E31">
        <f>SUM($E$24:$E$30)</f>
        <v>1</v>
      </c>
      <c r="F31">
        <f>IF($D$31=0,"Undefined",$E$31*100 / $D$31)</f>
        <v>1.5384615384615385</v>
      </c>
    </row>
    <row r="33" spans="3:4" ht="15.6">
      <c r="C33" s="21" t="s">
        <v>435</v>
      </c>
      <c r="D33" s="21"/>
    </row>
    <row r="34" spans="3:4">
      <c r="C34" t="s">
        <v>436</v>
      </c>
      <c r="D34" t="s">
        <v>438</v>
      </c>
    </row>
    <row r="35" spans="3:4">
      <c r="C35" t="s">
        <v>441</v>
      </c>
      <c r="D35">
        <v>64</v>
      </c>
    </row>
    <row r="36" spans="3:4">
      <c r="C36" t="s">
        <v>442</v>
      </c>
      <c r="D36">
        <v>98.461538461538481</v>
      </c>
    </row>
  </sheetData>
  <mergeCells count="9">
    <mergeCell ref="B3:I3"/>
    <mergeCell ref="L3:O3"/>
    <mergeCell ref="C12:J12"/>
    <mergeCell ref="C22:F22"/>
    <mergeCell ref="C33:D33"/>
    <mergeCell ref="B4:C4"/>
    <mergeCell ref="D4:E4"/>
    <mergeCell ref="F4:G4"/>
    <mergeCell ref="H4:I4"/>
  </mergeCells>
  <hyperlinks>
    <hyperlink ref="B4" location="'NB_Output1'!$B$10:$B$10" display="Inputs" xr:uid="{7F008C14-39A8-43C3-9B34-7AF16C83E03E}"/>
    <hyperlink ref="D4" location="'NB_Stored1'!$B$10:$B$10" display="PMML Model" xr:uid="{0BEB24F8-8BA8-4170-B236-D003E14C4FBF}"/>
    <hyperlink ref="F4" location="'NB_TrainingScore1'!$B$10:$B$10" display="Training: Classification Summary" xr:uid="{F211AAE1-8B5B-4791-A1C4-74C435AEE0DC}"/>
    <hyperlink ref="H4" location="'NB_ValidationScore1'!$B$10:$B$10" display="Validation: Classification Summary" xr:uid="{D9421A64-366F-437B-BCFB-162213DCD1B5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72EF-EB6C-4663-933D-44D7CA27B134}">
  <dimension ref="B1:O34"/>
  <sheetViews>
    <sheetView showGridLines="0" topLeftCell="A6" workbookViewId="0">
      <selection activeCell="D34" sqref="D34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430</v>
      </c>
      <c r="N1" t="s">
        <v>480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59</v>
      </c>
      <c r="M5" s="15">
        <v>17</v>
      </c>
      <c r="N5" s="15">
        <v>39</v>
      </c>
      <c r="O5" s="15">
        <v>115</v>
      </c>
    </row>
    <row r="10" spans="2:15" ht="18">
      <c r="B10" s="6" t="s">
        <v>429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448</v>
      </c>
      <c r="I13" t="s">
        <v>449</v>
      </c>
    </row>
    <row r="14" spans="2:15">
      <c r="C14" s="8">
        <v>1</v>
      </c>
      <c r="D14" s="7">
        <v>13</v>
      </c>
      <c r="E14" s="7">
        <v>0</v>
      </c>
      <c r="F14" s="7">
        <v>0</v>
      </c>
      <c r="G14" s="7">
        <v>0</v>
      </c>
      <c r="H14" s="7">
        <v>0</v>
      </c>
      <c r="I14">
        <v>0</v>
      </c>
    </row>
    <row r="15" spans="2:15">
      <c r="C15" s="8">
        <v>2</v>
      </c>
      <c r="D15" s="7">
        <v>0</v>
      </c>
      <c r="E15" s="7">
        <v>8</v>
      </c>
      <c r="F15" s="7">
        <v>0</v>
      </c>
      <c r="G15" s="7">
        <v>0</v>
      </c>
      <c r="H15" s="7">
        <v>0</v>
      </c>
      <c r="I15">
        <v>0</v>
      </c>
    </row>
    <row r="16" spans="2:15">
      <c r="C16" s="8">
        <v>3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>
        <v>0</v>
      </c>
    </row>
    <row r="17" spans="3:9">
      <c r="C17" s="8">
        <v>4</v>
      </c>
      <c r="D17" s="7">
        <v>0</v>
      </c>
      <c r="E17" s="7">
        <v>0</v>
      </c>
      <c r="F17" s="7">
        <v>0</v>
      </c>
      <c r="G17" s="7">
        <v>2</v>
      </c>
      <c r="H17" s="7">
        <v>0</v>
      </c>
      <c r="I17">
        <v>0</v>
      </c>
    </row>
    <row r="18" spans="3:9">
      <c r="C18" s="8">
        <v>6</v>
      </c>
      <c r="D18" s="7">
        <v>0</v>
      </c>
      <c r="E18" s="7">
        <v>0</v>
      </c>
      <c r="F18" s="7">
        <v>0</v>
      </c>
      <c r="G18" s="7">
        <v>0</v>
      </c>
      <c r="H18" s="7">
        <v>2</v>
      </c>
      <c r="I18">
        <v>0</v>
      </c>
    </row>
    <row r="19" spans="3:9">
      <c r="C19" s="8">
        <v>7</v>
      </c>
      <c r="D19" s="7">
        <v>0</v>
      </c>
      <c r="E19" s="7">
        <v>0</v>
      </c>
      <c r="F19" s="7">
        <v>0</v>
      </c>
      <c r="G19" s="7">
        <v>0</v>
      </c>
      <c r="H19" s="7">
        <v>1</v>
      </c>
      <c r="I19">
        <v>1</v>
      </c>
    </row>
    <row r="21" spans="3:9" ht="15.6">
      <c r="C21" s="21" t="s">
        <v>432</v>
      </c>
      <c r="D21" s="21"/>
      <c r="E21" s="21"/>
      <c r="F21" s="21"/>
    </row>
    <row r="22" spans="3:9">
      <c r="C22" t="s">
        <v>433</v>
      </c>
      <c r="D22" t="s">
        <v>437</v>
      </c>
      <c r="E22" t="s">
        <v>439</v>
      </c>
      <c r="F22" t="s">
        <v>440</v>
      </c>
    </row>
    <row r="23" spans="3:9">
      <c r="C23" s="8">
        <v>1</v>
      </c>
      <c r="D23">
        <f>SUM($D$14:$I$14)</f>
        <v>13</v>
      </c>
      <c r="E23">
        <f>SUM($D$14:$I$14) - $D$14</f>
        <v>0</v>
      </c>
      <c r="F23">
        <f>IF($D$23=0,"Undefined",$E$23*100 / $D$23)</f>
        <v>0</v>
      </c>
    </row>
    <row r="24" spans="3:9">
      <c r="C24" s="8">
        <v>2</v>
      </c>
      <c r="D24">
        <f>SUM($D$15:$I$15)</f>
        <v>8</v>
      </c>
      <c r="E24">
        <f>SUM($D$15:$I$15) - $E$15</f>
        <v>0</v>
      </c>
      <c r="F24">
        <f>IF($D$24=0,"Undefined",$E$24*100 / $D$24)</f>
        <v>0</v>
      </c>
    </row>
    <row r="25" spans="3:9">
      <c r="C25" s="8">
        <v>3</v>
      </c>
      <c r="D25">
        <f>SUM($D$16:$I$16)</f>
        <v>1</v>
      </c>
      <c r="E25">
        <f>SUM($D$16:$I$16) - $F$16</f>
        <v>1</v>
      </c>
      <c r="F25">
        <f>IF($D$25=0,"Undefined",$E$25*100 / $D$25)</f>
        <v>100</v>
      </c>
    </row>
    <row r="26" spans="3:9">
      <c r="C26" s="8">
        <v>4</v>
      </c>
      <c r="D26">
        <f>SUM($D$17:$I$17)</f>
        <v>2</v>
      </c>
      <c r="E26">
        <f>SUM($D$17:$I$17) - $G$17</f>
        <v>0</v>
      </c>
      <c r="F26">
        <f>IF($D$26=0,"Undefined",$E$26*100 / $D$26)</f>
        <v>0</v>
      </c>
    </row>
    <row r="27" spans="3:9">
      <c r="C27" s="8">
        <v>6</v>
      </c>
      <c r="D27">
        <f>SUM($D$18:$I$18)</f>
        <v>2</v>
      </c>
      <c r="E27">
        <f>SUM($D$18:$I$18) - $H$18</f>
        <v>0</v>
      </c>
      <c r="F27">
        <f>IF($D$27=0,"Undefined",$E$27*100 / $D$27)</f>
        <v>0</v>
      </c>
    </row>
    <row r="28" spans="3:9">
      <c r="C28" s="8">
        <v>7</v>
      </c>
      <c r="D28">
        <f>SUM($D$19:$I$19)</f>
        <v>2</v>
      </c>
      <c r="E28">
        <f>SUM($D$19:$I$19) - $I$19</f>
        <v>1</v>
      </c>
      <c r="F28">
        <f>IF($D$28=0,"Undefined",$E$28*100 / $D$28)</f>
        <v>50</v>
      </c>
    </row>
    <row r="29" spans="3:9">
      <c r="C29" s="8" t="s">
        <v>434</v>
      </c>
      <c r="D29">
        <f>SUM($D$23:$D$28)</f>
        <v>28</v>
      </c>
      <c r="E29">
        <f>SUM($E$23:$E$28)</f>
        <v>2</v>
      </c>
      <c r="F29">
        <f>IF($D$29=0,"Undefined",$E$29*100 / $D$29)</f>
        <v>7.1428571428571432</v>
      </c>
    </row>
    <row r="31" spans="3:9" ht="15.6">
      <c r="C31" s="21" t="s">
        <v>435</v>
      </c>
      <c r="D31" s="21"/>
    </row>
    <row r="32" spans="3:9">
      <c r="C32" t="s">
        <v>436</v>
      </c>
      <c r="D32" t="s">
        <v>438</v>
      </c>
    </row>
    <row r="33" spans="3:4">
      <c r="C33" t="s">
        <v>441</v>
      </c>
      <c r="D33">
        <v>26</v>
      </c>
    </row>
    <row r="34" spans="3:4">
      <c r="C34" t="s">
        <v>442</v>
      </c>
      <c r="D34">
        <v>92.857142857142861</v>
      </c>
    </row>
  </sheetData>
  <mergeCells count="9">
    <mergeCell ref="B3:I3"/>
    <mergeCell ref="L3:O3"/>
    <mergeCell ref="C12:I12"/>
    <mergeCell ref="C21:F21"/>
    <mergeCell ref="C31:D31"/>
    <mergeCell ref="B4:C4"/>
    <mergeCell ref="D4:E4"/>
    <mergeCell ref="F4:G4"/>
    <mergeCell ref="H4:I4"/>
  </mergeCells>
  <hyperlinks>
    <hyperlink ref="B4" location="'NB_Output1'!$B$10:$B$10" display="Inputs" xr:uid="{B333EB3D-7A1F-462C-BBFA-71BA241576B3}"/>
    <hyperlink ref="D4" location="'NB_Stored1'!$B$10:$B$10" display="PMML Model" xr:uid="{C07C910B-9339-435D-990A-026285389ADD}"/>
    <hyperlink ref="F4" location="'NB_TrainingScore1'!$B$10:$B$10" display="Training: Classification Summary" xr:uid="{0135BC90-35D1-4667-B6BA-2F9E55AE148F}"/>
    <hyperlink ref="H4" location="'NB_ValidationScore1'!$B$10:$B$10" display="Validation: Classification Summary" xr:uid="{0FB922CF-C0C4-46FF-B4E7-3A3AA7F60769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8338-62B6-4FF7-BEE5-10092A2231D0}">
  <dimension ref="B1:O508"/>
  <sheetViews>
    <sheetView showGridLines="0" workbookViewId="0"/>
  </sheetViews>
  <sheetFormatPr defaultRowHeight="13.2"/>
  <cols>
    <col min="12" max="12" width="15.88671875" bestFit="1" customWidth="1"/>
  </cols>
  <sheetData>
    <row r="1" spans="2:15" ht="18">
      <c r="B1" s="5" t="s">
        <v>281</v>
      </c>
      <c r="N1" t="s">
        <v>480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59</v>
      </c>
      <c r="M5" s="15">
        <v>17</v>
      </c>
      <c r="N5" s="15">
        <v>39</v>
      </c>
      <c r="O5" s="15">
        <v>115</v>
      </c>
    </row>
    <row r="10" spans="2:15" ht="18">
      <c r="B10" s="6" t="s">
        <v>282</v>
      </c>
    </row>
    <row r="12" spans="2:15">
      <c r="B12" t="s">
        <v>283</v>
      </c>
    </row>
    <row r="13" spans="2:15">
      <c r="B13" t="s">
        <v>284</v>
      </c>
    </row>
    <row r="14" spans="2:15">
      <c r="B14" t="s">
        <v>285</v>
      </c>
    </row>
    <row r="15" spans="2:15">
      <c r="B15" t="s">
        <v>286</v>
      </c>
    </row>
    <row r="16" spans="2:15">
      <c r="B16" t="s">
        <v>479</v>
      </c>
    </row>
    <row r="17" spans="2:2">
      <c r="B17" t="s">
        <v>288</v>
      </c>
    </row>
    <row r="18" spans="2:2">
      <c r="B18" t="s">
        <v>289</v>
      </c>
    </row>
    <row r="19" spans="2:2">
      <c r="B19" t="s">
        <v>290</v>
      </c>
    </row>
    <row r="20" spans="2:2">
      <c r="B20" t="s">
        <v>291</v>
      </c>
    </row>
    <row r="21" spans="2:2">
      <c r="B21" t="s">
        <v>292</v>
      </c>
    </row>
    <row r="22" spans="2:2">
      <c r="B22" t="s">
        <v>293</v>
      </c>
    </row>
    <row r="23" spans="2:2">
      <c r="B23" t="s">
        <v>294</v>
      </c>
    </row>
    <row r="24" spans="2:2">
      <c r="B24" t="s">
        <v>295</v>
      </c>
    </row>
    <row r="25" spans="2:2">
      <c r="B25" t="s">
        <v>296</v>
      </c>
    </row>
    <row r="26" spans="2:2">
      <c r="B26" t="s">
        <v>297</v>
      </c>
    </row>
    <row r="27" spans="2:2">
      <c r="B27" t="s">
        <v>298</v>
      </c>
    </row>
    <row r="28" spans="2:2">
      <c r="B28" t="s">
        <v>299</v>
      </c>
    </row>
    <row r="29" spans="2:2">
      <c r="B29" t="s">
        <v>300</v>
      </c>
    </row>
    <row r="30" spans="2:2">
      <c r="B30" t="s">
        <v>301</v>
      </c>
    </row>
    <row r="31" spans="2:2">
      <c r="B31" t="s">
        <v>302</v>
      </c>
    </row>
    <row r="32" spans="2:2">
      <c r="B32" t="s">
        <v>303</v>
      </c>
    </row>
    <row r="33" spans="2:2">
      <c r="B33" t="s">
        <v>305</v>
      </c>
    </row>
    <row r="34" spans="2:2">
      <c r="B34" t="s">
        <v>306</v>
      </c>
    </row>
    <row r="35" spans="2:2">
      <c r="B35" t="s">
        <v>307</v>
      </c>
    </row>
    <row r="36" spans="2:2">
      <c r="B36" t="s">
        <v>308</v>
      </c>
    </row>
    <row r="37" spans="2:2">
      <c r="B37" t="s">
        <v>309</v>
      </c>
    </row>
    <row r="38" spans="2:2">
      <c r="B38" t="s">
        <v>310</v>
      </c>
    </row>
    <row r="39" spans="2:2">
      <c r="B39" t="s">
        <v>311</v>
      </c>
    </row>
    <row r="40" spans="2:2">
      <c r="B40" t="s">
        <v>313</v>
      </c>
    </row>
    <row r="41" spans="2:2">
      <c r="B41" t="s">
        <v>312</v>
      </c>
    </row>
    <row r="42" spans="2:2">
      <c r="B42" t="s">
        <v>314</v>
      </c>
    </row>
    <row r="43" spans="2:2">
      <c r="B43" t="s">
        <v>315</v>
      </c>
    </row>
    <row r="44" spans="2:2">
      <c r="B44" t="s">
        <v>316</v>
      </c>
    </row>
    <row r="45" spans="2:2">
      <c r="B45" t="s">
        <v>317</v>
      </c>
    </row>
    <row r="46" spans="2:2">
      <c r="B46" t="s">
        <v>318</v>
      </c>
    </row>
    <row r="47" spans="2:2">
      <c r="B47" t="s">
        <v>319</v>
      </c>
    </row>
    <row r="48" spans="2:2">
      <c r="B48" t="s">
        <v>320</v>
      </c>
    </row>
    <row r="49" spans="2:2">
      <c r="B49" t="s">
        <v>321</v>
      </c>
    </row>
    <row r="50" spans="2:2">
      <c r="B50" t="s">
        <v>322</v>
      </c>
    </row>
    <row r="51" spans="2:2">
      <c r="B51" t="s">
        <v>323</v>
      </c>
    </row>
    <row r="52" spans="2:2">
      <c r="B52" t="s">
        <v>324</v>
      </c>
    </row>
    <row r="53" spans="2:2">
      <c r="B53" t="s">
        <v>325</v>
      </c>
    </row>
    <row r="54" spans="2:2">
      <c r="B54" t="s">
        <v>326</v>
      </c>
    </row>
    <row r="55" spans="2:2">
      <c r="B55" t="s">
        <v>327</v>
      </c>
    </row>
    <row r="56" spans="2:2">
      <c r="B56" t="s">
        <v>328</v>
      </c>
    </row>
    <row r="57" spans="2:2">
      <c r="B57" t="s">
        <v>329</v>
      </c>
    </row>
    <row r="58" spans="2:2">
      <c r="B58" t="s">
        <v>330</v>
      </c>
    </row>
    <row r="59" spans="2:2">
      <c r="B59" t="s">
        <v>331</v>
      </c>
    </row>
    <row r="60" spans="2:2">
      <c r="B60" t="s">
        <v>332</v>
      </c>
    </row>
    <row r="61" spans="2:2">
      <c r="B61" t="s">
        <v>333</v>
      </c>
    </row>
    <row r="62" spans="2:2">
      <c r="B62" t="s">
        <v>334</v>
      </c>
    </row>
    <row r="63" spans="2:2">
      <c r="B63" t="s">
        <v>335</v>
      </c>
    </row>
    <row r="64" spans="2:2">
      <c r="B64" t="s">
        <v>336</v>
      </c>
    </row>
    <row r="65" spans="2:2">
      <c r="B65" t="s">
        <v>337</v>
      </c>
    </row>
    <row r="66" spans="2:2">
      <c r="B66" t="s">
        <v>338</v>
      </c>
    </row>
    <row r="67" spans="2:2">
      <c r="B67" t="s">
        <v>339</v>
      </c>
    </row>
    <row r="68" spans="2:2">
      <c r="B68" t="s">
        <v>481</v>
      </c>
    </row>
    <row r="69" spans="2:2">
      <c r="B69" t="s">
        <v>482</v>
      </c>
    </row>
    <row r="70" spans="2:2">
      <c r="B70" t="s">
        <v>483</v>
      </c>
    </row>
    <row r="71" spans="2:2">
      <c r="B71" t="s">
        <v>484</v>
      </c>
    </row>
    <row r="72" spans="2:2">
      <c r="B72" t="s">
        <v>485</v>
      </c>
    </row>
    <row r="73" spans="2:2">
      <c r="B73" t="s">
        <v>486</v>
      </c>
    </row>
    <row r="74" spans="2:2">
      <c r="B74" t="s">
        <v>487</v>
      </c>
    </row>
    <row r="75" spans="2:2">
      <c r="B75" t="s">
        <v>347</v>
      </c>
    </row>
    <row r="76" spans="2:2">
      <c r="B76" t="s">
        <v>348</v>
      </c>
    </row>
    <row r="77" spans="2:2">
      <c r="B77" t="s">
        <v>349</v>
      </c>
    </row>
    <row r="78" spans="2:2">
      <c r="B78" t="s">
        <v>350</v>
      </c>
    </row>
    <row r="79" spans="2:2">
      <c r="B79" t="s">
        <v>351</v>
      </c>
    </row>
    <row r="80" spans="2:2">
      <c r="B80" t="s">
        <v>352</v>
      </c>
    </row>
    <row r="81" spans="2:2">
      <c r="B81" t="s">
        <v>383</v>
      </c>
    </row>
    <row r="82" spans="2:2">
      <c r="B82" t="s">
        <v>354</v>
      </c>
    </row>
    <row r="83" spans="2:2">
      <c r="B83" t="s">
        <v>355</v>
      </c>
    </row>
    <row r="84" spans="2:2">
      <c r="B84" t="s">
        <v>357</v>
      </c>
    </row>
    <row r="85" spans="2:2">
      <c r="B85" t="s">
        <v>356</v>
      </c>
    </row>
    <row r="86" spans="2:2">
      <c r="B86" t="s">
        <v>358</v>
      </c>
    </row>
    <row r="87" spans="2:2">
      <c r="B87" t="s">
        <v>359</v>
      </c>
    </row>
    <row r="88" spans="2:2">
      <c r="B88" t="s">
        <v>360</v>
      </c>
    </row>
    <row r="89" spans="2:2">
      <c r="B89" t="s">
        <v>361</v>
      </c>
    </row>
    <row r="90" spans="2:2">
      <c r="B90" t="s">
        <v>362</v>
      </c>
    </row>
    <row r="91" spans="2:2">
      <c r="B91" t="s">
        <v>352</v>
      </c>
    </row>
    <row r="92" spans="2:2">
      <c r="B92" t="s">
        <v>363</v>
      </c>
    </row>
    <row r="93" spans="2:2">
      <c r="B93" t="s">
        <v>488</v>
      </c>
    </row>
    <row r="94" spans="2:2">
      <c r="B94" t="s">
        <v>489</v>
      </c>
    </row>
    <row r="95" spans="2:2">
      <c r="B95" t="s">
        <v>394</v>
      </c>
    </row>
    <row r="96" spans="2:2">
      <c r="B96" t="s">
        <v>366</v>
      </c>
    </row>
    <row r="97" spans="2:2">
      <c r="B97" t="s">
        <v>490</v>
      </c>
    </row>
    <row r="98" spans="2:2">
      <c r="B98" t="s">
        <v>368</v>
      </c>
    </row>
    <row r="99" spans="2:2">
      <c r="B99" t="s">
        <v>360</v>
      </c>
    </row>
    <row r="100" spans="2:2">
      <c r="B100" t="s">
        <v>361</v>
      </c>
    </row>
    <row r="101" spans="2:2">
      <c r="B101" t="s">
        <v>369</v>
      </c>
    </row>
    <row r="102" spans="2:2">
      <c r="B102" t="s">
        <v>370</v>
      </c>
    </row>
    <row r="103" spans="2:2">
      <c r="B103" t="s">
        <v>362</v>
      </c>
    </row>
    <row r="104" spans="2:2">
      <c r="B104" t="s">
        <v>352</v>
      </c>
    </row>
    <row r="105" spans="2:2">
      <c r="B105" t="s">
        <v>353</v>
      </c>
    </row>
    <row r="106" spans="2:2">
      <c r="B106" t="s">
        <v>354</v>
      </c>
    </row>
    <row r="107" spans="2:2">
      <c r="B107" t="s">
        <v>372</v>
      </c>
    </row>
    <row r="108" spans="2:2">
      <c r="B108" t="s">
        <v>491</v>
      </c>
    </row>
    <row r="109" spans="2:2">
      <c r="B109" t="s">
        <v>356</v>
      </c>
    </row>
    <row r="110" spans="2:2">
      <c r="B110" t="s">
        <v>374</v>
      </c>
    </row>
    <row r="111" spans="2:2">
      <c r="B111" t="s">
        <v>368</v>
      </c>
    </row>
    <row r="112" spans="2:2">
      <c r="B112" t="s">
        <v>360</v>
      </c>
    </row>
    <row r="113" spans="2:2">
      <c r="B113" t="s">
        <v>361</v>
      </c>
    </row>
    <row r="114" spans="2:2">
      <c r="B114" t="s">
        <v>351</v>
      </c>
    </row>
    <row r="115" spans="2:2">
      <c r="B115" t="s">
        <v>352</v>
      </c>
    </row>
    <row r="116" spans="2:2">
      <c r="B116" t="s">
        <v>375</v>
      </c>
    </row>
    <row r="117" spans="2:2">
      <c r="B117" t="s">
        <v>488</v>
      </c>
    </row>
    <row r="118" spans="2:2">
      <c r="B118" t="s">
        <v>492</v>
      </c>
    </row>
    <row r="119" spans="2:2">
      <c r="B119" t="s">
        <v>377</v>
      </c>
    </row>
    <row r="120" spans="2:2">
      <c r="B120" t="s">
        <v>366</v>
      </c>
    </row>
    <row r="121" spans="2:2">
      <c r="B121" t="s">
        <v>402</v>
      </c>
    </row>
    <row r="122" spans="2:2">
      <c r="B122" t="s">
        <v>359</v>
      </c>
    </row>
    <row r="123" spans="2:2">
      <c r="B123" t="s">
        <v>360</v>
      </c>
    </row>
    <row r="124" spans="2:2">
      <c r="B124" t="s">
        <v>361</v>
      </c>
    </row>
    <row r="125" spans="2:2">
      <c r="B125" t="s">
        <v>369</v>
      </c>
    </row>
    <row r="126" spans="2:2">
      <c r="B126" t="s">
        <v>379</v>
      </c>
    </row>
    <row r="127" spans="2:2">
      <c r="B127" t="s">
        <v>362</v>
      </c>
    </row>
    <row r="128" spans="2:2">
      <c r="B128" t="s">
        <v>352</v>
      </c>
    </row>
    <row r="129" spans="2:2">
      <c r="B129" t="s">
        <v>386</v>
      </c>
    </row>
    <row r="130" spans="2:2">
      <c r="B130" t="s">
        <v>354</v>
      </c>
    </row>
    <row r="131" spans="2:2">
      <c r="B131" t="s">
        <v>489</v>
      </c>
    </row>
    <row r="132" spans="2:2">
      <c r="B132" t="s">
        <v>491</v>
      </c>
    </row>
    <row r="133" spans="2:2">
      <c r="B133" t="s">
        <v>366</v>
      </c>
    </row>
    <row r="134" spans="2:2">
      <c r="B134" t="s">
        <v>490</v>
      </c>
    </row>
    <row r="135" spans="2:2">
      <c r="B135" t="s">
        <v>368</v>
      </c>
    </row>
    <row r="136" spans="2:2">
      <c r="B136" t="s">
        <v>360</v>
      </c>
    </row>
    <row r="137" spans="2:2">
      <c r="B137" t="s">
        <v>361</v>
      </c>
    </row>
    <row r="138" spans="2:2">
      <c r="B138" t="s">
        <v>351</v>
      </c>
    </row>
    <row r="139" spans="2:2">
      <c r="B139" t="s">
        <v>352</v>
      </c>
    </row>
    <row r="140" spans="2:2">
      <c r="B140" t="s">
        <v>381</v>
      </c>
    </row>
    <row r="141" spans="2:2">
      <c r="B141" t="s">
        <v>488</v>
      </c>
    </row>
    <row r="142" spans="2:2">
      <c r="B142" t="s">
        <v>355</v>
      </c>
    </row>
    <row r="143" spans="2:2">
      <c r="B143" t="s">
        <v>377</v>
      </c>
    </row>
    <row r="144" spans="2:2">
      <c r="B144" t="s">
        <v>356</v>
      </c>
    </row>
    <row r="145" spans="2:2">
      <c r="B145" t="s">
        <v>358</v>
      </c>
    </row>
    <row r="146" spans="2:2">
      <c r="B146" t="s">
        <v>359</v>
      </c>
    </row>
    <row r="147" spans="2:2">
      <c r="B147" t="s">
        <v>360</v>
      </c>
    </row>
    <row r="148" spans="2:2">
      <c r="B148" t="s">
        <v>361</v>
      </c>
    </row>
    <row r="149" spans="2:2">
      <c r="B149" t="s">
        <v>369</v>
      </c>
    </row>
    <row r="150" spans="2:2">
      <c r="B150" t="s">
        <v>382</v>
      </c>
    </row>
    <row r="151" spans="2:2">
      <c r="B151" t="s">
        <v>362</v>
      </c>
    </row>
    <row r="152" spans="2:2">
      <c r="B152" t="s">
        <v>352</v>
      </c>
    </row>
    <row r="153" spans="2:2">
      <c r="B153" t="s">
        <v>493</v>
      </c>
    </row>
    <row r="154" spans="2:2">
      <c r="B154" t="s">
        <v>488</v>
      </c>
    </row>
    <row r="155" spans="2:2">
      <c r="B155" t="s">
        <v>355</v>
      </c>
    </row>
    <row r="156" spans="2:2">
      <c r="B156" t="s">
        <v>491</v>
      </c>
    </row>
    <row r="157" spans="2:2">
      <c r="B157" t="s">
        <v>366</v>
      </c>
    </row>
    <row r="158" spans="2:2">
      <c r="B158" t="s">
        <v>490</v>
      </c>
    </row>
    <row r="159" spans="2:2">
      <c r="B159" t="s">
        <v>368</v>
      </c>
    </row>
    <row r="160" spans="2:2">
      <c r="B160" t="s">
        <v>360</v>
      </c>
    </row>
    <row r="161" spans="2:2">
      <c r="B161" t="s">
        <v>361</v>
      </c>
    </row>
    <row r="162" spans="2:2">
      <c r="B162" t="s">
        <v>351</v>
      </c>
    </row>
    <row r="163" spans="2:2">
      <c r="B163" t="s">
        <v>352</v>
      </c>
    </row>
    <row r="164" spans="2:2">
      <c r="B164" t="s">
        <v>384</v>
      </c>
    </row>
    <row r="165" spans="2:2">
      <c r="B165" t="s">
        <v>354</v>
      </c>
    </row>
    <row r="166" spans="2:2">
      <c r="B166" t="s">
        <v>489</v>
      </c>
    </row>
    <row r="167" spans="2:2">
      <c r="B167" t="s">
        <v>377</v>
      </c>
    </row>
    <row r="168" spans="2:2">
      <c r="B168" t="s">
        <v>356</v>
      </c>
    </row>
    <row r="169" spans="2:2">
      <c r="B169" t="s">
        <v>358</v>
      </c>
    </row>
    <row r="170" spans="2:2">
      <c r="B170" t="s">
        <v>359</v>
      </c>
    </row>
    <row r="171" spans="2:2">
      <c r="B171" t="s">
        <v>360</v>
      </c>
    </row>
    <row r="172" spans="2:2">
      <c r="B172" t="s">
        <v>361</v>
      </c>
    </row>
    <row r="173" spans="2:2">
      <c r="B173" t="s">
        <v>369</v>
      </c>
    </row>
    <row r="174" spans="2:2">
      <c r="B174" t="s">
        <v>385</v>
      </c>
    </row>
    <row r="175" spans="2:2">
      <c r="B175" t="s">
        <v>362</v>
      </c>
    </row>
    <row r="176" spans="2:2">
      <c r="B176" t="s">
        <v>352</v>
      </c>
    </row>
    <row r="177" spans="2:2">
      <c r="B177" t="s">
        <v>494</v>
      </c>
    </row>
    <row r="178" spans="2:2">
      <c r="B178" t="s">
        <v>488</v>
      </c>
    </row>
    <row r="179" spans="2:2">
      <c r="B179" t="s">
        <v>387</v>
      </c>
    </row>
    <row r="180" spans="2:2">
      <c r="B180" t="s">
        <v>357</v>
      </c>
    </row>
    <row r="181" spans="2:2">
      <c r="B181" t="s">
        <v>366</v>
      </c>
    </row>
    <row r="182" spans="2:2">
      <c r="B182" t="s">
        <v>490</v>
      </c>
    </row>
    <row r="183" spans="2:2">
      <c r="B183" t="s">
        <v>368</v>
      </c>
    </row>
    <row r="184" spans="2:2">
      <c r="B184" t="s">
        <v>360</v>
      </c>
    </row>
    <row r="185" spans="2:2">
      <c r="B185" t="s">
        <v>361</v>
      </c>
    </row>
    <row r="186" spans="2:2">
      <c r="B186" t="s">
        <v>351</v>
      </c>
    </row>
    <row r="187" spans="2:2">
      <c r="B187" t="s">
        <v>352</v>
      </c>
    </row>
    <row r="188" spans="2:2">
      <c r="B188" t="s">
        <v>388</v>
      </c>
    </row>
    <row r="189" spans="2:2">
      <c r="B189" t="s">
        <v>354</v>
      </c>
    </row>
    <row r="190" spans="2:2">
      <c r="B190" t="s">
        <v>365</v>
      </c>
    </row>
    <row r="191" spans="2:2">
      <c r="B191" t="s">
        <v>394</v>
      </c>
    </row>
    <row r="192" spans="2:2">
      <c r="B192" t="s">
        <v>356</v>
      </c>
    </row>
    <row r="193" spans="2:2">
      <c r="B193" t="s">
        <v>358</v>
      </c>
    </row>
    <row r="194" spans="2:2">
      <c r="B194" t="s">
        <v>359</v>
      </c>
    </row>
    <row r="195" spans="2:2">
      <c r="B195" t="s">
        <v>360</v>
      </c>
    </row>
    <row r="196" spans="2:2">
      <c r="B196" t="s">
        <v>361</v>
      </c>
    </row>
    <row r="197" spans="2:2">
      <c r="B197" t="s">
        <v>369</v>
      </c>
    </row>
    <row r="198" spans="2:2">
      <c r="B198" t="s">
        <v>390</v>
      </c>
    </row>
    <row r="199" spans="2:2">
      <c r="B199" t="s">
        <v>362</v>
      </c>
    </row>
    <row r="200" spans="2:2">
      <c r="B200" t="s">
        <v>352</v>
      </c>
    </row>
    <row r="201" spans="2:2">
      <c r="B201" t="s">
        <v>386</v>
      </c>
    </row>
    <row r="202" spans="2:2">
      <c r="B202" t="s">
        <v>488</v>
      </c>
    </row>
    <row r="203" spans="2:2">
      <c r="B203" t="s">
        <v>365</v>
      </c>
    </row>
    <row r="204" spans="2:2">
      <c r="B204" t="s">
        <v>491</v>
      </c>
    </row>
    <row r="205" spans="2:2">
      <c r="B205" t="s">
        <v>366</v>
      </c>
    </row>
    <row r="206" spans="2:2">
      <c r="B206" t="s">
        <v>490</v>
      </c>
    </row>
    <row r="207" spans="2:2">
      <c r="B207" t="s">
        <v>368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351</v>
      </c>
    </row>
    <row r="211" spans="2:2">
      <c r="B211" t="s">
        <v>352</v>
      </c>
    </row>
    <row r="212" spans="2:2">
      <c r="B212" t="s">
        <v>381</v>
      </c>
    </row>
    <row r="213" spans="2:2">
      <c r="B213" t="s">
        <v>354</v>
      </c>
    </row>
    <row r="214" spans="2:2">
      <c r="B214" t="s">
        <v>387</v>
      </c>
    </row>
    <row r="215" spans="2:2">
      <c r="B215" t="s">
        <v>377</v>
      </c>
    </row>
    <row r="216" spans="2:2">
      <c r="B216" t="s">
        <v>356</v>
      </c>
    </row>
    <row r="217" spans="2:2">
      <c r="B217" t="s">
        <v>358</v>
      </c>
    </row>
    <row r="218" spans="2:2">
      <c r="B218" t="s">
        <v>359</v>
      </c>
    </row>
    <row r="219" spans="2:2">
      <c r="B219" t="s">
        <v>360</v>
      </c>
    </row>
    <row r="220" spans="2:2">
      <c r="B220" t="s">
        <v>361</v>
      </c>
    </row>
    <row r="221" spans="2:2">
      <c r="B221" t="s">
        <v>369</v>
      </c>
    </row>
    <row r="222" spans="2:2">
      <c r="B222" t="s">
        <v>391</v>
      </c>
    </row>
    <row r="223" spans="2:2">
      <c r="B223" t="s">
        <v>362</v>
      </c>
    </row>
    <row r="224" spans="2:2">
      <c r="B224" t="s">
        <v>352</v>
      </c>
    </row>
    <row r="225" spans="2:2">
      <c r="B225" t="s">
        <v>493</v>
      </c>
    </row>
    <row r="226" spans="2:2">
      <c r="B226" t="s">
        <v>495</v>
      </c>
    </row>
    <row r="227" spans="2:2">
      <c r="B227" t="s">
        <v>489</v>
      </c>
    </row>
    <row r="228" spans="2:2">
      <c r="B228" t="s">
        <v>373</v>
      </c>
    </row>
    <row r="229" spans="2:2">
      <c r="B229" t="s">
        <v>393</v>
      </c>
    </row>
    <row r="230" spans="2:2">
      <c r="B230" t="s">
        <v>367</v>
      </c>
    </row>
    <row r="231" spans="2:2">
      <c r="B231" t="s">
        <v>395</v>
      </c>
    </row>
    <row r="232" spans="2:2">
      <c r="B232" t="s">
        <v>360</v>
      </c>
    </row>
    <row r="233" spans="2:2">
      <c r="B233" t="s">
        <v>361</v>
      </c>
    </row>
    <row r="234" spans="2:2">
      <c r="B234" t="s">
        <v>351</v>
      </c>
    </row>
    <row r="235" spans="2:2">
      <c r="B235" t="s">
        <v>352</v>
      </c>
    </row>
    <row r="236" spans="2:2">
      <c r="B236" t="s">
        <v>384</v>
      </c>
    </row>
    <row r="237" spans="2:2">
      <c r="B237" t="s">
        <v>396</v>
      </c>
    </row>
    <row r="238" spans="2:2">
      <c r="B238" t="s">
        <v>355</v>
      </c>
    </row>
    <row r="239" spans="2:2">
      <c r="B239" t="s">
        <v>398</v>
      </c>
    </row>
    <row r="240" spans="2:2">
      <c r="B240" t="s">
        <v>397</v>
      </c>
    </row>
    <row r="241" spans="2:2">
      <c r="B241" t="s">
        <v>378</v>
      </c>
    </row>
    <row r="242" spans="2:2">
      <c r="B242" t="s">
        <v>399</v>
      </c>
    </row>
    <row r="243" spans="2:2">
      <c r="B243" t="s">
        <v>360</v>
      </c>
    </row>
    <row r="244" spans="2:2">
      <c r="B244" t="s">
        <v>361</v>
      </c>
    </row>
    <row r="245" spans="2:2">
      <c r="B245" t="s">
        <v>369</v>
      </c>
    </row>
    <row r="246" spans="2:2">
      <c r="B246" t="s">
        <v>400</v>
      </c>
    </row>
    <row r="247" spans="2:2">
      <c r="B247" t="s">
        <v>362</v>
      </c>
    </row>
    <row r="248" spans="2:2">
      <c r="B248" t="s">
        <v>352</v>
      </c>
    </row>
    <row r="249" spans="2:2">
      <c r="B249" t="s">
        <v>494</v>
      </c>
    </row>
    <row r="250" spans="2:2">
      <c r="B250" t="s">
        <v>354</v>
      </c>
    </row>
    <row r="251" spans="2:2">
      <c r="B251" t="s">
        <v>355</v>
      </c>
    </row>
    <row r="252" spans="2:2">
      <c r="B252" t="s">
        <v>377</v>
      </c>
    </row>
    <row r="253" spans="2:2">
      <c r="B253" t="s">
        <v>356</v>
      </c>
    </row>
    <row r="254" spans="2:2">
      <c r="B254" t="s">
        <v>401</v>
      </c>
    </row>
    <row r="255" spans="2:2">
      <c r="B255" t="s">
        <v>359</v>
      </c>
    </row>
    <row r="256" spans="2:2">
      <c r="B256" t="s">
        <v>360</v>
      </c>
    </row>
    <row r="257" spans="2:2">
      <c r="B257" t="s">
        <v>361</v>
      </c>
    </row>
    <row r="258" spans="2:2">
      <c r="B258" t="s">
        <v>351</v>
      </c>
    </row>
    <row r="259" spans="2:2">
      <c r="B259" t="s">
        <v>352</v>
      </c>
    </row>
    <row r="260" spans="2:2">
      <c r="B260" t="s">
        <v>388</v>
      </c>
    </row>
    <row r="261" spans="2:2">
      <c r="B261" t="s">
        <v>488</v>
      </c>
    </row>
    <row r="262" spans="2:2">
      <c r="B262" t="s">
        <v>489</v>
      </c>
    </row>
    <row r="263" spans="2:2">
      <c r="B263" t="s">
        <v>491</v>
      </c>
    </row>
    <row r="264" spans="2:2">
      <c r="B264" t="s">
        <v>366</v>
      </c>
    </row>
    <row r="265" spans="2:2">
      <c r="B265" t="s">
        <v>496</v>
      </c>
    </row>
    <row r="266" spans="2:2">
      <c r="B266" t="s">
        <v>368</v>
      </c>
    </row>
    <row r="267" spans="2:2">
      <c r="B267" t="s">
        <v>360</v>
      </c>
    </row>
    <row r="268" spans="2:2">
      <c r="B268" t="s">
        <v>361</v>
      </c>
    </row>
    <row r="269" spans="2:2">
      <c r="B269" t="s">
        <v>369</v>
      </c>
    </row>
    <row r="270" spans="2:2">
      <c r="B270" t="s">
        <v>403</v>
      </c>
    </row>
    <row r="271" spans="2:2">
      <c r="B271" t="s">
        <v>351</v>
      </c>
    </row>
    <row r="272" spans="2:2">
      <c r="B272" t="s">
        <v>352</v>
      </c>
    </row>
    <row r="273" spans="2:2">
      <c r="B273" t="s">
        <v>497</v>
      </c>
    </row>
    <row r="274" spans="2:2">
      <c r="B274" t="s">
        <v>498</v>
      </c>
    </row>
    <row r="275" spans="2:2">
      <c r="B275" t="s">
        <v>492</v>
      </c>
    </row>
    <row r="276" spans="2:2">
      <c r="B276" t="s">
        <v>398</v>
      </c>
    </row>
    <row r="277" spans="2:2">
      <c r="B277" t="s">
        <v>393</v>
      </c>
    </row>
    <row r="278" spans="2:2">
      <c r="B278" t="s">
        <v>496</v>
      </c>
    </row>
    <row r="279" spans="2:2">
      <c r="B279" t="s">
        <v>395</v>
      </c>
    </row>
    <row r="280" spans="2:2">
      <c r="B280" t="s">
        <v>360</v>
      </c>
    </row>
    <row r="281" spans="2:2">
      <c r="B281" t="s">
        <v>361</v>
      </c>
    </row>
    <row r="282" spans="2:2">
      <c r="B282" t="s">
        <v>362</v>
      </c>
    </row>
    <row r="283" spans="2:2">
      <c r="B283" t="s">
        <v>352</v>
      </c>
    </row>
    <row r="284" spans="2:2">
      <c r="B284" t="s">
        <v>404</v>
      </c>
    </row>
    <row r="285" spans="2:2">
      <c r="B285" t="s">
        <v>499</v>
      </c>
    </row>
    <row r="286" spans="2:2">
      <c r="B286" t="s">
        <v>372</v>
      </c>
    </row>
    <row r="287" spans="2:2">
      <c r="B287" t="s">
        <v>373</v>
      </c>
    </row>
    <row r="288" spans="2:2">
      <c r="B288" t="s">
        <v>397</v>
      </c>
    </row>
    <row r="289" spans="2:2">
      <c r="B289" t="s">
        <v>401</v>
      </c>
    </row>
    <row r="290" spans="2:2">
      <c r="B290" t="s">
        <v>399</v>
      </c>
    </row>
    <row r="291" spans="2:2">
      <c r="B291" t="s">
        <v>360</v>
      </c>
    </row>
    <row r="292" spans="2:2">
      <c r="B292" t="s">
        <v>361</v>
      </c>
    </row>
    <row r="293" spans="2:2">
      <c r="B293" t="s">
        <v>369</v>
      </c>
    </row>
    <row r="294" spans="2:2">
      <c r="B294" t="s">
        <v>406</v>
      </c>
    </row>
    <row r="295" spans="2:2">
      <c r="B295" t="s">
        <v>351</v>
      </c>
    </row>
    <row r="296" spans="2:2">
      <c r="B296" t="s">
        <v>352</v>
      </c>
    </row>
    <row r="297" spans="2:2">
      <c r="B297" t="s">
        <v>380</v>
      </c>
    </row>
    <row r="298" spans="2:2">
      <c r="B298" t="s">
        <v>410</v>
      </c>
    </row>
    <row r="299" spans="2:2">
      <c r="B299" t="s">
        <v>376</v>
      </c>
    </row>
    <row r="300" spans="2:2">
      <c r="B300" t="s">
        <v>377</v>
      </c>
    </row>
    <row r="301" spans="2:2">
      <c r="B301" t="s">
        <v>356</v>
      </c>
    </row>
    <row r="302" spans="2:2">
      <c r="B302" t="s">
        <v>358</v>
      </c>
    </row>
    <row r="303" spans="2:2">
      <c r="B303" t="s">
        <v>399</v>
      </c>
    </row>
    <row r="304" spans="2:2">
      <c r="B304" t="s">
        <v>360</v>
      </c>
    </row>
    <row r="305" spans="2:2">
      <c r="B305" t="s">
        <v>361</v>
      </c>
    </row>
    <row r="306" spans="2:2">
      <c r="B306" t="s">
        <v>362</v>
      </c>
    </row>
    <row r="307" spans="2:2">
      <c r="B307" t="s">
        <v>352</v>
      </c>
    </row>
    <row r="308" spans="2:2">
      <c r="B308" t="s">
        <v>409</v>
      </c>
    </row>
    <row r="309" spans="2:2">
      <c r="B309" t="s">
        <v>392</v>
      </c>
    </row>
    <row r="310" spans="2:2">
      <c r="B310" t="s">
        <v>389</v>
      </c>
    </row>
    <row r="311" spans="2:2">
      <c r="B311" t="s">
        <v>491</v>
      </c>
    </row>
    <row r="312" spans="2:2">
      <c r="B312" t="s">
        <v>366</v>
      </c>
    </row>
    <row r="313" spans="2:2">
      <c r="B313" t="s">
        <v>490</v>
      </c>
    </row>
    <row r="314" spans="2:2">
      <c r="B314" t="s">
        <v>395</v>
      </c>
    </row>
    <row r="315" spans="2:2">
      <c r="B315" t="s">
        <v>360</v>
      </c>
    </row>
    <row r="316" spans="2:2">
      <c r="B316" t="s">
        <v>361</v>
      </c>
    </row>
    <row r="317" spans="2:2">
      <c r="B317" t="s">
        <v>369</v>
      </c>
    </row>
    <row r="318" spans="2:2">
      <c r="B318" t="s">
        <v>411</v>
      </c>
    </row>
    <row r="319" spans="2:2">
      <c r="B319" t="s">
        <v>351</v>
      </c>
    </row>
    <row r="320" spans="2:2">
      <c r="B320" t="s">
        <v>352</v>
      </c>
    </row>
    <row r="321" spans="2:2">
      <c r="B321" t="s">
        <v>493</v>
      </c>
    </row>
    <row r="322" spans="2:2">
      <c r="B322" t="s">
        <v>354</v>
      </c>
    </row>
    <row r="323" spans="2:2">
      <c r="B323" t="s">
        <v>355</v>
      </c>
    </row>
    <row r="324" spans="2:2">
      <c r="B324" t="s">
        <v>377</v>
      </c>
    </row>
    <row r="325" spans="2:2">
      <c r="B325" t="s">
        <v>356</v>
      </c>
    </row>
    <row r="326" spans="2:2">
      <c r="B326" t="s">
        <v>358</v>
      </c>
    </row>
    <row r="327" spans="2:2">
      <c r="B327" t="s">
        <v>359</v>
      </c>
    </row>
    <row r="328" spans="2:2">
      <c r="B328" t="s">
        <v>360</v>
      </c>
    </row>
    <row r="329" spans="2:2">
      <c r="B329" t="s">
        <v>361</v>
      </c>
    </row>
    <row r="330" spans="2:2">
      <c r="B330" t="s">
        <v>362</v>
      </c>
    </row>
    <row r="331" spans="2:2">
      <c r="B331" t="s">
        <v>352</v>
      </c>
    </row>
    <row r="332" spans="2:2">
      <c r="B332" t="s">
        <v>384</v>
      </c>
    </row>
    <row r="333" spans="2:2">
      <c r="B333" t="s">
        <v>488</v>
      </c>
    </row>
    <row r="334" spans="2:2">
      <c r="B334" t="s">
        <v>489</v>
      </c>
    </row>
    <row r="335" spans="2:2">
      <c r="B335" t="s">
        <v>491</v>
      </c>
    </row>
    <row r="336" spans="2:2">
      <c r="B336" t="s">
        <v>366</v>
      </c>
    </row>
    <row r="337" spans="2:2">
      <c r="B337" t="s">
        <v>490</v>
      </c>
    </row>
    <row r="338" spans="2:2">
      <c r="B338" t="s">
        <v>368</v>
      </c>
    </row>
    <row r="339" spans="2:2">
      <c r="B339" t="s">
        <v>360</v>
      </c>
    </row>
    <row r="340" spans="2:2">
      <c r="B340" t="s">
        <v>361</v>
      </c>
    </row>
    <row r="341" spans="2:2">
      <c r="B341" t="s">
        <v>369</v>
      </c>
    </row>
    <row r="342" spans="2:2">
      <c r="B342" t="s">
        <v>412</v>
      </c>
    </row>
    <row r="343" spans="2:2">
      <c r="B343" t="s">
        <v>351</v>
      </c>
    </row>
    <row r="344" spans="2:2">
      <c r="B344" t="s">
        <v>352</v>
      </c>
    </row>
    <row r="345" spans="2:2">
      <c r="B345" t="s">
        <v>494</v>
      </c>
    </row>
    <row r="346" spans="2:2">
      <c r="B346" t="s">
        <v>488</v>
      </c>
    </row>
    <row r="347" spans="2:2">
      <c r="B347" t="s">
        <v>355</v>
      </c>
    </row>
    <row r="348" spans="2:2">
      <c r="B348" t="s">
        <v>377</v>
      </c>
    </row>
    <row r="349" spans="2:2">
      <c r="B349" t="s">
        <v>366</v>
      </c>
    </row>
    <row r="350" spans="2:2">
      <c r="B350" t="s">
        <v>358</v>
      </c>
    </row>
    <row r="351" spans="2:2">
      <c r="B351" t="s">
        <v>395</v>
      </c>
    </row>
    <row r="352" spans="2:2">
      <c r="B352" t="s">
        <v>360</v>
      </c>
    </row>
    <row r="353" spans="2:2">
      <c r="B353" t="s">
        <v>361</v>
      </c>
    </row>
    <row r="354" spans="2:2">
      <c r="B354" t="s">
        <v>362</v>
      </c>
    </row>
    <row r="355" spans="2:2">
      <c r="B355" t="s">
        <v>352</v>
      </c>
    </row>
    <row r="356" spans="2:2">
      <c r="B356" t="s">
        <v>388</v>
      </c>
    </row>
    <row r="357" spans="2:2">
      <c r="B357" t="s">
        <v>354</v>
      </c>
    </row>
    <row r="358" spans="2:2">
      <c r="B358" t="s">
        <v>489</v>
      </c>
    </row>
    <row r="359" spans="2:2">
      <c r="B359" t="s">
        <v>491</v>
      </c>
    </row>
    <row r="360" spans="2:2">
      <c r="B360" t="s">
        <v>356</v>
      </c>
    </row>
    <row r="361" spans="2:2">
      <c r="B361" t="s">
        <v>490</v>
      </c>
    </row>
    <row r="362" spans="2:2">
      <c r="B362" t="s">
        <v>399</v>
      </c>
    </row>
    <row r="363" spans="2:2">
      <c r="B363" t="s">
        <v>360</v>
      </c>
    </row>
    <row r="364" spans="2:2">
      <c r="B364" t="s">
        <v>361</v>
      </c>
    </row>
    <row r="365" spans="2:2">
      <c r="B365" t="s">
        <v>369</v>
      </c>
    </row>
    <row r="366" spans="2:2">
      <c r="B366" t="s">
        <v>413</v>
      </c>
    </row>
    <row r="367" spans="2:2">
      <c r="B367" t="s">
        <v>414</v>
      </c>
    </row>
    <row r="368" spans="2:2">
      <c r="B368" t="s">
        <v>352</v>
      </c>
    </row>
    <row r="369" spans="2:2">
      <c r="B369" t="s">
        <v>407</v>
      </c>
    </row>
    <row r="370" spans="2:2">
      <c r="B370" t="s">
        <v>354</v>
      </c>
    </row>
    <row r="371" spans="2:2">
      <c r="B371" t="s">
        <v>355</v>
      </c>
    </row>
    <row r="372" spans="2:2">
      <c r="B372" t="s">
        <v>377</v>
      </c>
    </row>
    <row r="373" spans="2:2">
      <c r="B373" t="s">
        <v>366</v>
      </c>
    </row>
    <row r="374" spans="2:2">
      <c r="B374" t="s">
        <v>401</v>
      </c>
    </row>
    <row r="375" spans="2:2">
      <c r="B375" t="s">
        <v>416</v>
      </c>
    </row>
    <row r="376" spans="2:2">
      <c r="B376" t="s">
        <v>360</v>
      </c>
    </row>
    <row r="377" spans="2:2">
      <c r="B377" t="s">
        <v>361</v>
      </c>
    </row>
    <row r="378" spans="2:2">
      <c r="B378" t="s">
        <v>417</v>
      </c>
    </row>
    <row r="379" spans="2:2">
      <c r="B379" t="s">
        <v>352</v>
      </c>
    </row>
    <row r="380" spans="2:2">
      <c r="B380" t="s">
        <v>384</v>
      </c>
    </row>
    <row r="381" spans="2:2">
      <c r="B381" t="s">
        <v>354</v>
      </c>
    </row>
    <row r="382" spans="2:2">
      <c r="B382" t="s">
        <v>355</v>
      </c>
    </row>
    <row r="383" spans="2:2">
      <c r="B383" t="s">
        <v>377</v>
      </c>
    </row>
    <row r="384" spans="2:2">
      <c r="B384" t="s">
        <v>356</v>
      </c>
    </row>
    <row r="385" spans="2:2">
      <c r="B385" t="s">
        <v>401</v>
      </c>
    </row>
    <row r="386" spans="2:2">
      <c r="B386" t="s">
        <v>359</v>
      </c>
    </row>
    <row r="387" spans="2:2">
      <c r="B387" t="s">
        <v>360</v>
      </c>
    </row>
    <row r="388" spans="2:2">
      <c r="B388" t="s">
        <v>361</v>
      </c>
    </row>
    <row r="389" spans="2:2">
      <c r="B389" t="s">
        <v>362</v>
      </c>
    </row>
    <row r="390" spans="2:2">
      <c r="B390" t="s">
        <v>352</v>
      </c>
    </row>
    <row r="391" spans="2:2">
      <c r="B391" t="s">
        <v>363</v>
      </c>
    </row>
    <row r="392" spans="2:2">
      <c r="B392" t="s">
        <v>488</v>
      </c>
    </row>
    <row r="393" spans="2:2">
      <c r="B393" t="s">
        <v>355</v>
      </c>
    </row>
    <row r="394" spans="2:2">
      <c r="B394" t="s">
        <v>377</v>
      </c>
    </row>
    <row r="395" spans="2:2">
      <c r="B395" t="s">
        <v>356</v>
      </c>
    </row>
    <row r="396" spans="2:2">
      <c r="B396" t="s">
        <v>374</v>
      </c>
    </row>
    <row r="397" spans="2:2">
      <c r="B397" t="s">
        <v>416</v>
      </c>
    </row>
    <row r="398" spans="2:2">
      <c r="B398" t="s">
        <v>360</v>
      </c>
    </row>
    <row r="399" spans="2:2">
      <c r="B399" t="s">
        <v>361</v>
      </c>
    </row>
    <row r="400" spans="2:2">
      <c r="B400" t="s">
        <v>418</v>
      </c>
    </row>
    <row r="401" spans="2:2">
      <c r="B401" t="s">
        <v>352</v>
      </c>
    </row>
    <row r="402" spans="2:2">
      <c r="B402" t="s">
        <v>409</v>
      </c>
    </row>
    <row r="403" spans="2:2">
      <c r="B403" t="s">
        <v>354</v>
      </c>
    </row>
    <row r="404" spans="2:2">
      <c r="B404" t="s">
        <v>489</v>
      </c>
    </row>
    <row r="405" spans="2:2">
      <c r="B405" t="s">
        <v>377</v>
      </c>
    </row>
    <row r="406" spans="2:2">
      <c r="B406" t="s">
        <v>356</v>
      </c>
    </row>
    <row r="407" spans="2:2">
      <c r="B407" t="s">
        <v>358</v>
      </c>
    </row>
    <row r="408" spans="2:2">
      <c r="B408" t="s">
        <v>359</v>
      </c>
    </row>
    <row r="409" spans="2:2">
      <c r="B409" t="s">
        <v>360</v>
      </c>
    </row>
    <row r="410" spans="2:2">
      <c r="B410" t="s">
        <v>361</v>
      </c>
    </row>
    <row r="411" spans="2:2">
      <c r="B411" t="s">
        <v>419</v>
      </c>
    </row>
    <row r="412" spans="2:2">
      <c r="B412" t="s">
        <v>352</v>
      </c>
    </row>
    <row r="413" spans="2:2">
      <c r="B413" t="s">
        <v>384</v>
      </c>
    </row>
    <row r="414" spans="2:2">
      <c r="B414" t="s">
        <v>354</v>
      </c>
    </row>
    <row r="415" spans="2:2">
      <c r="B415" t="s">
        <v>355</v>
      </c>
    </row>
    <row r="416" spans="2:2">
      <c r="B416" t="s">
        <v>491</v>
      </c>
    </row>
    <row r="417" spans="2:2">
      <c r="B417" t="s">
        <v>356</v>
      </c>
    </row>
    <row r="418" spans="2:2">
      <c r="B418" t="s">
        <v>378</v>
      </c>
    </row>
    <row r="419" spans="2:2">
      <c r="B419" t="s">
        <v>359</v>
      </c>
    </row>
    <row r="420" spans="2:2">
      <c r="B420" t="s">
        <v>360</v>
      </c>
    </row>
    <row r="421" spans="2:2">
      <c r="B421" t="s">
        <v>361</v>
      </c>
    </row>
    <row r="422" spans="2:2">
      <c r="B422" t="s">
        <v>369</v>
      </c>
    </row>
    <row r="423" spans="2:2">
      <c r="B423" t="s">
        <v>420</v>
      </c>
    </row>
    <row r="424" spans="2:2">
      <c r="B424" t="s">
        <v>351</v>
      </c>
    </row>
    <row r="425" spans="2:2">
      <c r="B425" t="s">
        <v>352</v>
      </c>
    </row>
    <row r="426" spans="2:2">
      <c r="B426" t="s">
        <v>493</v>
      </c>
    </row>
    <row r="427" spans="2:2">
      <c r="B427" t="s">
        <v>488</v>
      </c>
    </row>
    <row r="428" spans="2:2">
      <c r="B428" t="s">
        <v>489</v>
      </c>
    </row>
    <row r="429" spans="2:2">
      <c r="B429" t="s">
        <v>377</v>
      </c>
    </row>
    <row r="430" spans="2:2">
      <c r="B430" t="s">
        <v>366</v>
      </c>
    </row>
    <row r="431" spans="2:2">
      <c r="B431" t="s">
        <v>358</v>
      </c>
    </row>
    <row r="432" spans="2:2">
      <c r="B432" t="s">
        <v>368</v>
      </c>
    </row>
    <row r="433" spans="2:2">
      <c r="B433" t="s">
        <v>360</v>
      </c>
    </row>
    <row r="434" spans="2:2">
      <c r="B434" t="s">
        <v>361</v>
      </c>
    </row>
    <row r="435" spans="2:2">
      <c r="B435" t="s">
        <v>362</v>
      </c>
    </row>
    <row r="436" spans="2:2">
      <c r="B436" t="s">
        <v>352</v>
      </c>
    </row>
    <row r="437" spans="2:2">
      <c r="B437" t="s">
        <v>384</v>
      </c>
    </row>
    <row r="438" spans="2:2">
      <c r="B438" t="s">
        <v>354</v>
      </c>
    </row>
    <row r="439" spans="2:2">
      <c r="B439" t="s">
        <v>355</v>
      </c>
    </row>
    <row r="440" spans="2:2">
      <c r="B440" t="s">
        <v>491</v>
      </c>
    </row>
    <row r="441" spans="2:2">
      <c r="B441" t="s">
        <v>356</v>
      </c>
    </row>
    <row r="442" spans="2:2">
      <c r="B442" t="s">
        <v>490</v>
      </c>
    </row>
    <row r="443" spans="2:2">
      <c r="B443" t="s">
        <v>359</v>
      </c>
    </row>
    <row r="444" spans="2:2">
      <c r="B444" t="s">
        <v>360</v>
      </c>
    </row>
    <row r="445" spans="2:2">
      <c r="B445" t="s">
        <v>361</v>
      </c>
    </row>
    <row r="446" spans="2:2">
      <c r="B446" t="s">
        <v>369</v>
      </c>
    </row>
    <row r="447" spans="2:2">
      <c r="B447" t="s">
        <v>421</v>
      </c>
    </row>
    <row r="448" spans="2:2">
      <c r="B448" t="s">
        <v>351</v>
      </c>
    </row>
    <row r="449" spans="2:2">
      <c r="B449" t="s">
        <v>352</v>
      </c>
    </row>
    <row r="450" spans="2:2">
      <c r="B450" t="s">
        <v>493</v>
      </c>
    </row>
    <row r="451" spans="2:2">
      <c r="B451" t="s">
        <v>354</v>
      </c>
    </row>
    <row r="452" spans="2:2">
      <c r="B452" t="s">
        <v>489</v>
      </c>
    </row>
    <row r="453" spans="2:2">
      <c r="B453" t="s">
        <v>491</v>
      </c>
    </row>
    <row r="454" spans="2:2">
      <c r="B454" t="s">
        <v>366</v>
      </c>
    </row>
    <row r="455" spans="2:2">
      <c r="B455" t="s">
        <v>378</v>
      </c>
    </row>
    <row r="456" spans="2:2">
      <c r="B456" t="s">
        <v>368</v>
      </c>
    </row>
    <row r="457" spans="2:2">
      <c r="B457" t="s">
        <v>360</v>
      </c>
    </row>
    <row r="458" spans="2:2">
      <c r="B458" t="s">
        <v>361</v>
      </c>
    </row>
    <row r="459" spans="2:2">
      <c r="B459" t="s">
        <v>362</v>
      </c>
    </row>
    <row r="460" spans="2:2">
      <c r="B460" t="s">
        <v>352</v>
      </c>
    </row>
    <row r="461" spans="2:2">
      <c r="B461" t="s">
        <v>384</v>
      </c>
    </row>
    <row r="462" spans="2:2">
      <c r="B462" t="s">
        <v>488</v>
      </c>
    </row>
    <row r="463" spans="2:2">
      <c r="B463" t="s">
        <v>355</v>
      </c>
    </row>
    <row r="464" spans="2:2">
      <c r="B464" t="s">
        <v>377</v>
      </c>
    </row>
    <row r="465" spans="2:2">
      <c r="B465" t="s">
        <v>356</v>
      </c>
    </row>
    <row r="466" spans="2:2">
      <c r="B466" t="s">
        <v>367</v>
      </c>
    </row>
    <row r="467" spans="2:2">
      <c r="B467" t="s">
        <v>359</v>
      </c>
    </row>
    <row r="468" spans="2:2">
      <c r="B468" t="s">
        <v>360</v>
      </c>
    </row>
    <row r="469" spans="2:2">
      <c r="B469" t="s">
        <v>361</v>
      </c>
    </row>
    <row r="470" spans="2:2">
      <c r="B470" t="s">
        <v>369</v>
      </c>
    </row>
    <row r="471" spans="2:2">
      <c r="B471" t="s">
        <v>422</v>
      </c>
    </row>
    <row r="472" spans="2:2">
      <c r="B472" t="s">
        <v>362</v>
      </c>
    </row>
    <row r="473" spans="2:2">
      <c r="B473" t="s">
        <v>352</v>
      </c>
    </row>
    <row r="474" spans="2:2">
      <c r="B474" t="s">
        <v>363</v>
      </c>
    </row>
    <row r="475" spans="2:2">
      <c r="B475" t="s">
        <v>354</v>
      </c>
    </row>
    <row r="476" spans="2:2">
      <c r="B476" t="s">
        <v>355</v>
      </c>
    </row>
    <row r="477" spans="2:2">
      <c r="B477" t="s">
        <v>491</v>
      </c>
    </row>
    <row r="478" spans="2:2">
      <c r="B478" t="s">
        <v>393</v>
      </c>
    </row>
    <row r="479" spans="2:2">
      <c r="B479" t="s">
        <v>496</v>
      </c>
    </row>
    <row r="480" spans="2:2">
      <c r="B480" t="s">
        <v>359</v>
      </c>
    </row>
    <row r="481" spans="2:2">
      <c r="B481" t="s">
        <v>360</v>
      </c>
    </row>
    <row r="482" spans="2:2">
      <c r="B482" t="s">
        <v>361</v>
      </c>
    </row>
    <row r="483" spans="2:2">
      <c r="B483" t="s">
        <v>351</v>
      </c>
    </row>
    <row r="484" spans="2:2">
      <c r="B484" t="s">
        <v>352</v>
      </c>
    </row>
    <row r="485" spans="2:2">
      <c r="B485" t="s">
        <v>383</v>
      </c>
    </row>
    <row r="486" spans="2:2">
      <c r="B486" t="s">
        <v>488</v>
      </c>
    </row>
    <row r="487" spans="2:2">
      <c r="B487" t="s">
        <v>489</v>
      </c>
    </row>
    <row r="488" spans="2:2">
      <c r="B488" t="s">
        <v>377</v>
      </c>
    </row>
    <row r="489" spans="2:2">
      <c r="B489" t="s">
        <v>397</v>
      </c>
    </row>
    <row r="490" spans="2:2">
      <c r="B490" t="s">
        <v>401</v>
      </c>
    </row>
    <row r="491" spans="2:2">
      <c r="B491" t="s">
        <v>368</v>
      </c>
    </row>
    <row r="492" spans="2:2">
      <c r="B492" t="s">
        <v>360</v>
      </c>
    </row>
    <row r="493" spans="2:2">
      <c r="B493" t="s">
        <v>361</v>
      </c>
    </row>
    <row r="494" spans="2:2">
      <c r="B494" t="s">
        <v>369</v>
      </c>
    </row>
    <row r="495" spans="2:2">
      <c r="B495" t="s">
        <v>423</v>
      </c>
    </row>
    <row r="496" spans="2:2">
      <c r="B496" t="s">
        <v>424</v>
      </c>
    </row>
    <row r="497" spans="2:2">
      <c r="B497" t="s">
        <v>352</v>
      </c>
    </row>
    <row r="498" spans="2:2">
      <c r="B498" t="s">
        <v>493</v>
      </c>
    </row>
    <row r="499" spans="2:2">
      <c r="B499" t="s">
        <v>488</v>
      </c>
    </row>
    <row r="500" spans="2:2">
      <c r="B500" t="s">
        <v>489</v>
      </c>
    </row>
    <row r="501" spans="2:2">
      <c r="B501" t="s">
        <v>491</v>
      </c>
    </row>
    <row r="502" spans="2:2">
      <c r="B502" t="s">
        <v>366</v>
      </c>
    </row>
    <row r="503" spans="2:2">
      <c r="B503" t="s">
        <v>490</v>
      </c>
    </row>
    <row r="504" spans="2:2">
      <c r="B504" t="s">
        <v>368</v>
      </c>
    </row>
    <row r="505" spans="2:2">
      <c r="B505" t="s">
        <v>360</v>
      </c>
    </row>
    <row r="506" spans="2:2">
      <c r="B506" t="s">
        <v>425</v>
      </c>
    </row>
    <row r="507" spans="2:2">
      <c r="B507" t="s">
        <v>426</v>
      </c>
    </row>
    <row r="508" spans="2:2">
      <c r="B508" t="s">
        <v>427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NB_Output1'!$B$10:$B$10" display="Inputs" xr:uid="{50B113C2-24E2-495F-A3B8-1460911803B1}"/>
    <hyperlink ref="D4" location="'NB_Stored1'!$B$10:$B$10" display="PMML Model" xr:uid="{8798AA3F-4AB7-4EEB-9EA0-A162488DAA73}"/>
    <hyperlink ref="F4" location="'NB_TrainingScore1'!$B$10:$B$10" display="Training: Classification Summary" xr:uid="{4CBF5921-30AC-44D9-B277-15368E734BF1}"/>
    <hyperlink ref="H4" location="'NB_ValidationScore1'!$B$10:$B$10" display="Validation: Classification Summary" xr:uid="{A6460470-B953-4101-A951-0E93818001A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BD8F-9150-496E-BAA9-84BCD6EDD8E5}">
  <dimension ref="B1:CV129"/>
  <sheetViews>
    <sheetView showGridLines="0" topLeftCell="A28" workbookViewId="0">
      <selection activeCell="G46" sqref="G46"/>
    </sheetView>
  </sheetViews>
  <sheetFormatPr defaultRowHeight="13.2"/>
  <cols>
    <col min="3" max="3" width="11.5546875" customWidth="1"/>
    <col min="4" max="4" width="14.44140625" customWidth="1"/>
    <col min="5" max="5" width="18.21875" customWidth="1"/>
    <col min="6" max="6" width="15.33203125" customWidth="1"/>
    <col min="7" max="7" width="14.5546875" customWidth="1"/>
    <col min="8" max="8" width="18.44140625" customWidth="1"/>
    <col min="9" max="9" width="17.44140625" customWidth="1"/>
    <col min="10" max="10" width="29.109375" bestFit="1" customWidth="1"/>
    <col min="11" max="11" width="17.88671875" customWidth="1"/>
    <col min="12" max="12" width="19.5546875" customWidth="1"/>
    <col min="13" max="13" width="18.77734375" customWidth="1"/>
    <col min="14" max="14" width="20.109375" customWidth="1"/>
    <col min="15" max="15" width="14.21875" customWidth="1"/>
    <col min="16" max="16" width="14.6640625" customWidth="1"/>
    <col min="17" max="17" width="13.6640625" customWidth="1"/>
    <col min="18" max="18" width="19" customWidth="1"/>
    <col min="19" max="19" width="17.21875" customWidth="1"/>
    <col min="20" max="20" width="19.88671875" customWidth="1"/>
  </cols>
  <sheetData>
    <row r="1" spans="2:100" ht="18">
      <c r="B1" s="5" t="s">
        <v>264</v>
      </c>
      <c r="N1" t="s">
        <v>274</v>
      </c>
      <c r="CV1" s="25" t="s">
        <v>275</v>
      </c>
    </row>
    <row r="3" spans="2:100" ht="15.6">
      <c r="B3" s="28" t="s">
        <v>122</v>
      </c>
      <c r="C3" s="29"/>
      <c r="D3" s="29"/>
      <c r="E3" s="29"/>
      <c r="F3" s="29"/>
      <c r="G3" s="30"/>
      <c r="J3" s="28" t="s">
        <v>145</v>
      </c>
      <c r="K3" s="29"/>
      <c r="L3" s="29"/>
      <c r="M3" s="30"/>
    </row>
    <row r="4" spans="2:100" ht="13.8">
      <c r="B4" s="19" t="s">
        <v>123</v>
      </c>
      <c r="C4" s="19"/>
      <c r="D4" s="19" t="s">
        <v>265</v>
      </c>
      <c r="E4" s="19"/>
      <c r="F4" s="19" t="s">
        <v>276</v>
      </c>
      <c r="G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00" ht="13.8">
      <c r="J5" s="15">
        <v>18</v>
      </c>
      <c r="K5" s="15">
        <v>1</v>
      </c>
      <c r="L5" s="15">
        <v>2</v>
      </c>
      <c r="M5" s="15">
        <v>21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</row>
    <row r="13" spans="2:100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00" ht="13.8">
      <c r="C14" s="22" t="s">
        <v>127</v>
      </c>
      <c r="D14" s="22"/>
      <c r="E14" s="23"/>
      <c r="F14" s="11" t="s">
        <v>271</v>
      </c>
      <c r="G14" s="11"/>
      <c r="H14" s="11"/>
      <c r="I14" s="11"/>
    </row>
    <row r="15" spans="2:100" ht="13.8">
      <c r="C15" s="22" t="s">
        <v>128</v>
      </c>
      <c r="D15" s="22"/>
      <c r="E15" s="23"/>
      <c r="F15" s="11" t="s">
        <v>272</v>
      </c>
      <c r="G15" s="11"/>
      <c r="H15" s="11"/>
      <c r="I15" s="11"/>
    </row>
    <row r="16" spans="2:100" ht="13.8">
      <c r="C16" s="22" t="s">
        <v>129</v>
      </c>
      <c r="D16" s="22"/>
      <c r="E16" s="23"/>
      <c r="F16" s="12">
        <v>93</v>
      </c>
      <c r="G16" s="12"/>
      <c r="H16" s="12"/>
      <c r="I16" s="12"/>
    </row>
    <row r="18" spans="2:22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2:22" ht="13.8">
      <c r="C19" s="22" t="s">
        <v>131</v>
      </c>
      <c r="D19" s="22"/>
      <c r="E19" s="23"/>
      <c r="F19" s="12">
        <v>17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2:22" ht="13.8">
      <c r="C20" s="22" t="s">
        <v>132</v>
      </c>
      <c r="D20" s="22"/>
      <c r="E20" s="23"/>
      <c r="F20" s="15" t="s">
        <v>153</v>
      </c>
      <c r="G20" s="15" t="s">
        <v>154</v>
      </c>
      <c r="H20" s="15" t="s">
        <v>155</v>
      </c>
      <c r="I20" s="15" t="s">
        <v>156</v>
      </c>
      <c r="J20" s="15" t="s">
        <v>157</v>
      </c>
      <c r="K20" s="15" t="s">
        <v>158</v>
      </c>
      <c r="L20" s="15" t="s">
        <v>159</v>
      </c>
      <c r="M20" s="15" t="s">
        <v>160</v>
      </c>
      <c r="N20" s="15" t="s">
        <v>161</v>
      </c>
      <c r="O20" s="15" t="s">
        <v>162</v>
      </c>
      <c r="P20" s="15" t="s">
        <v>163</v>
      </c>
      <c r="Q20" s="15" t="s">
        <v>164</v>
      </c>
      <c r="R20" s="15" t="s">
        <v>165</v>
      </c>
      <c r="S20" s="15" t="s">
        <v>166</v>
      </c>
      <c r="T20" s="15" t="s">
        <v>167</v>
      </c>
      <c r="U20" s="15" t="s">
        <v>168</v>
      </c>
      <c r="V20" s="15" t="s">
        <v>169</v>
      </c>
    </row>
    <row r="22" spans="2:22" ht="15.6">
      <c r="C22" s="21" t="s">
        <v>266</v>
      </c>
      <c r="D22" s="21"/>
      <c r="E22" s="21"/>
      <c r="F22" s="21"/>
      <c r="G22" s="21"/>
      <c r="H22" s="21"/>
      <c r="I22" s="21"/>
    </row>
    <row r="23" spans="2:22" ht="13.8">
      <c r="C23" s="22" t="s">
        <v>267</v>
      </c>
      <c r="D23" s="22"/>
      <c r="E23" s="23"/>
      <c r="F23" s="12" t="s">
        <v>273</v>
      </c>
      <c r="G23" s="12"/>
      <c r="H23" s="12"/>
      <c r="I23" s="12"/>
    </row>
    <row r="24" spans="2:22" ht="13.8">
      <c r="C24" s="22" t="s">
        <v>268</v>
      </c>
      <c r="D24" s="22"/>
      <c r="E24" s="23"/>
      <c r="F24" s="12">
        <v>12345</v>
      </c>
      <c r="G24" s="12"/>
      <c r="H24" s="12"/>
      <c r="I24" s="12"/>
    </row>
    <row r="25" spans="2:22" ht="13.8">
      <c r="C25" s="22" t="s">
        <v>269</v>
      </c>
      <c r="D25" s="22"/>
      <c r="E25" s="23"/>
      <c r="F25" s="12">
        <v>0.6</v>
      </c>
      <c r="G25" s="12"/>
      <c r="H25" s="12"/>
      <c r="I25" s="12"/>
    </row>
    <row r="26" spans="2:22" ht="13.8">
      <c r="C26" s="22" t="s">
        <v>270</v>
      </c>
      <c r="D26" s="22"/>
      <c r="E26" s="23"/>
      <c r="F26" s="12">
        <v>0.4</v>
      </c>
      <c r="G26" s="12"/>
      <c r="H26" s="12"/>
      <c r="I26" s="12"/>
    </row>
    <row r="28" spans="2:22" ht="18">
      <c r="B28" s="6" t="s">
        <v>265</v>
      </c>
    </row>
    <row r="30" spans="2:22">
      <c r="C30" s="8" t="s">
        <v>277</v>
      </c>
      <c r="D30" t="s">
        <v>278</v>
      </c>
    </row>
    <row r="31" spans="2:22">
      <c r="C31" s="8" t="s">
        <v>279</v>
      </c>
      <c r="D31">
        <v>56</v>
      </c>
    </row>
    <row r="32" spans="2:22">
      <c r="C32" s="8" t="s">
        <v>280</v>
      </c>
      <c r="D32">
        <v>37</v>
      </c>
    </row>
    <row r="34" spans="2:20" ht="18">
      <c r="B34" s="6" t="s">
        <v>276</v>
      </c>
    </row>
    <row r="36" spans="2:20">
      <c r="C36" s="8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160</v>
      </c>
      <c r="L36" t="s">
        <v>161</v>
      </c>
      <c r="M36" t="s">
        <v>162</v>
      </c>
      <c r="N36" t="s">
        <v>163</v>
      </c>
      <c r="O36" t="s">
        <v>164</v>
      </c>
      <c r="P36" t="s">
        <v>165</v>
      </c>
      <c r="Q36" t="s">
        <v>166</v>
      </c>
      <c r="R36" t="s">
        <v>167</v>
      </c>
      <c r="S36" t="s">
        <v>168</v>
      </c>
      <c r="T36" t="s">
        <v>169</v>
      </c>
    </row>
    <row r="37" spans="2:20">
      <c r="C37" s="8" t="s">
        <v>171</v>
      </c>
      <c r="D37" s="27">
        <v>1</v>
      </c>
      <c r="E37" s="27">
        <v>0</v>
      </c>
      <c r="F37" s="27">
        <v>0</v>
      </c>
      <c r="G37" s="27">
        <v>1</v>
      </c>
      <c r="H37" s="27">
        <v>0</v>
      </c>
      <c r="I37" s="27">
        <v>0</v>
      </c>
      <c r="J37" s="27">
        <v>1</v>
      </c>
      <c r="K37" s="27">
        <v>1</v>
      </c>
      <c r="L37" s="27">
        <v>1</v>
      </c>
      <c r="M37" s="27">
        <v>1</v>
      </c>
      <c r="N37" s="27">
        <v>0</v>
      </c>
      <c r="O37" s="27">
        <v>0</v>
      </c>
      <c r="P37" s="27">
        <v>4</v>
      </c>
      <c r="Q37" s="27">
        <v>0</v>
      </c>
      <c r="R37" s="27">
        <v>0</v>
      </c>
      <c r="S37" s="27">
        <v>1</v>
      </c>
      <c r="T37" s="26">
        <v>1</v>
      </c>
    </row>
    <row r="38" spans="2:20">
      <c r="C38" s="8" t="s">
        <v>175</v>
      </c>
      <c r="D38" s="27">
        <v>1</v>
      </c>
      <c r="E38" s="27">
        <v>0</v>
      </c>
      <c r="F38" s="27">
        <v>0</v>
      </c>
      <c r="G38" s="27">
        <v>1</v>
      </c>
      <c r="H38" s="27">
        <v>0</v>
      </c>
      <c r="I38" s="27">
        <v>0</v>
      </c>
      <c r="J38" s="27">
        <v>0</v>
      </c>
      <c r="K38" s="27">
        <v>1</v>
      </c>
      <c r="L38" s="27">
        <v>1</v>
      </c>
      <c r="M38" s="27">
        <v>1</v>
      </c>
      <c r="N38" s="27">
        <v>0</v>
      </c>
      <c r="O38" s="27">
        <v>0</v>
      </c>
      <c r="P38" s="27">
        <v>4</v>
      </c>
      <c r="Q38" s="27">
        <v>1</v>
      </c>
      <c r="R38" s="27">
        <v>0</v>
      </c>
      <c r="S38" s="27">
        <v>1</v>
      </c>
      <c r="T38" s="26">
        <v>1</v>
      </c>
    </row>
    <row r="39" spans="2:20">
      <c r="C39" s="8" t="s">
        <v>178</v>
      </c>
      <c r="D39" s="27">
        <v>0</v>
      </c>
      <c r="E39" s="27">
        <v>0</v>
      </c>
      <c r="F39" s="27">
        <v>1</v>
      </c>
      <c r="G39" s="27">
        <v>0</v>
      </c>
      <c r="H39" s="27">
        <v>0</v>
      </c>
      <c r="I39" s="27">
        <v>1</v>
      </c>
      <c r="J39" s="27">
        <v>1</v>
      </c>
      <c r="K39" s="27">
        <v>1</v>
      </c>
      <c r="L39" s="27">
        <v>1</v>
      </c>
      <c r="M39" s="27">
        <v>0</v>
      </c>
      <c r="N39" s="27">
        <v>0</v>
      </c>
      <c r="O39" s="27">
        <v>1</v>
      </c>
      <c r="P39" s="27">
        <v>0</v>
      </c>
      <c r="Q39" s="27">
        <v>1</v>
      </c>
      <c r="R39" s="27">
        <v>0</v>
      </c>
      <c r="S39" s="27">
        <v>0</v>
      </c>
      <c r="T39" s="26">
        <v>4</v>
      </c>
    </row>
    <row r="40" spans="2:20">
      <c r="C40" s="8" t="s">
        <v>185</v>
      </c>
      <c r="D40" s="27">
        <v>0</v>
      </c>
      <c r="E40" s="27">
        <v>1</v>
      </c>
      <c r="F40" s="27">
        <v>1</v>
      </c>
      <c r="G40" s="27">
        <v>0</v>
      </c>
      <c r="H40" s="27">
        <v>1</v>
      </c>
      <c r="I40" s="27">
        <v>0</v>
      </c>
      <c r="J40" s="27">
        <v>1</v>
      </c>
      <c r="K40" s="27">
        <v>0</v>
      </c>
      <c r="L40" s="27">
        <v>1</v>
      </c>
      <c r="M40" s="27">
        <v>1</v>
      </c>
      <c r="N40" s="27">
        <v>0</v>
      </c>
      <c r="O40" s="27">
        <v>0</v>
      </c>
      <c r="P40" s="27">
        <v>2</v>
      </c>
      <c r="Q40" s="27">
        <v>1</v>
      </c>
      <c r="R40" s="27">
        <v>0</v>
      </c>
      <c r="S40" s="27">
        <v>0</v>
      </c>
      <c r="T40" s="26">
        <v>2</v>
      </c>
    </row>
    <row r="41" spans="2:20">
      <c r="C41" s="8" t="s">
        <v>190</v>
      </c>
      <c r="D41" s="27">
        <v>0</v>
      </c>
      <c r="E41" s="27">
        <v>1</v>
      </c>
      <c r="F41" s="27">
        <v>1</v>
      </c>
      <c r="G41" s="27">
        <v>0</v>
      </c>
      <c r="H41" s="27">
        <v>1</v>
      </c>
      <c r="I41" s="27">
        <v>1</v>
      </c>
      <c r="J41" s="27">
        <v>0</v>
      </c>
      <c r="K41" s="27">
        <v>0</v>
      </c>
      <c r="L41" s="27">
        <v>1</v>
      </c>
      <c r="M41" s="27">
        <v>1</v>
      </c>
      <c r="N41" s="27">
        <v>0</v>
      </c>
      <c r="O41" s="27">
        <v>0</v>
      </c>
      <c r="P41" s="27">
        <v>2</v>
      </c>
      <c r="Q41" s="27">
        <v>1</v>
      </c>
      <c r="R41" s="27">
        <v>0</v>
      </c>
      <c r="S41" s="27">
        <v>0</v>
      </c>
      <c r="T41" s="26">
        <v>2</v>
      </c>
    </row>
    <row r="42" spans="2:20">
      <c r="C42" s="8" t="s">
        <v>192</v>
      </c>
      <c r="D42" s="27">
        <v>0</v>
      </c>
      <c r="E42" s="27">
        <v>1</v>
      </c>
      <c r="F42" s="27">
        <v>1</v>
      </c>
      <c r="G42" s="27">
        <v>0</v>
      </c>
      <c r="H42" s="27">
        <v>1</v>
      </c>
      <c r="I42" s="27">
        <v>0</v>
      </c>
      <c r="J42" s="27">
        <v>0</v>
      </c>
      <c r="K42" s="27">
        <v>0</v>
      </c>
      <c r="L42" s="27">
        <v>1</v>
      </c>
      <c r="M42" s="27">
        <v>1</v>
      </c>
      <c r="N42" s="27">
        <v>0</v>
      </c>
      <c r="O42" s="27">
        <v>0</v>
      </c>
      <c r="P42" s="27">
        <v>2</v>
      </c>
      <c r="Q42" s="27">
        <v>1</v>
      </c>
      <c r="R42" s="27">
        <v>0</v>
      </c>
      <c r="S42" s="27">
        <v>1</v>
      </c>
      <c r="T42" s="26">
        <v>2</v>
      </c>
    </row>
    <row r="43" spans="2:20">
      <c r="C43" s="8" t="s">
        <v>195</v>
      </c>
      <c r="D43" s="27">
        <v>0</v>
      </c>
      <c r="E43" s="27">
        <v>0</v>
      </c>
      <c r="F43" s="27">
        <v>1</v>
      </c>
      <c r="G43" s="27">
        <v>0</v>
      </c>
      <c r="H43" s="27">
        <v>0</v>
      </c>
      <c r="I43" s="27">
        <v>1</v>
      </c>
      <c r="J43" s="27">
        <v>1</v>
      </c>
      <c r="K43" s="27">
        <v>1</v>
      </c>
      <c r="L43" s="27">
        <v>1</v>
      </c>
      <c r="M43" s="27">
        <v>1</v>
      </c>
      <c r="N43" s="27">
        <v>1</v>
      </c>
      <c r="O43" s="27">
        <v>0</v>
      </c>
      <c r="P43" s="27">
        <v>4</v>
      </c>
      <c r="Q43" s="27">
        <v>0</v>
      </c>
      <c r="R43" s="27">
        <v>0</v>
      </c>
      <c r="S43" s="27">
        <v>0</v>
      </c>
      <c r="T43" s="26">
        <v>5</v>
      </c>
    </row>
    <row r="44" spans="2:20">
      <c r="C44" s="8" t="s">
        <v>198</v>
      </c>
      <c r="D44" s="27">
        <v>1</v>
      </c>
      <c r="E44" s="27">
        <v>0</v>
      </c>
      <c r="F44" s="27">
        <v>0</v>
      </c>
      <c r="G44" s="27">
        <v>1</v>
      </c>
      <c r="H44" s="27">
        <v>0</v>
      </c>
      <c r="I44" s="27">
        <v>0</v>
      </c>
      <c r="J44" s="27">
        <v>0</v>
      </c>
      <c r="K44" s="27">
        <v>1</v>
      </c>
      <c r="L44" s="27">
        <v>1</v>
      </c>
      <c r="M44" s="27">
        <v>1</v>
      </c>
      <c r="N44" s="27">
        <v>0</v>
      </c>
      <c r="O44" s="27">
        <v>0</v>
      </c>
      <c r="P44" s="27">
        <v>4</v>
      </c>
      <c r="Q44" s="27">
        <v>1</v>
      </c>
      <c r="R44" s="27">
        <v>1</v>
      </c>
      <c r="S44" s="27">
        <v>1</v>
      </c>
      <c r="T44" s="26">
        <v>1</v>
      </c>
    </row>
    <row r="45" spans="2:20">
      <c r="C45" s="8" t="s">
        <v>199</v>
      </c>
      <c r="D45" s="27">
        <v>1</v>
      </c>
      <c r="E45" s="27">
        <v>0</v>
      </c>
      <c r="F45" s="27">
        <v>0</v>
      </c>
      <c r="G45" s="27">
        <v>1</v>
      </c>
      <c r="H45" s="27">
        <v>0</v>
      </c>
      <c r="I45" s="27">
        <v>0</v>
      </c>
      <c r="J45" s="27">
        <v>0</v>
      </c>
      <c r="K45" s="27">
        <v>1</v>
      </c>
      <c r="L45" s="27">
        <v>1</v>
      </c>
      <c r="M45" s="27">
        <v>1</v>
      </c>
      <c r="N45" s="27">
        <v>0</v>
      </c>
      <c r="O45" s="27">
        <v>0</v>
      </c>
      <c r="P45" s="27">
        <v>2</v>
      </c>
      <c r="Q45" s="27">
        <v>0</v>
      </c>
      <c r="R45" s="27">
        <v>0</v>
      </c>
      <c r="S45" s="27">
        <v>1</v>
      </c>
      <c r="T45" s="26">
        <v>1</v>
      </c>
    </row>
    <row r="46" spans="2:20">
      <c r="C46" s="8" t="s">
        <v>202</v>
      </c>
      <c r="D46" s="27">
        <v>1</v>
      </c>
      <c r="E46" s="27">
        <v>0</v>
      </c>
      <c r="F46" s="27">
        <v>0</v>
      </c>
      <c r="G46" s="27">
        <v>1</v>
      </c>
      <c r="H46" s="27">
        <v>0</v>
      </c>
      <c r="I46" s="27">
        <v>0</v>
      </c>
      <c r="J46" s="27">
        <v>0</v>
      </c>
      <c r="K46" s="27">
        <v>1</v>
      </c>
      <c r="L46" s="27">
        <v>1</v>
      </c>
      <c r="M46" s="27">
        <v>1</v>
      </c>
      <c r="N46" s="27">
        <v>0</v>
      </c>
      <c r="O46" s="27">
        <v>0</v>
      </c>
      <c r="P46" s="27">
        <v>4</v>
      </c>
      <c r="Q46" s="27">
        <v>1</v>
      </c>
      <c r="R46" s="27">
        <v>1</v>
      </c>
      <c r="S46" s="27">
        <v>0</v>
      </c>
      <c r="T46" s="26">
        <v>1</v>
      </c>
    </row>
    <row r="47" spans="2:20">
      <c r="C47" s="8" t="s">
        <v>205</v>
      </c>
      <c r="D47" s="27">
        <v>0</v>
      </c>
      <c r="E47" s="27">
        <v>0</v>
      </c>
      <c r="F47" s="27">
        <v>1</v>
      </c>
      <c r="G47" s="27">
        <v>0</v>
      </c>
      <c r="H47" s="27">
        <v>0</v>
      </c>
      <c r="I47" s="27">
        <v>1</v>
      </c>
      <c r="J47" s="27">
        <v>1</v>
      </c>
      <c r="K47" s="27">
        <v>1</v>
      </c>
      <c r="L47" s="27">
        <v>1</v>
      </c>
      <c r="M47" s="27">
        <v>0</v>
      </c>
      <c r="N47" s="27">
        <v>0</v>
      </c>
      <c r="O47" s="27">
        <v>1</v>
      </c>
      <c r="P47" s="27">
        <v>0</v>
      </c>
      <c r="Q47" s="27">
        <v>1</v>
      </c>
      <c r="R47" s="27">
        <v>0</v>
      </c>
      <c r="S47" s="27">
        <v>0</v>
      </c>
      <c r="T47" s="26">
        <v>4</v>
      </c>
    </row>
    <row r="48" spans="2:20">
      <c r="C48" s="8" t="s">
        <v>207</v>
      </c>
      <c r="D48" s="27">
        <v>1</v>
      </c>
      <c r="E48" s="27">
        <v>0</v>
      </c>
      <c r="F48" s="27">
        <v>1</v>
      </c>
      <c r="G48" s="27">
        <v>0</v>
      </c>
      <c r="H48" s="27">
        <v>1</v>
      </c>
      <c r="I48" s="27">
        <v>0</v>
      </c>
      <c r="J48" s="27">
        <v>0</v>
      </c>
      <c r="K48" s="27">
        <v>0</v>
      </c>
      <c r="L48" s="27">
        <v>0</v>
      </c>
      <c r="M48" s="27">
        <v>1</v>
      </c>
      <c r="N48" s="27">
        <v>0</v>
      </c>
      <c r="O48" s="27">
        <v>0</v>
      </c>
      <c r="P48" s="27">
        <v>6</v>
      </c>
      <c r="Q48" s="27">
        <v>0</v>
      </c>
      <c r="R48" s="27">
        <v>0</v>
      </c>
      <c r="S48" s="27">
        <v>0</v>
      </c>
      <c r="T48" s="26">
        <v>6</v>
      </c>
    </row>
    <row r="49" spans="3:20">
      <c r="C49" s="8" t="s">
        <v>217</v>
      </c>
      <c r="D49" s="27">
        <v>0</v>
      </c>
      <c r="E49" s="27">
        <v>0</v>
      </c>
      <c r="F49" s="27">
        <v>1</v>
      </c>
      <c r="G49" s="27">
        <v>0</v>
      </c>
      <c r="H49" s="27">
        <v>0</v>
      </c>
      <c r="I49" s="27">
        <v>1</v>
      </c>
      <c r="J49" s="27">
        <v>1</v>
      </c>
      <c r="K49" s="27">
        <v>1</v>
      </c>
      <c r="L49" s="27">
        <v>1</v>
      </c>
      <c r="M49" s="27">
        <v>1</v>
      </c>
      <c r="N49" s="27">
        <v>0</v>
      </c>
      <c r="O49" s="27">
        <v>0</v>
      </c>
      <c r="P49" s="27">
        <v>4</v>
      </c>
      <c r="Q49" s="27">
        <v>1</v>
      </c>
      <c r="R49" s="27">
        <v>0</v>
      </c>
      <c r="S49" s="27">
        <v>0</v>
      </c>
      <c r="T49" s="26">
        <v>5</v>
      </c>
    </row>
    <row r="50" spans="3:20">
      <c r="C50" s="8" t="s">
        <v>218</v>
      </c>
      <c r="D50" s="27">
        <v>1</v>
      </c>
      <c r="E50" s="27">
        <v>0</v>
      </c>
      <c r="F50" s="27">
        <v>0</v>
      </c>
      <c r="G50" s="27">
        <v>1</v>
      </c>
      <c r="H50" s="27">
        <v>0</v>
      </c>
      <c r="I50" s="27">
        <v>0</v>
      </c>
      <c r="J50" s="27">
        <v>1</v>
      </c>
      <c r="K50" s="27">
        <v>1</v>
      </c>
      <c r="L50" s="27">
        <v>1</v>
      </c>
      <c r="M50" s="27">
        <v>1</v>
      </c>
      <c r="N50" s="27">
        <v>0</v>
      </c>
      <c r="O50" s="27">
        <v>0</v>
      </c>
      <c r="P50" s="27">
        <v>4</v>
      </c>
      <c r="Q50" s="27">
        <v>1</v>
      </c>
      <c r="R50" s="27">
        <v>0</v>
      </c>
      <c r="S50" s="27">
        <v>0</v>
      </c>
      <c r="T50" s="26">
        <v>1</v>
      </c>
    </row>
    <row r="51" spans="3:20">
      <c r="C51" s="8" t="s">
        <v>219</v>
      </c>
      <c r="D51" s="27">
        <v>1</v>
      </c>
      <c r="E51" s="27">
        <v>0</v>
      </c>
      <c r="F51" s="27">
        <v>0</v>
      </c>
      <c r="G51" s="27">
        <v>1</v>
      </c>
      <c r="H51" s="27">
        <v>0</v>
      </c>
      <c r="I51" s="27">
        <v>0</v>
      </c>
      <c r="J51" s="27">
        <v>0</v>
      </c>
      <c r="K51" s="27">
        <v>1</v>
      </c>
      <c r="L51" s="27">
        <v>1</v>
      </c>
      <c r="M51" s="27">
        <v>1</v>
      </c>
      <c r="N51" s="27">
        <v>0</v>
      </c>
      <c r="O51" s="27">
        <v>0</v>
      </c>
      <c r="P51" s="27">
        <v>4</v>
      </c>
      <c r="Q51" s="27">
        <v>1</v>
      </c>
      <c r="R51" s="27">
        <v>0</v>
      </c>
      <c r="S51" s="27">
        <v>1</v>
      </c>
      <c r="T51" s="26">
        <v>1</v>
      </c>
    </row>
    <row r="52" spans="3:20">
      <c r="C52" s="8" t="s">
        <v>224</v>
      </c>
      <c r="D52" s="27">
        <v>0</v>
      </c>
      <c r="E52" s="27">
        <v>0</v>
      </c>
      <c r="F52" s="27">
        <v>1</v>
      </c>
      <c r="G52" s="27">
        <v>0</v>
      </c>
      <c r="H52" s="27">
        <v>0</v>
      </c>
      <c r="I52" s="27">
        <v>1</v>
      </c>
      <c r="J52" s="27">
        <v>1</v>
      </c>
      <c r="K52" s="27">
        <v>1</v>
      </c>
      <c r="L52" s="27">
        <v>1</v>
      </c>
      <c r="M52" s="27">
        <v>0</v>
      </c>
      <c r="N52" s="27">
        <v>0</v>
      </c>
      <c r="O52" s="27">
        <v>1</v>
      </c>
      <c r="P52" s="27">
        <v>0</v>
      </c>
      <c r="Q52" s="27">
        <v>1</v>
      </c>
      <c r="R52" s="27">
        <v>0</v>
      </c>
      <c r="S52" s="27">
        <v>0</v>
      </c>
      <c r="T52" s="26">
        <v>4</v>
      </c>
    </row>
    <row r="53" spans="3:20">
      <c r="C53" s="8" t="s">
        <v>226</v>
      </c>
      <c r="D53" s="27">
        <v>1</v>
      </c>
      <c r="E53" s="27">
        <v>0</v>
      </c>
      <c r="F53" s="27">
        <v>1</v>
      </c>
      <c r="G53" s="27">
        <v>1</v>
      </c>
      <c r="H53" s="27">
        <v>0</v>
      </c>
      <c r="I53" s="27">
        <v>1</v>
      </c>
      <c r="J53" s="27">
        <v>1</v>
      </c>
      <c r="K53" s="27">
        <v>0</v>
      </c>
      <c r="L53" s="27">
        <v>1</v>
      </c>
      <c r="M53" s="27">
        <v>1</v>
      </c>
      <c r="N53" s="27">
        <v>0</v>
      </c>
      <c r="O53" s="27">
        <v>0</v>
      </c>
      <c r="P53" s="27">
        <v>4</v>
      </c>
      <c r="Q53" s="27">
        <v>1</v>
      </c>
      <c r="R53" s="27">
        <v>0</v>
      </c>
      <c r="S53" s="27">
        <v>1</v>
      </c>
      <c r="T53" s="26">
        <v>1</v>
      </c>
    </row>
    <row r="54" spans="3:20">
      <c r="C54" s="8" t="s">
        <v>227</v>
      </c>
      <c r="D54" s="27">
        <v>1</v>
      </c>
      <c r="E54" s="27">
        <v>0</v>
      </c>
      <c r="F54" s="27">
        <v>0</v>
      </c>
      <c r="G54" s="27">
        <v>1</v>
      </c>
      <c r="H54" s="27">
        <v>0</v>
      </c>
      <c r="I54" s="27">
        <v>0</v>
      </c>
      <c r="J54" s="27">
        <v>1</v>
      </c>
      <c r="K54" s="27">
        <v>1</v>
      </c>
      <c r="L54" s="27">
        <v>1</v>
      </c>
      <c r="M54" s="27">
        <v>1</v>
      </c>
      <c r="N54" s="27">
        <v>0</v>
      </c>
      <c r="O54" s="27">
        <v>0</v>
      </c>
      <c r="P54" s="27">
        <v>4</v>
      </c>
      <c r="Q54" s="27">
        <v>1</v>
      </c>
      <c r="R54" s="27">
        <v>0</v>
      </c>
      <c r="S54" s="27">
        <v>1</v>
      </c>
      <c r="T54" s="26">
        <v>1</v>
      </c>
    </row>
    <row r="55" spans="3:20">
      <c r="C55" s="8" t="s">
        <v>229</v>
      </c>
      <c r="D55" s="27">
        <v>0</v>
      </c>
      <c r="E55" s="27">
        <v>0</v>
      </c>
      <c r="F55" s="27">
        <v>0</v>
      </c>
      <c r="G55" s="27">
        <v>1</v>
      </c>
      <c r="H55" s="27">
        <v>0</v>
      </c>
      <c r="I55" s="27">
        <v>1</v>
      </c>
      <c r="J55" s="27">
        <v>1</v>
      </c>
      <c r="K55" s="27">
        <v>1</v>
      </c>
      <c r="L55" s="27">
        <v>1</v>
      </c>
      <c r="M55" s="27">
        <v>1</v>
      </c>
      <c r="N55" s="27">
        <v>0</v>
      </c>
      <c r="O55" s="27">
        <v>1</v>
      </c>
      <c r="P55" s="27">
        <v>0</v>
      </c>
      <c r="Q55" s="27">
        <v>1</v>
      </c>
      <c r="R55" s="27">
        <v>0</v>
      </c>
      <c r="S55" s="27">
        <v>1</v>
      </c>
      <c r="T55" s="26">
        <v>1</v>
      </c>
    </row>
    <row r="56" spans="3:20">
      <c r="C56" s="8" t="s">
        <v>230</v>
      </c>
      <c r="D56" s="27">
        <v>1</v>
      </c>
      <c r="E56" s="27">
        <v>0</v>
      </c>
      <c r="F56" s="27">
        <v>0</v>
      </c>
      <c r="G56" s="27">
        <v>1</v>
      </c>
      <c r="H56" s="27">
        <v>0</v>
      </c>
      <c r="I56" s="27">
        <v>0</v>
      </c>
      <c r="J56" s="27">
        <v>1</v>
      </c>
      <c r="K56" s="27">
        <v>1</v>
      </c>
      <c r="L56" s="27">
        <v>1</v>
      </c>
      <c r="M56" s="27">
        <v>1</v>
      </c>
      <c r="N56" s="27">
        <v>0</v>
      </c>
      <c r="O56" s="27">
        <v>0</v>
      </c>
      <c r="P56" s="27">
        <v>4</v>
      </c>
      <c r="Q56" s="27">
        <v>1</v>
      </c>
      <c r="R56" s="27">
        <v>0</v>
      </c>
      <c r="S56" s="27">
        <v>1</v>
      </c>
      <c r="T56" s="26">
        <v>1</v>
      </c>
    </row>
    <row r="57" spans="3:20">
      <c r="C57" s="8" t="s">
        <v>231</v>
      </c>
      <c r="D57" s="27">
        <v>1</v>
      </c>
      <c r="E57" s="27">
        <v>0</v>
      </c>
      <c r="F57" s="27">
        <v>0</v>
      </c>
      <c r="G57" s="27">
        <v>1</v>
      </c>
      <c r="H57" s="27">
        <v>0</v>
      </c>
      <c r="I57" s="27">
        <v>0</v>
      </c>
      <c r="J57" s="27">
        <v>1</v>
      </c>
      <c r="K57" s="27">
        <v>1</v>
      </c>
      <c r="L57" s="27">
        <v>1</v>
      </c>
      <c r="M57" s="27">
        <v>1</v>
      </c>
      <c r="N57" s="27">
        <v>0</v>
      </c>
      <c r="O57" s="27">
        <v>0</v>
      </c>
      <c r="P57" s="27">
        <v>4</v>
      </c>
      <c r="Q57" s="27">
        <v>1</v>
      </c>
      <c r="R57" s="27">
        <v>1</v>
      </c>
      <c r="S57" s="27">
        <v>1</v>
      </c>
      <c r="T57" s="26">
        <v>1</v>
      </c>
    </row>
    <row r="58" spans="3:20">
      <c r="C58" s="8" t="s">
        <v>232</v>
      </c>
      <c r="D58" s="27">
        <v>1</v>
      </c>
      <c r="E58" s="27">
        <v>0</v>
      </c>
      <c r="F58" s="27">
        <v>0</v>
      </c>
      <c r="G58" s="27">
        <v>1</v>
      </c>
      <c r="H58" s="27">
        <v>0</v>
      </c>
      <c r="I58" s="27">
        <v>0</v>
      </c>
      <c r="J58" s="27">
        <v>1</v>
      </c>
      <c r="K58" s="27">
        <v>1</v>
      </c>
      <c r="L58" s="27">
        <v>1</v>
      </c>
      <c r="M58" s="27">
        <v>1</v>
      </c>
      <c r="N58" s="27">
        <v>0</v>
      </c>
      <c r="O58" s="27">
        <v>0</v>
      </c>
      <c r="P58" s="27">
        <v>4</v>
      </c>
      <c r="Q58" s="27">
        <v>1</v>
      </c>
      <c r="R58" s="27">
        <v>0</v>
      </c>
      <c r="S58" s="27">
        <v>1</v>
      </c>
      <c r="T58" s="26">
        <v>1</v>
      </c>
    </row>
    <row r="59" spans="3:20">
      <c r="C59" s="8" t="s">
        <v>235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1</v>
      </c>
      <c r="K59" s="27">
        <v>0</v>
      </c>
      <c r="L59" s="27">
        <v>0</v>
      </c>
      <c r="M59" s="27">
        <v>1</v>
      </c>
      <c r="N59" s="27">
        <v>1</v>
      </c>
      <c r="O59" s="27">
        <v>0</v>
      </c>
      <c r="P59" s="27">
        <v>8</v>
      </c>
      <c r="Q59" s="27">
        <v>1</v>
      </c>
      <c r="R59" s="27">
        <v>0</v>
      </c>
      <c r="S59" s="27">
        <v>0</v>
      </c>
      <c r="T59" s="26">
        <v>7</v>
      </c>
    </row>
    <row r="60" spans="3:20">
      <c r="C60" s="8" t="s">
        <v>236</v>
      </c>
      <c r="D60" s="27">
        <v>0</v>
      </c>
      <c r="E60" s="27">
        <v>0</v>
      </c>
      <c r="F60" s="27">
        <v>1</v>
      </c>
      <c r="G60" s="27">
        <v>0</v>
      </c>
      <c r="H60" s="27">
        <v>0</v>
      </c>
      <c r="I60" s="27">
        <v>1</v>
      </c>
      <c r="J60" s="27">
        <v>0</v>
      </c>
      <c r="K60" s="27">
        <v>1</v>
      </c>
      <c r="L60" s="27">
        <v>1</v>
      </c>
      <c r="M60" s="27">
        <v>0</v>
      </c>
      <c r="N60" s="27">
        <v>0</v>
      </c>
      <c r="O60" s="27">
        <v>1</v>
      </c>
      <c r="P60" s="27">
        <v>0</v>
      </c>
      <c r="Q60" s="27">
        <v>1</v>
      </c>
      <c r="R60" s="27">
        <v>0</v>
      </c>
      <c r="S60" s="27">
        <v>0</v>
      </c>
      <c r="T60" s="26">
        <v>4</v>
      </c>
    </row>
    <row r="61" spans="3:20">
      <c r="C61" s="8" t="s">
        <v>238</v>
      </c>
      <c r="D61" s="27">
        <v>1</v>
      </c>
      <c r="E61" s="27">
        <v>0</v>
      </c>
      <c r="F61" s="27">
        <v>0</v>
      </c>
      <c r="G61" s="27">
        <v>1</v>
      </c>
      <c r="H61" s="27">
        <v>0</v>
      </c>
      <c r="I61" s="27">
        <v>1</v>
      </c>
      <c r="J61" s="27">
        <v>1</v>
      </c>
      <c r="K61" s="27">
        <v>1</v>
      </c>
      <c r="L61" s="27">
        <v>1</v>
      </c>
      <c r="M61" s="27">
        <v>1</v>
      </c>
      <c r="N61" s="27">
        <v>0</v>
      </c>
      <c r="O61" s="27">
        <v>1</v>
      </c>
      <c r="P61" s="27">
        <v>2</v>
      </c>
      <c r="Q61" s="27">
        <v>1</v>
      </c>
      <c r="R61" s="27">
        <v>0</v>
      </c>
      <c r="S61" s="27">
        <v>1</v>
      </c>
      <c r="T61" s="26">
        <v>1</v>
      </c>
    </row>
    <row r="62" spans="3:20">
      <c r="C62" s="8" t="s">
        <v>243</v>
      </c>
      <c r="D62" s="27">
        <v>0</v>
      </c>
      <c r="E62" s="27">
        <v>0</v>
      </c>
      <c r="F62" s="27">
        <v>1</v>
      </c>
      <c r="G62" s="27">
        <v>0</v>
      </c>
      <c r="H62" s="27">
        <v>0</v>
      </c>
      <c r="I62" s="27">
        <v>0</v>
      </c>
      <c r="J62" s="27">
        <v>1</v>
      </c>
      <c r="K62" s="27">
        <v>1</v>
      </c>
      <c r="L62" s="27">
        <v>1</v>
      </c>
      <c r="M62" s="27">
        <v>1</v>
      </c>
      <c r="N62" s="27">
        <v>0</v>
      </c>
      <c r="O62" s="27">
        <v>0</v>
      </c>
      <c r="P62" s="27">
        <v>0</v>
      </c>
      <c r="Q62" s="27">
        <v>1</v>
      </c>
      <c r="R62" s="27">
        <v>0</v>
      </c>
      <c r="S62" s="27">
        <v>0</v>
      </c>
      <c r="T62" s="26">
        <v>3</v>
      </c>
    </row>
    <row r="63" spans="3:20">
      <c r="C63" s="8" t="s">
        <v>251</v>
      </c>
      <c r="D63" s="27">
        <v>0</v>
      </c>
      <c r="E63" s="27">
        <v>0</v>
      </c>
      <c r="F63" s="27">
        <v>1</v>
      </c>
      <c r="G63" s="27">
        <v>0</v>
      </c>
      <c r="H63" s="27">
        <v>0</v>
      </c>
      <c r="I63" s="27">
        <v>1</v>
      </c>
      <c r="J63" s="27">
        <v>0</v>
      </c>
      <c r="K63" s="27">
        <v>1</v>
      </c>
      <c r="L63" s="27">
        <v>1</v>
      </c>
      <c r="M63" s="27">
        <v>1</v>
      </c>
      <c r="N63" s="27">
        <v>0</v>
      </c>
      <c r="O63" s="27">
        <v>0</v>
      </c>
      <c r="P63" s="27">
        <v>4</v>
      </c>
      <c r="Q63" s="27">
        <v>0</v>
      </c>
      <c r="R63" s="27">
        <v>0</v>
      </c>
      <c r="S63" s="27">
        <v>0</v>
      </c>
      <c r="T63" s="26">
        <v>5</v>
      </c>
    </row>
    <row r="64" spans="3:20">
      <c r="C64" s="8" t="s">
        <v>252</v>
      </c>
      <c r="D64" s="27">
        <v>0</v>
      </c>
      <c r="E64" s="27">
        <v>0</v>
      </c>
      <c r="F64" s="27">
        <v>1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1</v>
      </c>
      <c r="M64" s="27">
        <v>1</v>
      </c>
      <c r="N64" s="27">
        <v>0</v>
      </c>
      <c r="O64" s="27">
        <v>0</v>
      </c>
      <c r="P64" s="27">
        <v>4</v>
      </c>
      <c r="Q64" s="27">
        <v>1</v>
      </c>
      <c r="R64" s="27">
        <v>0</v>
      </c>
      <c r="S64" s="27">
        <v>1</v>
      </c>
      <c r="T64" s="26">
        <v>3</v>
      </c>
    </row>
    <row r="65" spans="3:20">
      <c r="C65" s="8" t="s">
        <v>253</v>
      </c>
      <c r="D65" s="27">
        <v>0</v>
      </c>
      <c r="E65" s="27">
        <v>0</v>
      </c>
      <c r="F65" s="27">
        <v>1</v>
      </c>
      <c r="G65" s="27">
        <v>0</v>
      </c>
      <c r="H65" s="27">
        <v>0</v>
      </c>
      <c r="I65" s="27">
        <v>0</v>
      </c>
      <c r="J65" s="27">
        <v>1</v>
      </c>
      <c r="K65" s="27">
        <v>1</v>
      </c>
      <c r="L65" s="27">
        <v>1</v>
      </c>
      <c r="M65" s="27">
        <v>1</v>
      </c>
      <c r="N65" s="27">
        <v>0</v>
      </c>
      <c r="O65" s="27">
        <v>0</v>
      </c>
      <c r="P65" s="27">
        <v>4</v>
      </c>
      <c r="Q65" s="27">
        <v>1</v>
      </c>
      <c r="R65" s="27">
        <v>0</v>
      </c>
      <c r="S65" s="27">
        <v>0</v>
      </c>
      <c r="T65" s="26">
        <v>3</v>
      </c>
    </row>
    <row r="66" spans="3:20">
      <c r="C66" s="8" t="s">
        <v>254</v>
      </c>
      <c r="D66" s="27">
        <v>0</v>
      </c>
      <c r="E66" s="27">
        <v>0</v>
      </c>
      <c r="F66" s="27">
        <v>1</v>
      </c>
      <c r="G66" s="27">
        <v>0</v>
      </c>
      <c r="H66" s="27">
        <v>0</v>
      </c>
      <c r="I66" s="27">
        <v>1</v>
      </c>
      <c r="J66" s="27">
        <v>1</v>
      </c>
      <c r="K66" s="27">
        <v>1</v>
      </c>
      <c r="L66" s="27">
        <v>1</v>
      </c>
      <c r="M66" s="27">
        <v>0</v>
      </c>
      <c r="N66" s="27">
        <v>0</v>
      </c>
      <c r="O66" s="27">
        <v>1</v>
      </c>
      <c r="P66" s="27">
        <v>0</v>
      </c>
      <c r="Q66" s="27">
        <v>1</v>
      </c>
      <c r="R66" s="27">
        <v>0</v>
      </c>
      <c r="S66" s="27">
        <v>1</v>
      </c>
      <c r="T66" s="26">
        <v>4</v>
      </c>
    </row>
    <row r="67" spans="3:20">
      <c r="C67" s="8" t="s">
        <v>258</v>
      </c>
      <c r="D67" s="27">
        <v>1</v>
      </c>
      <c r="E67" s="27">
        <v>0</v>
      </c>
      <c r="F67" s="27">
        <v>0</v>
      </c>
      <c r="G67" s="27">
        <v>1</v>
      </c>
      <c r="H67" s="27">
        <v>0</v>
      </c>
      <c r="I67" s="27">
        <v>0</v>
      </c>
      <c r="J67" s="27">
        <v>0</v>
      </c>
      <c r="K67" s="27">
        <v>1</v>
      </c>
      <c r="L67" s="27">
        <v>1</v>
      </c>
      <c r="M67" s="27">
        <v>1</v>
      </c>
      <c r="N67" s="27">
        <v>0</v>
      </c>
      <c r="O67" s="27">
        <v>0</v>
      </c>
      <c r="P67" s="27">
        <v>2</v>
      </c>
      <c r="Q67" s="27">
        <v>1</v>
      </c>
      <c r="R67" s="27">
        <v>0</v>
      </c>
      <c r="S67" s="27">
        <v>1</v>
      </c>
      <c r="T67" s="26">
        <v>1</v>
      </c>
    </row>
    <row r="68" spans="3:20">
      <c r="C68" s="8" t="s">
        <v>262</v>
      </c>
      <c r="D68" s="27">
        <v>0</v>
      </c>
      <c r="E68" s="27">
        <v>1</v>
      </c>
      <c r="F68" s="27">
        <v>1</v>
      </c>
      <c r="G68" s="27">
        <v>0</v>
      </c>
      <c r="H68" s="27">
        <v>1</v>
      </c>
      <c r="I68" s="27">
        <v>0</v>
      </c>
      <c r="J68" s="27">
        <v>0</v>
      </c>
      <c r="K68" s="27">
        <v>0</v>
      </c>
      <c r="L68" s="27">
        <v>1</v>
      </c>
      <c r="M68" s="27">
        <v>1</v>
      </c>
      <c r="N68" s="27">
        <v>0</v>
      </c>
      <c r="O68" s="27">
        <v>0</v>
      </c>
      <c r="P68" s="27">
        <v>2</v>
      </c>
      <c r="Q68" s="27">
        <v>1</v>
      </c>
      <c r="R68" s="27">
        <v>0</v>
      </c>
      <c r="S68" s="27">
        <v>0</v>
      </c>
      <c r="T68" s="26">
        <v>2</v>
      </c>
    </row>
    <row r="69" spans="3:20">
      <c r="C69" s="8" t="s">
        <v>188</v>
      </c>
      <c r="D69" s="27">
        <v>0</v>
      </c>
      <c r="E69" s="27">
        <v>0</v>
      </c>
      <c r="F69" s="27">
        <v>0</v>
      </c>
      <c r="G69" s="27">
        <v>1</v>
      </c>
      <c r="H69" s="27">
        <v>0</v>
      </c>
      <c r="I69" s="27">
        <v>1</v>
      </c>
      <c r="J69" s="27">
        <v>1</v>
      </c>
      <c r="K69" s="27">
        <v>1</v>
      </c>
      <c r="L69" s="27">
        <v>1</v>
      </c>
      <c r="M69" s="27">
        <v>1</v>
      </c>
      <c r="N69" s="27">
        <v>0</v>
      </c>
      <c r="O69" s="27">
        <v>1</v>
      </c>
      <c r="P69" s="27">
        <v>0</v>
      </c>
      <c r="Q69" s="27">
        <v>1</v>
      </c>
      <c r="R69" s="27">
        <v>0</v>
      </c>
      <c r="S69" s="27">
        <v>1</v>
      </c>
      <c r="T69" s="26">
        <v>1</v>
      </c>
    </row>
    <row r="70" spans="3:20">
      <c r="C70" s="8" t="s">
        <v>191</v>
      </c>
      <c r="D70" s="27">
        <v>1</v>
      </c>
      <c r="E70" s="27">
        <v>0</v>
      </c>
      <c r="F70" s="27">
        <v>0</v>
      </c>
      <c r="G70" s="27">
        <v>1</v>
      </c>
      <c r="H70" s="27">
        <v>0</v>
      </c>
      <c r="I70" s="27">
        <v>0</v>
      </c>
      <c r="J70" s="27">
        <v>0</v>
      </c>
      <c r="K70" s="27">
        <v>1</v>
      </c>
      <c r="L70" s="27">
        <v>1</v>
      </c>
      <c r="M70" s="27">
        <v>1</v>
      </c>
      <c r="N70" s="27">
        <v>0</v>
      </c>
      <c r="O70" s="27">
        <v>0</v>
      </c>
      <c r="P70" s="27">
        <v>4</v>
      </c>
      <c r="Q70" s="27">
        <v>1</v>
      </c>
      <c r="R70" s="27">
        <v>0</v>
      </c>
      <c r="S70" s="27">
        <v>1</v>
      </c>
      <c r="T70" s="26">
        <v>1</v>
      </c>
    </row>
    <row r="71" spans="3:20">
      <c r="C71" s="8" t="s">
        <v>261</v>
      </c>
      <c r="D71" s="27">
        <v>0</v>
      </c>
      <c r="E71" s="27">
        <v>0</v>
      </c>
      <c r="F71" s="27">
        <v>1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1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6">
        <v>7</v>
      </c>
    </row>
    <row r="72" spans="3:20">
      <c r="C72" s="8" t="s">
        <v>196</v>
      </c>
      <c r="D72" s="27">
        <v>1</v>
      </c>
      <c r="E72" s="27">
        <v>0</v>
      </c>
      <c r="F72" s="27">
        <v>0</v>
      </c>
      <c r="G72" s="27">
        <v>1</v>
      </c>
      <c r="H72" s="27">
        <v>1</v>
      </c>
      <c r="I72" s="27">
        <v>0</v>
      </c>
      <c r="J72" s="27">
        <v>0</v>
      </c>
      <c r="K72" s="27">
        <v>1</v>
      </c>
      <c r="L72" s="27">
        <v>1</v>
      </c>
      <c r="M72" s="27">
        <v>1</v>
      </c>
      <c r="N72" s="27">
        <v>0</v>
      </c>
      <c r="O72" s="27">
        <v>0</v>
      </c>
      <c r="P72" s="27">
        <v>2</v>
      </c>
      <c r="Q72" s="27">
        <v>1</v>
      </c>
      <c r="R72" s="27">
        <v>0</v>
      </c>
      <c r="S72" s="27">
        <v>0</v>
      </c>
      <c r="T72" s="26">
        <v>1</v>
      </c>
    </row>
    <row r="73" spans="3:20">
      <c r="C73" s="8" t="s">
        <v>193</v>
      </c>
      <c r="D73" s="27">
        <v>0</v>
      </c>
      <c r="E73" s="27">
        <v>0</v>
      </c>
      <c r="F73" s="27">
        <v>1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1</v>
      </c>
      <c r="N73" s="27">
        <v>0</v>
      </c>
      <c r="O73" s="27">
        <v>0</v>
      </c>
      <c r="P73" s="27">
        <v>6</v>
      </c>
      <c r="Q73" s="27">
        <v>0</v>
      </c>
      <c r="R73" s="27">
        <v>0</v>
      </c>
      <c r="S73" s="27">
        <v>0</v>
      </c>
      <c r="T73" s="26">
        <v>6</v>
      </c>
    </row>
    <row r="74" spans="3:20">
      <c r="C74" s="8" t="s">
        <v>215</v>
      </c>
      <c r="D74" s="27">
        <v>1</v>
      </c>
      <c r="E74" s="27">
        <v>0</v>
      </c>
      <c r="F74" s="27">
        <v>0</v>
      </c>
      <c r="G74" s="27">
        <v>1</v>
      </c>
      <c r="H74" s="27">
        <v>0</v>
      </c>
      <c r="I74" s="27">
        <v>0</v>
      </c>
      <c r="J74" s="27">
        <v>1</v>
      </c>
      <c r="K74" s="27">
        <v>1</v>
      </c>
      <c r="L74" s="27">
        <v>1</v>
      </c>
      <c r="M74" s="27">
        <v>1</v>
      </c>
      <c r="N74" s="27">
        <v>0</v>
      </c>
      <c r="O74" s="27">
        <v>0</v>
      </c>
      <c r="P74" s="27">
        <v>4</v>
      </c>
      <c r="Q74" s="27">
        <v>1</v>
      </c>
      <c r="R74" s="27">
        <v>0</v>
      </c>
      <c r="S74" s="27">
        <v>1</v>
      </c>
      <c r="T74" s="26">
        <v>1</v>
      </c>
    </row>
    <row r="75" spans="3:20">
      <c r="C75" s="8" t="s">
        <v>203</v>
      </c>
      <c r="D75" s="27">
        <v>1</v>
      </c>
      <c r="E75" s="27">
        <v>0</v>
      </c>
      <c r="F75" s="27">
        <v>0</v>
      </c>
      <c r="G75" s="27">
        <v>1</v>
      </c>
      <c r="H75" s="27">
        <v>0</v>
      </c>
      <c r="I75" s="27">
        <v>0</v>
      </c>
      <c r="J75" s="27">
        <v>0</v>
      </c>
      <c r="K75" s="27">
        <v>1</v>
      </c>
      <c r="L75" s="27">
        <v>1</v>
      </c>
      <c r="M75" s="27">
        <v>1</v>
      </c>
      <c r="N75" s="27">
        <v>0</v>
      </c>
      <c r="O75" s="27">
        <v>0</v>
      </c>
      <c r="P75" s="27">
        <v>4</v>
      </c>
      <c r="Q75" s="27">
        <v>1</v>
      </c>
      <c r="R75" s="27">
        <v>0</v>
      </c>
      <c r="S75" s="27">
        <v>0</v>
      </c>
      <c r="T75" s="26">
        <v>1</v>
      </c>
    </row>
    <row r="76" spans="3:20">
      <c r="C76" s="8" t="s">
        <v>212</v>
      </c>
      <c r="D76" s="27">
        <v>1</v>
      </c>
      <c r="E76" s="27">
        <v>0</v>
      </c>
      <c r="F76" s="27">
        <v>0</v>
      </c>
      <c r="G76" s="27">
        <v>1</v>
      </c>
      <c r="H76" s="27">
        <v>0</v>
      </c>
      <c r="I76" s="27">
        <v>0</v>
      </c>
      <c r="J76" s="27">
        <v>1</v>
      </c>
      <c r="K76" s="27">
        <v>1</v>
      </c>
      <c r="L76" s="27">
        <v>1</v>
      </c>
      <c r="M76" s="27">
        <v>1</v>
      </c>
      <c r="N76" s="27">
        <v>0</v>
      </c>
      <c r="O76" s="27">
        <v>0</v>
      </c>
      <c r="P76" s="27">
        <v>4</v>
      </c>
      <c r="Q76" s="27">
        <v>1</v>
      </c>
      <c r="R76" s="27">
        <v>0</v>
      </c>
      <c r="S76" s="27">
        <v>1</v>
      </c>
      <c r="T76" s="26">
        <v>1</v>
      </c>
    </row>
    <row r="77" spans="3:20">
      <c r="C77" s="8" t="s">
        <v>259</v>
      </c>
      <c r="D77" s="27">
        <v>1</v>
      </c>
      <c r="E77" s="27">
        <v>0</v>
      </c>
      <c r="F77" s="27">
        <v>1</v>
      </c>
      <c r="G77" s="27">
        <v>0</v>
      </c>
      <c r="H77" s="27">
        <v>1</v>
      </c>
      <c r="I77" s="27">
        <v>0</v>
      </c>
      <c r="J77" s="27">
        <v>0</v>
      </c>
      <c r="K77" s="27">
        <v>0</v>
      </c>
      <c r="L77" s="27">
        <v>0</v>
      </c>
      <c r="M77" s="27">
        <v>1</v>
      </c>
      <c r="N77" s="27">
        <v>1</v>
      </c>
      <c r="O77" s="27">
        <v>0</v>
      </c>
      <c r="P77" s="27">
        <v>6</v>
      </c>
      <c r="Q77" s="27">
        <v>0</v>
      </c>
      <c r="R77" s="27">
        <v>0</v>
      </c>
      <c r="S77" s="27">
        <v>0</v>
      </c>
      <c r="T77" s="26">
        <v>6</v>
      </c>
    </row>
    <row r="78" spans="3:20">
      <c r="C78" s="8" t="s">
        <v>186</v>
      </c>
      <c r="D78" s="27">
        <v>1</v>
      </c>
      <c r="E78" s="27">
        <v>0</v>
      </c>
      <c r="F78" s="27">
        <v>0</v>
      </c>
      <c r="G78" s="27">
        <v>1</v>
      </c>
      <c r="H78" s="27">
        <v>0</v>
      </c>
      <c r="I78" s="27">
        <v>0</v>
      </c>
      <c r="J78" s="27">
        <v>0</v>
      </c>
      <c r="K78" s="27">
        <v>1</v>
      </c>
      <c r="L78" s="27">
        <v>1</v>
      </c>
      <c r="M78" s="27">
        <v>1</v>
      </c>
      <c r="N78" s="27">
        <v>0</v>
      </c>
      <c r="O78" s="27">
        <v>0</v>
      </c>
      <c r="P78" s="27">
        <v>4</v>
      </c>
      <c r="Q78" s="27">
        <v>1</v>
      </c>
      <c r="R78" s="27">
        <v>0</v>
      </c>
      <c r="S78" s="27">
        <v>1</v>
      </c>
      <c r="T78" s="26">
        <v>1</v>
      </c>
    </row>
    <row r="79" spans="3:20">
      <c r="C79" s="8" t="s">
        <v>250</v>
      </c>
      <c r="D79" s="27">
        <v>0</v>
      </c>
      <c r="E79" s="27">
        <v>0</v>
      </c>
      <c r="F79" s="27">
        <v>1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1</v>
      </c>
      <c r="N79" s="27">
        <v>0</v>
      </c>
      <c r="O79" s="27">
        <v>0</v>
      </c>
      <c r="P79" s="27">
        <v>6</v>
      </c>
      <c r="Q79" s="27">
        <v>0</v>
      </c>
      <c r="R79" s="27">
        <v>0</v>
      </c>
      <c r="S79" s="27">
        <v>0</v>
      </c>
      <c r="T79" s="26">
        <v>6</v>
      </c>
    </row>
    <row r="80" spans="3:20">
      <c r="C80" s="8" t="s">
        <v>248</v>
      </c>
      <c r="D80" s="27">
        <v>0</v>
      </c>
      <c r="E80" s="27">
        <v>0</v>
      </c>
      <c r="F80" s="27">
        <v>1</v>
      </c>
      <c r="G80" s="27">
        <v>0</v>
      </c>
      <c r="H80" s="27">
        <v>0</v>
      </c>
      <c r="I80" s="27">
        <v>1</v>
      </c>
      <c r="J80" s="27">
        <v>1</v>
      </c>
      <c r="K80" s="27">
        <v>1</v>
      </c>
      <c r="L80" s="27">
        <v>1</v>
      </c>
      <c r="M80" s="27">
        <v>0</v>
      </c>
      <c r="N80" s="27">
        <v>1</v>
      </c>
      <c r="O80" s="27">
        <v>1</v>
      </c>
      <c r="P80" s="27">
        <v>0</v>
      </c>
      <c r="Q80" s="27">
        <v>1</v>
      </c>
      <c r="R80" s="27">
        <v>0</v>
      </c>
      <c r="S80" s="27">
        <v>1</v>
      </c>
      <c r="T80" s="26">
        <v>4</v>
      </c>
    </row>
    <row r="81" spans="3:20">
      <c r="C81" s="8" t="s">
        <v>246</v>
      </c>
      <c r="D81" s="27">
        <v>0</v>
      </c>
      <c r="E81" s="27">
        <v>1</v>
      </c>
      <c r="F81" s="27">
        <v>1</v>
      </c>
      <c r="G81" s="27">
        <v>0</v>
      </c>
      <c r="H81" s="27">
        <v>1</v>
      </c>
      <c r="I81" s="27">
        <v>0</v>
      </c>
      <c r="J81" s="27">
        <v>0</v>
      </c>
      <c r="K81" s="27">
        <v>0</v>
      </c>
      <c r="L81" s="27">
        <v>1</v>
      </c>
      <c r="M81" s="27">
        <v>1</v>
      </c>
      <c r="N81" s="27">
        <v>0</v>
      </c>
      <c r="O81" s="27">
        <v>0</v>
      </c>
      <c r="P81" s="27">
        <v>2</v>
      </c>
      <c r="Q81" s="27">
        <v>1</v>
      </c>
      <c r="R81" s="27">
        <v>0</v>
      </c>
      <c r="S81" s="27">
        <v>0</v>
      </c>
      <c r="T81" s="26">
        <v>2</v>
      </c>
    </row>
    <row r="82" spans="3:20">
      <c r="C82" s="8" t="s">
        <v>182</v>
      </c>
      <c r="D82" s="27">
        <v>0</v>
      </c>
      <c r="E82" s="27">
        <v>0</v>
      </c>
      <c r="F82" s="27">
        <v>1</v>
      </c>
      <c r="G82" s="27">
        <v>0</v>
      </c>
      <c r="H82" s="27">
        <v>0</v>
      </c>
      <c r="I82" s="27">
        <v>0</v>
      </c>
      <c r="J82" s="27">
        <v>1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6">
        <v>7</v>
      </c>
    </row>
    <row r="83" spans="3:20">
      <c r="C83" s="8" t="s">
        <v>181</v>
      </c>
      <c r="D83" s="27">
        <v>0</v>
      </c>
      <c r="E83" s="27">
        <v>1</v>
      </c>
      <c r="F83" s="27">
        <v>1</v>
      </c>
      <c r="G83" s="27">
        <v>0</v>
      </c>
      <c r="H83" s="27">
        <v>1</v>
      </c>
      <c r="I83" s="27">
        <v>0</v>
      </c>
      <c r="J83" s="27">
        <v>0</v>
      </c>
      <c r="K83" s="27">
        <v>0</v>
      </c>
      <c r="L83" s="27">
        <v>1</v>
      </c>
      <c r="M83" s="27">
        <v>1</v>
      </c>
      <c r="N83" s="27">
        <v>0</v>
      </c>
      <c r="O83" s="27">
        <v>0</v>
      </c>
      <c r="P83" s="27">
        <v>2</v>
      </c>
      <c r="Q83" s="27">
        <v>1</v>
      </c>
      <c r="R83" s="27">
        <v>1</v>
      </c>
      <c r="S83" s="27">
        <v>0</v>
      </c>
      <c r="T83" s="26">
        <v>2</v>
      </c>
    </row>
    <row r="84" spans="3:20">
      <c r="C84" s="8" t="s">
        <v>211</v>
      </c>
      <c r="D84" s="27">
        <v>0</v>
      </c>
      <c r="E84" s="27">
        <v>0</v>
      </c>
      <c r="F84" s="27">
        <v>1</v>
      </c>
      <c r="G84" s="27">
        <v>0</v>
      </c>
      <c r="H84" s="27">
        <v>0</v>
      </c>
      <c r="I84" s="27">
        <v>1</v>
      </c>
      <c r="J84" s="27">
        <v>1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6</v>
      </c>
      <c r="Q84" s="27">
        <v>0</v>
      </c>
      <c r="R84" s="27">
        <v>0</v>
      </c>
      <c r="S84" s="27">
        <v>0</v>
      </c>
      <c r="T84" s="26">
        <v>7</v>
      </c>
    </row>
    <row r="85" spans="3:20">
      <c r="C85" s="8" t="s">
        <v>241</v>
      </c>
      <c r="D85" s="27">
        <v>0</v>
      </c>
      <c r="E85" s="27">
        <v>1</v>
      </c>
      <c r="F85" s="27">
        <v>1</v>
      </c>
      <c r="G85" s="27">
        <v>0</v>
      </c>
      <c r="H85" s="27">
        <v>1</v>
      </c>
      <c r="I85" s="27">
        <v>1</v>
      </c>
      <c r="J85" s="27">
        <v>1</v>
      </c>
      <c r="K85" s="27">
        <v>0</v>
      </c>
      <c r="L85" s="27">
        <v>1</v>
      </c>
      <c r="M85" s="27">
        <v>1</v>
      </c>
      <c r="N85" s="27">
        <v>0</v>
      </c>
      <c r="O85" s="27">
        <v>0</v>
      </c>
      <c r="P85" s="27">
        <v>2</v>
      </c>
      <c r="Q85" s="27">
        <v>1</v>
      </c>
      <c r="R85" s="27">
        <v>0</v>
      </c>
      <c r="S85" s="27">
        <v>0</v>
      </c>
      <c r="T85" s="26">
        <v>2</v>
      </c>
    </row>
    <row r="86" spans="3:20">
      <c r="C86" s="8" t="s">
        <v>194</v>
      </c>
      <c r="D86" s="27">
        <v>0</v>
      </c>
      <c r="E86" s="27">
        <v>0</v>
      </c>
      <c r="F86" s="27">
        <v>1</v>
      </c>
      <c r="G86" s="27">
        <v>0</v>
      </c>
      <c r="H86" s="27">
        <v>0</v>
      </c>
      <c r="I86" s="27">
        <v>1</v>
      </c>
      <c r="J86" s="27">
        <v>1</v>
      </c>
      <c r="K86" s="27">
        <v>1</v>
      </c>
      <c r="L86" s="27">
        <v>1</v>
      </c>
      <c r="M86" s="27">
        <v>1</v>
      </c>
      <c r="N86" s="27">
        <v>0</v>
      </c>
      <c r="O86" s="27">
        <v>0</v>
      </c>
      <c r="P86" s="27">
        <v>4</v>
      </c>
      <c r="Q86" s="27">
        <v>0</v>
      </c>
      <c r="R86" s="27">
        <v>0</v>
      </c>
      <c r="S86" s="27">
        <v>0</v>
      </c>
      <c r="T86" s="26">
        <v>5</v>
      </c>
    </row>
    <row r="87" spans="3:20">
      <c r="C87" s="8" t="s">
        <v>209</v>
      </c>
      <c r="D87" s="27">
        <v>0</v>
      </c>
      <c r="E87" s="27">
        <v>1</v>
      </c>
      <c r="F87" s="27">
        <v>1</v>
      </c>
      <c r="G87" s="27">
        <v>0</v>
      </c>
      <c r="H87" s="27">
        <v>1</v>
      </c>
      <c r="I87" s="27">
        <v>0</v>
      </c>
      <c r="J87" s="27">
        <v>0</v>
      </c>
      <c r="K87" s="27">
        <v>0</v>
      </c>
      <c r="L87" s="27">
        <v>1</v>
      </c>
      <c r="M87" s="27">
        <v>1</v>
      </c>
      <c r="N87" s="27">
        <v>0</v>
      </c>
      <c r="O87" s="27">
        <v>0</v>
      </c>
      <c r="P87" s="27">
        <v>2</v>
      </c>
      <c r="Q87" s="27">
        <v>1</v>
      </c>
      <c r="R87" s="27">
        <v>0</v>
      </c>
      <c r="S87" s="27">
        <v>0</v>
      </c>
      <c r="T87" s="26">
        <v>2</v>
      </c>
    </row>
    <row r="88" spans="3:20">
      <c r="C88" s="8" t="s">
        <v>240</v>
      </c>
      <c r="D88" s="27">
        <v>0</v>
      </c>
      <c r="E88" s="27">
        <v>0</v>
      </c>
      <c r="F88" s="27">
        <v>1</v>
      </c>
      <c r="G88" s="27">
        <v>0</v>
      </c>
      <c r="H88" s="27">
        <v>0</v>
      </c>
      <c r="I88" s="27">
        <v>1</v>
      </c>
      <c r="J88" s="27">
        <v>1</v>
      </c>
      <c r="K88" s="27">
        <v>0</v>
      </c>
      <c r="L88" s="27">
        <v>0</v>
      </c>
      <c r="M88" s="27">
        <v>0</v>
      </c>
      <c r="N88" s="27">
        <v>1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6">
        <v>7</v>
      </c>
    </row>
    <row r="89" spans="3:20">
      <c r="C89" s="8" t="s">
        <v>220</v>
      </c>
      <c r="D89" s="27">
        <v>0</v>
      </c>
      <c r="E89" s="27">
        <v>1</v>
      </c>
      <c r="F89" s="27">
        <v>1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1</v>
      </c>
      <c r="M89" s="27">
        <v>1</v>
      </c>
      <c r="N89" s="27">
        <v>0</v>
      </c>
      <c r="O89" s="27">
        <v>0</v>
      </c>
      <c r="P89" s="27">
        <v>2</v>
      </c>
      <c r="Q89" s="27">
        <v>1</v>
      </c>
      <c r="R89" s="27">
        <v>0</v>
      </c>
      <c r="S89" s="27">
        <v>1</v>
      </c>
      <c r="T89" s="26">
        <v>2</v>
      </c>
    </row>
    <row r="90" spans="3:20">
      <c r="C90" s="8" t="s">
        <v>225</v>
      </c>
      <c r="D90" s="27">
        <v>0</v>
      </c>
      <c r="E90" s="27">
        <v>0</v>
      </c>
      <c r="F90" s="27">
        <v>1</v>
      </c>
      <c r="G90" s="27">
        <v>0</v>
      </c>
      <c r="H90" s="27">
        <v>0</v>
      </c>
      <c r="I90" s="27">
        <v>0</v>
      </c>
      <c r="J90" s="27">
        <v>1</v>
      </c>
      <c r="K90" s="27">
        <v>1</v>
      </c>
      <c r="L90" s="27">
        <v>1</v>
      </c>
      <c r="M90" s="27">
        <v>1</v>
      </c>
      <c r="N90" s="27">
        <v>1</v>
      </c>
      <c r="O90" s="27">
        <v>0</v>
      </c>
      <c r="P90" s="27">
        <v>0</v>
      </c>
      <c r="Q90" s="27">
        <v>1</v>
      </c>
      <c r="R90" s="27">
        <v>0</v>
      </c>
      <c r="S90" s="27">
        <v>0</v>
      </c>
      <c r="T90" s="26">
        <v>3</v>
      </c>
    </row>
    <row r="91" spans="3:20">
      <c r="C91" s="8" t="s">
        <v>247</v>
      </c>
      <c r="D91" s="27">
        <v>1</v>
      </c>
      <c r="E91" s="27">
        <v>0</v>
      </c>
      <c r="F91" s="27">
        <v>0</v>
      </c>
      <c r="G91" s="27">
        <v>1</v>
      </c>
      <c r="H91" s="27">
        <v>0</v>
      </c>
      <c r="I91" s="27">
        <v>0</v>
      </c>
      <c r="J91" s="27">
        <v>0</v>
      </c>
      <c r="K91" s="27">
        <v>1</v>
      </c>
      <c r="L91" s="27">
        <v>1</v>
      </c>
      <c r="M91" s="27">
        <v>1</v>
      </c>
      <c r="N91" s="27">
        <v>0</v>
      </c>
      <c r="O91" s="27">
        <v>0</v>
      </c>
      <c r="P91" s="27">
        <v>2</v>
      </c>
      <c r="Q91" s="27">
        <v>1</v>
      </c>
      <c r="R91" s="27">
        <v>0</v>
      </c>
      <c r="S91" s="27">
        <v>0</v>
      </c>
      <c r="T91" s="26">
        <v>1</v>
      </c>
    </row>
    <row r="92" spans="3:20">
      <c r="C92" s="8" t="s">
        <v>223</v>
      </c>
      <c r="D92" s="27">
        <v>0</v>
      </c>
      <c r="E92" s="27">
        <v>0</v>
      </c>
      <c r="F92" s="27">
        <v>1</v>
      </c>
      <c r="G92" s="27">
        <v>0</v>
      </c>
      <c r="H92" s="27">
        <v>0</v>
      </c>
      <c r="I92" s="27">
        <v>1</v>
      </c>
      <c r="J92" s="27">
        <v>1</v>
      </c>
      <c r="K92" s="27">
        <v>1</v>
      </c>
      <c r="L92" s="27">
        <v>1</v>
      </c>
      <c r="M92" s="27">
        <v>0</v>
      </c>
      <c r="N92" s="27">
        <v>0</v>
      </c>
      <c r="O92" s="27">
        <v>1</v>
      </c>
      <c r="P92" s="27">
        <v>0</v>
      </c>
      <c r="Q92" s="27">
        <v>1</v>
      </c>
      <c r="R92" s="27">
        <v>0</v>
      </c>
      <c r="S92" s="27">
        <v>1</v>
      </c>
      <c r="T92" s="26">
        <v>4</v>
      </c>
    </row>
    <row r="93" spans="3:20">
      <c r="C93" s="8" t="s">
        <v>172</v>
      </c>
      <c r="D93" s="27">
        <v>0</v>
      </c>
      <c r="E93" s="27">
        <v>0</v>
      </c>
      <c r="F93" s="27">
        <v>1</v>
      </c>
      <c r="G93" s="27">
        <v>0</v>
      </c>
      <c r="H93" s="27">
        <v>0</v>
      </c>
      <c r="I93" s="27">
        <v>1</v>
      </c>
      <c r="J93" s="27">
        <v>1</v>
      </c>
      <c r="K93" s="27">
        <v>1</v>
      </c>
      <c r="L93" s="27">
        <v>1</v>
      </c>
      <c r="M93" s="27">
        <v>0</v>
      </c>
      <c r="N93" s="27">
        <v>0</v>
      </c>
      <c r="O93" s="27">
        <v>1</v>
      </c>
      <c r="P93" s="27">
        <v>0</v>
      </c>
      <c r="Q93" s="27">
        <v>1</v>
      </c>
      <c r="R93" s="27">
        <v>0</v>
      </c>
      <c r="S93" s="27">
        <v>0</v>
      </c>
      <c r="T93" s="26">
        <v>4</v>
      </c>
    </row>
    <row r="94" spans="3:20">
      <c r="C94" s="8" t="s">
        <v>183</v>
      </c>
      <c r="D94" s="27">
        <v>0</v>
      </c>
      <c r="E94" s="27">
        <v>0</v>
      </c>
      <c r="F94" s="27">
        <v>1</v>
      </c>
      <c r="G94" s="27">
        <v>0</v>
      </c>
      <c r="H94" s="27">
        <v>0</v>
      </c>
      <c r="I94" s="27">
        <v>1</v>
      </c>
      <c r="J94" s="27">
        <v>1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4</v>
      </c>
      <c r="Q94" s="27">
        <v>0</v>
      </c>
      <c r="R94" s="27">
        <v>0</v>
      </c>
      <c r="S94" s="27">
        <v>0</v>
      </c>
      <c r="T94" s="26">
        <v>7</v>
      </c>
    </row>
    <row r="95" spans="3:20">
      <c r="C95" s="8" t="s">
        <v>208</v>
      </c>
      <c r="D95" s="27">
        <v>0</v>
      </c>
      <c r="E95" s="27">
        <v>0</v>
      </c>
      <c r="F95" s="27">
        <v>1</v>
      </c>
      <c r="G95" s="27">
        <v>0</v>
      </c>
      <c r="H95" s="27">
        <v>1</v>
      </c>
      <c r="I95" s="27">
        <v>0</v>
      </c>
      <c r="J95" s="27">
        <v>1</v>
      </c>
      <c r="K95" s="27">
        <v>0</v>
      </c>
      <c r="L95" s="27">
        <v>0</v>
      </c>
      <c r="M95" s="27">
        <v>1</v>
      </c>
      <c r="N95" s="27">
        <v>0</v>
      </c>
      <c r="O95" s="27">
        <v>0</v>
      </c>
      <c r="P95" s="27">
        <v>6</v>
      </c>
      <c r="Q95" s="27">
        <v>0</v>
      </c>
      <c r="R95" s="27">
        <v>0</v>
      </c>
      <c r="S95" s="27">
        <v>0</v>
      </c>
      <c r="T95" s="26">
        <v>6</v>
      </c>
    </row>
    <row r="96" spans="3:20">
      <c r="C96" s="8" t="s">
        <v>201</v>
      </c>
      <c r="D96" s="27">
        <v>0</v>
      </c>
      <c r="E96" s="27">
        <v>0</v>
      </c>
      <c r="F96" s="27">
        <v>1</v>
      </c>
      <c r="G96" s="27">
        <v>0</v>
      </c>
      <c r="H96" s="27">
        <v>0</v>
      </c>
      <c r="I96" s="27">
        <v>1</v>
      </c>
      <c r="J96" s="27">
        <v>0</v>
      </c>
      <c r="K96" s="27">
        <v>1</v>
      </c>
      <c r="L96" s="27">
        <v>1</v>
      </c>
      <c r="M96" s="27">
        <v>0</v>
      </c>
      <c r="N96" s="27">
        <v>0</v>
      </c>
      <c r="O96" s="27">
        <v>1</v>
      </c>
      <c r="P96" s="27">
        <v>0</v>
      </c>
      <c r="Q96" s="27">
        <v>1</v>
      </c>
      <c r="R96" s="27">
        <v>0</v>
      </c>
      <c r="S96" s="27">
        <v>0</v>
      </c>
      <c r="T96" s="26">
        <v>4</v>
      </c>
    </row>
    <row r="97" spans="3:20">
      <c r="C97" s="8" t="s">
        <v>197</v>
      </c>
      <c r="D97" s="27">
        <v>1</v>
      </c>
      <c r="E97" s="27">
        <v>0</v>
      </c>
      <c r="F97" s="27">
        <v>0</v>
      </c>
      <c r="G97" s="27">
        <v>1</v>
      </c>
      <c r="H97" s="27">
        <v>0</v>
      </c>
      <c r="I97" s="27">
        <v>0</v>
      </c>
      <c r="J97" s="27">
        <v>0</v>
      </c>
      <c r="K97" s="27">
        <v>1</v>
      </c>
      <c r="L97" s="27">
        <v>1</v>
      </c>
      <c r="M97" s="27">
        <v>1</v>
      </c>
      <c r="N97" s="27">
        <v>0</v>
      </c>
      <c r="O97" s="27">
        <v>0</v>
      </c>
      <c r="P97" s="27">
        <v>4</v>
      </c>
      <c r="Q97" s="27">
        <v>1</v>
      </c>
      <c r="R97" s="27">
        <v>0</v>
      </c>
      <c r="S97" s="27">
        <v>1</v>
      </c>
      <c r="T97" s="26">
        <v>1</v>
      </c>
    </row>
    <row r="98" spans="3:20">
      <c r="C98" s="8" t="s">
        <v>184</v>
      </c>
      <c r="D98" s="27">
        <v>0</v>
      </c>
      <c r="E98" s="27">
        <v>0</v>
      </c>
      <c r="F98" s="27">
        <v>1</v>
      </c>
      <c r="G98" s="27">
        <v>0</v>
      </c>
      <c r="H98" s="27">
        <v>0</v>
      </c>
      <c r="I98" s="27">
        <v>1</v>
      </c>
      <c r="J98" s="27">
        <v>1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6</v>
      </c>
      <c r="Q98" s="27">
        <v>0</v>
      </c>
      <c r="R98" s="27">
        <v>0</v>
      </c>
      <c r="S98" s="27">
        <v>0</v>
      </c>
      <c r="T98" s="26">
        <v>7</v>
      </c>
    </row>
    <row r="99" spans="3:20">
      <c r="C99" s="8" t="s">
        <v>187</v>
      </c>
      <c r="D99" s="27">
        <v>0</v>
      </c>
      <c r="E99" s="27">
        <v>0</v>
      </c>
      <c r="F99" s="27">
        <v>1</v>
      </c>
      <c r="G99" s="27">
        <v>0</v>
      </c>
      <c r="H99" s="27">
        <v>0</v>
      </c>
      <c r="I99" s="27">
        <v>1</v>
      </c>
      <c r="J99" s="27">
        <v>1</v>
      </c>
      <c r="K99" s="27">
        <v>1</v>
      </c>
      <c r="L99" s="27">
        <v>1</v>
      </c>
      <c r="M99" s="27">
        <v>0</v>
      </c>
      <c r="N99" s="27">
        <v>0</v>
      </c>
      <c r="O99" s="27">
        <v>1</v>
      </c>
      <c r="P99" s="27">
        <v>0</v>
      </c>
      <c r="Q99" s="27">
        <v>1</v>
      </c>
      <c r="R99" s="27">
        <v>0</v>
      </c>
      <c r="S99" s="27">
        <v>1</v>
      </c>
      <c r="T99" s="26">
        <v>4</v>
      </c>
    </row>
    <row r="100" spans="3:20">
      <c r="C100" s="8" t="s">
        <v>242</v>
      </c>
      <c r="D100" s="27">
        <v>0</v>
      </c>
      <c r="E100" s="27">
        <v>1</v>
      </c>
      <c r="F100" s="27">
        <v>1</v>
      </c>
      <c r="G100" s="27">
        <v>0</v>
      </c>
      <c r="H100" s="27">
        <v>1</v>
      </c>
      <c r="I100" s="27">
        <v>1</v>
      </c>
      <c r="J100" s="27">
        <v>1</v>
      </c>
      <c r="K100" s="27">
        <v>0</v>
      </c>
      <c r="L100" s="27">
        <v>1</v>
      </c>
      <c r="M100" s="27">
        <v>1</v>
      </c>
      <c r="N100" s="27">
        <v>0</v>
      </c>
      <c r="O100" s="27">
        <v>0</v>
      </c>
      <c r="P100" s="27">
        <v>2</v>
      </c>
      <c r="Q100" s="27">
        <v>1</v>
      </c>
      <c r="R100" s="27">
        <v>0</v>
      </c>
      <c r="S100" s="27">
        <v>0</v>
      </c>
      <c r="T100" s="26">
        <v>2</v>
      </c>
    </row>
    <row r="101" spans="3:20">
      <c r="C101" s="8" t="s">
        <v>174</v>
      </c>
      <c r="D101" s="27">
        <v>1</v>
      </c>
      <c r="E101" s="27">
        <v>0</v>
      </c>
      <c r="F101" s="27">
        <v>0</v>
      </c>
      <c r="G101" s="27">
        <v>1</v>
      </c>
      <c r="H101" s="27">
        <v>0</v>
      </c>
      <c r="I101" s="27">
        <v>0</v>
      </c>
      <c r="J101" s="27">
        <v>1</v>
      </c>
      <c r="K101" s="27">
        <v>1</v>
      </c>
      <c r="L101" s="27">
        <v>1</v>
      </c>
      <c r="M101" s="27">
        <v>1</v>
      </c>
      <c r="N101" s="27">
        <v>0</v>
      </c>
      <c r="O101" s="27">
        <v>0</v>
      </c>
      <c r="P101" s="27">
        <v>4</v>
      </c>
      <c r="Q101" s="27">
        <v>1</v>
      </c>
      <c r="R101" s="27">
        <v>0</v>
      </c>
      <c r="S101" s="27">
        <v>1</v>
      </c>
      <c r="T101" s="26">
        <v>1</v>
      </c>
    </row>
    <row r="102" spans="3:20">
      <c r="C102" s="8" t="s">
        <v>213</v>
      </c>
      <c r="D102" s="27">
        <v>1</v>
      </c>
      <c r="E102" s="27">
        <v>0</v>
      </c>
      <c r="F102" s="27">
        <v>0</v>
      </c>
      <c r="G102" s="27">
        <v>1</v>
      </c>
      <c r="H102" s="27">
        <v>0</v>
      </c>
      <c r="I102" s="27">
        <v>1</v>
      </c>
      <c r="J102" s="27">
        <v>1</v>
      </c>
      <c r="K102" s="27">
        <v>1</v>
      </c>
      <c r="L102" s="27">
        <v>1</v>
      </c>
      <c r="M102" s="27">
        <v>1</v>
      </c>
      <c r="N102" s="27">
        <v>0</v>
      </c>
      <c r="O102" s="27">
        <v>0</v>
      </c>
      <c r="P102" s="27">
        <v>4</v>
      </c>
      <c r="Q102" s="27">
        <v>1</v>
      </c>
      <c r="R102" s="27">
        <v>0</v>
      </c>
      <c r="S102" s="27">
        <v>1</v>
      </c>
      <c r="T102" s="26">
        <v>1</v>
      </c>
    </row>
    <row r="103" spans="3:20">
      <c r="C103" s="8" t="s">
        <v>206</v>
      </c>
      <c r="D103" s="27">
        <v>1</v>
      </c>
      <c r="E103" s="27">
        <v>0</v>
      </c>
      <c r="F103" s="27">
        <v>1</v>
      </c>
      <c r="G103" s="27">
        <v>0</v>
      </c>
      <c r="H103" s="27">
        <v>1</v>
      </c>
      <c r="I103" s="27">
        <v>0</v>
      </c>
      <c r="J103" s="27">
        <v>0</v>
      </c>
      <c r="K103" s="27">
        <v>0</v>
      </c>
      <c r="L103" s="27">
        <v>0</v>
      </c>
      <c r="M103" s="27">
        <v>1</v>
      </c>
      <c r="N103" s="27">
        <v>1</v>
      </c>
      <c r="O103" s="27">
        <v>0</v>
      </c>
      <c r="P103" s="27">
        <v>6</v>
      </c>
      <c r="Q103" s="27">
        <v>0</v>
      </c>
      <c r="R103" s="27">
        <v>1</v>
      </c>
      <c r="S103" s="27">
        <v>0</v>
      </c>
      <c r="T103" s="26">
        <v>6</v>
      </c>
    </row>
    <row r="104" spans="3:20">
      <c r="C104" s="8" t="s">
        <v>180</v>
      </c>
      <c r="D104" s="27">
        <v>1</v>
      </c>
      <c r="E104" s="27">
        <v>0</v>
      </c>
      <c r="F104" s="27">
        <v>0</v>
      </c>
      <c r="G104" s="27">
        <v>1</v>
      </c>
      <c r="H104" s="27">
        <v>0</v>
      </c>
      <c r="I104" s="27">
        <v>0</v>
      </c>
      <c r="J104" s="27">
        <v>1</v>
      </c>
      <c r="K104" s="27">
        <v>1</v>
      </c>
      <c r="L104" s="27">
        <v>1</v>
      </c>
      <c r="M104" s="27">
        <v>1</v>
      </c>
      <c r="N104" s="27">
        <v>0</v>
      </c>
      <c r="O104" s="27">
        <v>0</v>
      </c>
      <c r="P104" s="27">
        <v>4</v>
      </c>
      <c r="Q104" s="27">
        <v>1</v>
      </c>
      <c r="R104" s="27">
        <v>0</v>
      </c>
      <c r="S104" s="27">
        <v>1</v>
      </c>
      <c r="T104" s="26">
        <v>1</v>
      </c>
    </row>
    <row r="105" spans="3:20">
      <c r="C105" s="8" t="s">
        <v>176</v>
      </c>
      <c r="D105" s="27">
        <v>1</v>
      </c>
      <c r="E105" s="27">
        <v>0</v>
      </c>
      <c r="F105" s="27">
        <v>0</v>
      </c>
      <c r="G105" s="27">
        <v>1</v>
      </c>
      <c r="H105" s="27">
        <v>0</v>
      </c>
      <c r="I105" s="27">
        <v>0</v>
      </c>
      <c r="J105" s="27">
        <v>0</v>
      </c>
      <c r="K105" s="27">
        <v>1</v>
      </c>
      <c r="L105" s="27">
        <v>1</v>
      </c>
      <c r="M105" s="27">
        <v>1</v>
      </c>
      <c r="N105" s="27">
        <v>0</v>
      </c>
      <c r="O105" s="27">
        <v>0</v>
      </c>
      <c r="P105" s="27">
        <v>4</v>
      </c>
      <c r="Q105" s="27">
        <v>1</v>
      </c>
      <c r="R105" s="27">
        <v>1</v>
      </c>
      <c r="S105" s="27">
        <v>1</v>
      </c>
      <c r="T105" s="26">
        <v>1</v>
      </c>
    </row>
    <row r="106" spans="3:20">
      <c r="C106" s="8" t="s">
        <v>234</v>
      </c>
      <c r="D106" s="27">
        <v>0</v>
      </c>
      <c r="E106" s="27">
        <v>1</v>
      </c>
      <c r="F106" s="27">
        <v>1</v>
      </c>
      <c r="G106" s="27">
        <v>0</v>
      </c>
      <c r="H106" s="27">
        <v>0</v>
      </c>
      <c r="I106" s="27">
        <v>0</v>
      </c>
      <c r="J106" s="27">
        <v>1</v>
      </c>
      <c r="K106" s="27">
        <v>0</v>
      </c>
      <c r="L106" s="27">
        <v>1</v>
      </c>
      <c r="M106" s="27">
        <v>1</v>
      </c>
      <c r="N106" s="27">
        <v>0</v>
      </c>
      <c r="O106" s="27">
        <v>0</v>
      </c>
      <c r="P106" s="27">
        <v>2</v>
      </c>
      <c r="Q106" s="27">
        <v>1</v>
      </c>
      <c r="R106" s="27">
        <v>0</v>
      </c>
      <c r="S106" s="27">
        <v>1</v>
      </c>
      <c r="T106" s="26">
        <v>2</v>
      </c>
    </row>
    <row r="107" spans="3:20">
      <c r="C107" s="8" t="s">
        <v>221</v>
      </c>
      <c r="D107" s="27">
        <v>0</v>
      </c>
      <c r="E107" s="27">
        <v>1</v>
      </c>
      <c r="F107" s="27">
        <v>1</v>
      </c>
      <c r="G107" s="27">
        <v>0</v>
      </c>
      <c r="H107" s="27">
        <v>1</v>
      </c>
      <c r="I107" s="27">
        <v>0</v>
      </c>
      <c r="J107" s="27">
        <v>0</v>
      </c>
      <c r="K107" s="27">
        <v>0</v>
      </c>
      <c r="L107" s="27">
        <v>1</v>
      </c>
      <c r="M107" s="27">
        <v>1</v>
      </c>
      <c r="N107" s="27">
        <v>0</v>
      </c>
      <c r="O107" s="27">
        <v>0</v>
      </c>
      <c r="P107" s="27">
        <v>2</v>
      </c>
      <c r="Q107" s="27">
        <v>1</v>
      </c>
      <c r="R107" s="27">
        <v>1</v>
      </c>
      <c r="S107" s="27">
        <v>0</v>
      </c>
      <c r="T107" s="26">
        <v>2</v>
      </c>
    </row>
    <row r="108" spans="3:20">
      <c r="C108" s="8" t="s">
        <v>239</v>
      </c>
      <c r="D108" s="27">
        <v>0</v>
      </c>
      <c r="E108" s="27">
        <v>0</v>
      </c>
      <c r="F108" s="27">
        <v>0</v>
      </c>
      <c r="G108" s="27">
        <v>0</v>
      </c>
      <c r="H108" s="27">
        <v>0</v>
      </c>
      <c r="I108" s="27">
        <v>1</v>
      </c>
      <c r="J108" s="27">
        <v>1</v>
      </c>
      <c r="K108" s="27">
        <v>1</v>
      </c>
      <c r="L108" s="27">
        <v>1</v>
      </c>
      <c r="M108" s="27">
        <v>0</v>
      </c>
      <c r="N108" s="27">
        <v>1</v>
      </c>
      <c r="O108" s="27">
        <v>0</v>
      </c>
      <c r="P108" s="27">
        <v>0</v>
      </c>
      <c r="Q108" s="27">
        <v>1</v>
      </c>
      <c r="R108" s="27">
        <v>0</v>
      </c>
      <c r="S108" s="27">
        <v>0</v>
      </c>
      <c r="T108" s="26">
        <v>3</v>
      </c>
    </row>
    <row r="109" spans="3:20">
      <c r="C109" s="8" t="s">
        <v>257</v>
      </c>
      <c r="D109" s="27">
        <v>0</v>
      </c>
      <c r="E109" s="27">
        <v>1</v>
      </c>
      <c r="F109" s="27">
        <v>1</v>
      </c>
      <c r="G109" s="27">
        <v>0</v>
      </c>
      <c r="H109" s="27">
        <v>1</v>
      </c>
      <c r="I109" s="27">
        <v>0</v>
      </c>
      <c r="J109" s="27">
        <v>1</v>
      </c>
      <c r="K109" s="27">
        <v>0</v>
      </c>
      <c r="L109" s="27">
        <v>1</v>
      </c>
      <c r="M109" s="27">
        <v>1</v>
      </c>
      <c r="N109" s="27">
        <v>0</v>
      </c>
      <c r="O109" s="27">
        <v>0</v>
      </c>
      <c r="P109" s="27">
        <v>2</v>
      </c>
      <c r="Q109" s="27">
        <v>1</v>
      </c>
      <c r="R109" s="27">
        <v>0</v>
      </c>
      <c r="S109" s="27">
        <v>1</v>
      </c>
      <c r="T109" s="26">
        <v>2</v>
      </c>
    </row>
    <row r="110" spans="3:20">
      <c r="C110" s="8" t="s">
        <v>214</v>
      </c>
      <c r="D110" s="27">
        <v>1</v>
      </c>
      <c r="E110" s="27">
        <v>0</v>
      </c>
      <c r="F110" s="27">
        <v>0</v>
      </c>
      <c r="G110" s="27">
        <v>1</v>
      </c>
      <c r="H110" s="27">
        <v>0</v>
      </c>
      <c r="I110" s="27">
        <v>0</v>
      </c>
      <c r="J110" s="27">
        <v>1</v>
      </c>
      <c r="K110" s="27">
        <v>1</v>
      </c>
      <c r="L110" s="27">
        <v>1</v>
      </c>
      <c r="M110" s="27">
        <v>1</v>
      </c>
      <c r="N110" s="27">
        <v>0</v>
      </c>
      <c r="O110" s="27">
        <v>0</v>
      </c>
      <c r="P110" s="27">
        <v>4</v>
      </c>
      <c r="Q110" s="27">
        <v>1</v>
      </c>
      <c r="R110" s="27">
        <v>0</v>
      </c>
      <c r="S110" s="27">
        <v>0</v>
      </c>
      <c r="T110" s="26">
        <v>1</v>
      </c>
    </row>
    <row r="111" spans="3:20">
      <c r="C111" s="8" t="s">
        <v>173</v>
      </c>
      <c r="D111" s="27">
        <v>1</v>
      </c>
      <c r="E111" s="27">
        <v>0</v>
      </c>
      <c r="F111" s="27">
        <v>0</v>
      </c>
      <c r="G111" s="27">
        <v>1</v>
      </c>
      <c r="H111" s="27">
        <v>0</v>
      </c>
      <c r="I111" s="27">
        <v>0</v>
      </c>
      <c r="J111" s="27">
        <v>1</v>
      </c>
      <c r="K111" s="27">
        <v>1</v>
      </c>
      <c r="L111" s="27">
        <v>1</v>
      </c>
      <c r="M111" s="27">
        <v>1</v>
      </c>
      <c r="N111" s="27">
        <v>0</v>
      </c>
      <c r="O111" s="27">
        <v>0</v>
      </c>
      <c r="P111" s="27">
        <v>4</v>
      </c>
      <c r="Q111" s="27">
        <v>0</v>
      </c>
      <c r="R111" s="27">
        <v>0</v>
      </c>
      <c r="S111" s="27">
        <v>1</v>
      </c>
      <c r="T111" s="26">
        <v>1</v>
      </c>
    </row>
    <row r="112" spans="3:20">
      <c r="C112" s="8" t="s">
        <v>189</v>
      </c>
      <c r="D112" s="27">
        <v>0</v>
      </c>
      <c r="E112" s="27">
        <v>1</v>
      </c>
      <c r="F112" s="27">
        <v>1</v>
      </c>
      <c r="G112" s="27">
        <v>0</v>
      </c>
      <c r="H112" s="27">
        <v>1</v>
      </c>
      <c r="I112" s="27">
        <v>0</v>
      </c>
      <c r="J112" s="27">
        <v>0</v>
      </c>
      <c r="K112" s="27">
        <v>0</v>
      </c>
      <c r="L112" s="27">
        <v>1</v>
      </c>
      <c r="M112" s="27">
        <v>1</v>
      </c>
      <c r="N112" s="27">
        <v>0</v>
      </c>
      <c r="O112" s="27">
        <v>0</v>
      </c>
      <c r="P112" s="27">
        <v>2</v>
      </c>
      <c r="Q112" s="27">
        <v>1</v>
      </c>
      <c r="R112" s="27">
        <v>1</v>
      </c>
      <c r="S112" s="27">
        <v>0</v>
      </c>
      <c r="T112" s="26">
        <v>2</v>
      </c>
    </row>
    <row r="113" spans="3:20">
      <c r="C113" s="8" t="s">
        <v>244</v>
      </c>
      <c r="D113" s="27">
        <v>0</v>
      </c>
      <c r="E113" s="27">
        <v>0</v>
      </c>
      <c r="F113" s="27">
        <v>1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1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6">
        <v>7</v>
      </c>
    </row>
    <row r="114" spans="3:20">
      <c r="C114" s="8" t="s">
        <v>228</v>
      </c>
      <c r="D114" s="27">
        <v>1</v>
      </c>
      <c r="E114" s="27">
        <v>0</v>
      </c>
      <c r="F114" s="27">
        <v>0</v>
      </c>
      <c r="G114" s="27">
        <v>1</v>
      </c>
      <c r="H114" s="27">
        <v>0</v>
      </c>
      <c r="I114" s="27">
        <v>0</v>
      </c>
      <c r="J114" s="27">
        <v>0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4</v>
      </c>
      <c r="Q114" s="27">
        <v>1</v>
      </c>
      <c r="R114" s="27">
        <v>1</v>
      </c>
      <c r="S114" s="27">
        <v>1</v>
      </c>
      <c r="T114" s="26">
        <v>1</v>
      </c>
    </row>
    <row r="115" spans="3:20">
      <c r="C115" s="8" t="s">
        <v>233</v>
      </c>
      <c r="D115" s="27">
        <v>1</v>
      </c>
      <c r="E115" s="27">
        <v>0</v>
      </c>
      <c r="F115" s="27">
        <v>0</v>
      </c>
      <c r="G115" s="27">
        <v>1</v>
      </c>
      <c r="H115" s="27">
        <v>0</v>
      </c>
      <c r="I115" s="27">
        <v>0</v>
      </c>
      <c r="J115" s="27">
        <v>0</v>
      </c>
      <c r="K115" s="27">
        <v>1</v>
      </c>
      <c r="L115" s="27">
        <v>1</v>
      </c>
      <c r="M115" s="27">
        <v>1</v>
      </c>
      <c r="N115" s="27">
        <v>0</v>
      </c>
      <c r="O115" s="27">
        <v>0</v>
      </c>
      <c r="P115" s="27">
        <v>4</v>
      </c>
      <c r="Q115" s="27">
        <v>1</v>
      </c>
      <c r="R115" s="27">
        <v>1</v>
      </c>
      <c r="S115" s="27">
        <v>1</v>
      </c>
      <c r="T115" s="26">
        <v>1</v>
      </c>
    </row>
    <row r="116" spans="3:20">
      <c r="C116" s="8" t="s">
        <v>177</v>
      </c>
      <c r="D116" s="27">
        <v>0</v>
      </c>
      <c r="E116" s="27">
        <v>0</v>
      </c>
      <c r="F116" s="27">
        <v>1</v>
      </c>
      <c r="G116" s="27">
        <v>0</v>
      </c>
      <c r="H116" s="27">
        <v>0</v>
      </c>
      <c r="I116" s="27">
        <v>1</v>
      </c>
      <c r="J116" s="27">
        <v>0</v>
      </c>
      <c r="K116" s="27">
        <v>1</v>
      </c>
      <c r="L116" s="27">
        <v>1</v>
      </c>
      <c r="M116" s="27">
        <v>0</v>
      </c>
      <c r="N116" s="27">
        <v>0</v>
      </c>
      <c r="O116" s="27">
        <v>1</v>
      </c>
      <c r="P116" s="27">
        <v>0</v>
      </c>
      <c r="Q116" s="27">
        <v>1</v>
      </c>
      <c r="R116" s="27">
        <v>1</v>
      </c>
      <c r="S116" s="27">
        <v>0</v>
      </c>
      <c r="T116" s="26">
        <v>4</v>
      </c>
    </row>
    <row r="117" spans="3:20">
      <c r="C117" s="8" t="s">
        <v>256</v>
      </c>
      <c r="D117" s="27">
        <v>1</v>
      </c>
      <c r="E117" s="27">
        <v>0</v>
      </c>
      <c r="F117" s="27">
        <v>0</v>
      </c>
      <c r="G117" s="27">
        <v>1</v>
      </c>
      <c r="H117" s="27">
        <v>0</v>
      </c>
      <c r="I117" s="27">
        <v>0</v>
      </c>
      <c r="J117" s="27">
        <v>0</v>
      </c>
      <c r="K117" s="27">
        <v>1</v>
      </c>
      <c r="L117" s="27">
        <v>1</v>
      </c>
      <c r="M117" s="27">
        <v>1</v>
      </c>
      <c r="N117" s="27">
        <v>0</v>
      </c>
      <c r="O117" s="27">
        <v>0</v>
      </c>
      <c r="P117" s="27">
        <v>4</v>
      </c>
      <c r="Q117" s="27">
        <v>1</v>
      </c>
      <c r="R117" s="27">
        <v>0</v>
      </c>
      <c r="S117" s="27">
        <v>0</v>
      </c>
      <c r="T117" s="26">
        <v>1</v>
      </c>
    </row>
    <row r="118" spans="3:20">
      <c r="C118" s="8" t="s">
        <v>200</v>
      </c>
      <c r="D118" s="27">
        <v>0</v>
      </c>
      <c r="E118" s="27">
        <v>1</v>
      </c>
      <c r="F118" s="27">
        <v>1</v>
      </c>
      <c r="G118" s="27">
        <v>0</v>
      </c>
      <c r="H118" s="27">
        <v>1</v>
      </c>
      <c r="I118" s="27">
        <v>1</v>
      </c>
      <c r="J118" s="27">
        <v>1</v>
      </c>
      <c r="K118" s="27">
        <v>0</v>
      </c>
      <c r="L118" s="27">
        <v>1</v>
      </c>
      <c r="M118" s="27">
        <v>1</v>
      </c>
      <c r="N118" s="27">
        <v>0</v>
      </c>
      <c r="O118" s="27">
        <v>0</v>
      </c>
      <c r="P118" s="27">
        <v>2</v>
      </c>
      <c r="Q118" s="27">
        <v>1</v>
      </c>
      <c r="R118" s="27">
        <v>0</v>
      </c>
      <c r="S118" s="27">
        <v>0</v>
      </c>
      <c r="T118" s="26">
        <v>2</v>
      </c>
    </row>
    <row r="119" spans="3:20">
      <c r="C119" s="8" t="s">
        <v>237</v>
      </c>
      <c r="D119" s="27">
        <v>1</v>
      </c>
      <c r="E119" s="27">
        <v>0</v>
      </c>
      <c r="F119" s="27">
        <v>0</v>
      </c>
      <c r="G119" s="27">
        <v>1</v>
      </c>
      <c r="H119" s="27">
        <v>0</v>
      </c>
      <c r="I119" s="27">
        <v>1</v>
      </c>
      <c r="J119" s="27">
        <v>1</v>
      </c>
      <c r="K119" s="27">
        <v>1</v>
      </c>
      <c r="L119" s="27">
        <v>1</v>
      </c>
      <c r="M119" s="27">
        <v>1</v>
      </c>
      <c r="N119" s="27">
        <v>0</v>
      </c>
      <c r="O119" s="27">
        <v>1</v>
      </c>
      <c r="P119" s="27">
        <v>0</v>
      </c>
      <c r="Q119" s="27">
        <v>0</v>
      </c>
      <c r="R119" s="27">
        <v>0</v>
      </c>
      <c r="S119" s="27">
        <v>1</v>
      </c>
      <c r="T119" s="26">
        <v>1</v>
      </c>
    </row>
    <row r="120" spans="3:20">
      <c r="C120" s="8" t="s">
        <v>255</v>
      </c>
      <c r="D120" s="27">
        <v>1</v>
      </c>
      <c r="E120" s="27">
        <v>0</v>
      </c>
      <c r="F120" s="27">
        <v>0</v>
      </c>
      <c r="G120" s="27">
        <v>1</v>
      </c>
      <c r="H120" s="27">
        <v>1</v>
      </c>
      <c r="I120" s="27">
        <v>0</v>
      </c>
      <c r="J120" s="27">
        <v>0</v>
      </c>
      <c r="K120" s="27">
        <v>1</v>
      </c>
      <c r="L120" s="27">
        <v>1</v>
      </c>
      <c r="M120" s="27">
        <v>1</v>
      </c>
      <c r="N120" s="27">
        <v>0</v>
      </c>
      <c r="O120" s="27">
        <v>0</v>
      </c>
      <c r="P120" s="27">
        <v>2</v>
      </c>
      <c r="Q120" s="27">
        <v>1</v>
      </c>
      <c r="R120" s="27">
        <v>0</v>
      </c>
      <c r="S120" s="27">
        <v>0</v>
      </c>
      <c r="T120" s="26">
        <v>1</v>
      </c>
    </row>
    <row r="121" spans="3:20">
      <c r="C121" s="8" t="s">
        <v>245</v>
      </c>
      <c r="D121" s="27">
        <v>0</v>
      </c>
      <c r="E121" s="27">
        <v>0</v>
      </c>
      <c r="F121" s="27">
        <v>1</v>
      </c>
      <c r="G121" s="27">
        <v>0</v>
      </c>
      <c r="H121" s="27">
        <v>0</v>
      </c>
      <c r="I121" s="27">
        <v>1</v>
      </c>
      <c r="J121" s="27">
        <v>0</v>
      </c>
      <c r="K121" s="27">
        <v>1</v>
      </c>
      <c r="L121" s="27">
        <v>1</v>
      </c>
      <c r="M121" s="27">
        <v>0</v>
      </c>
      <c r="N121" s="27">
        <v>0</v>
      </c>
      <c r="O121" s="27">
        <v>1</v>
      </c>
      <c r="P121" s="27">
        <v>0</v>
      </c>
      <c r="Q121" s="27">
        <v>1</v>
      </c>
      <c r="R121" s="27">
        <v>0</v>
      </c>
      <c r="S121" s="27">
        <v>0</v>
      </c>
      <c r="T121" s="26">
        <v>4</v>
      </c>
    </row>
    <row r="122" spans="3:20">
      <c r="C122" s="8" t="s">
        <v>222</v>
      </c>
      <c r="D122" s="27">
        <v>0</v>
      </c>
      <c r="E122" s="27">
        <v>1</v>
      </c>
      <c r="F122" s="27">
        <v>1</v>
      </c>
      <c r="G122" s="27">
        <v>0</v>
      </c>
      <c r="H122" s="27">
        <v>1</v>
      </c>
      <c r="I122" s="27">
        <v>0</v>
      </c>
      <c r="J122" s="27">
        <v>0</v>
      </c>
      <c r="K122" s="27">
        <v>0</v>
      </c>
      <c r="L122" s="27">
        <v>1</v>
      </c>
      <c r="M122" s="27">
        <v>1</v>
      </c>
      <c r="N122" s="27">
        <v>0</v>
      </c>
      <c r="O122" s="27">
        <v>0</v>
      </c>
      <c r="P122" s="27">
        <v>2</v>
      </c>
      <c r="Q122" s="27">
        <v>1</v>
      </c>
      <c r="R122" s="27">
        <v>0</v>
      </c>
      <c r="S122" s="27">
        <v>0</v>
      </c>
      <c r="T122" s="26">
        <v>2</v>
      </c>
    </row>
    <row r="123" spans="3:20">
      <c r="C123" s="8" t="s">
        <v>210</v>
      </c>
      <c r="D123" s="27">
        <v>1</v>
      </c>
      <c r="E123" s="27">
        <v>0</v>
      </c>
      <c r="F123" s="27">
        <v>0</v>
      </c>
      <c r="G123" s="27">
        <v>1</v>
      </c>
      <c r="H123" s="27">
        <v>0</v>
      </c>
      <c r="I123" s="27">
        <v>0</v>
      </c>
      <c r="J123" s="27">
        <v>1</v>
      </c>
      <c r="K123" s="27">
        <v>1</v>
      </c>
      <c r="L123" s="27">
        <v>1</v>
      </c>
      <c r="M123" s="27">
        <v>1</v>
      </c>
      <c r="N123" s="27">
        <v>0</v>
      </c>
      <c r="O123" s="27">
        <v>0</v>
      </c>
      <c r="P123" s="27">
        <v>4</v>
      </c>
      <c r="Q123" s="27">
        <v>1</v>
      </c>
      <c r="R123" s="27">
        <v>0</v>
      </c>
      <c r="S123" s="27">
        <v>1</v>
      </c>
      <c r="T123" s="26">
        <v>1</v>
      </c>
    </row>
    <row r="124" spans="3:20">
      <c r="C124" s="8" t="s">
        <v>263</v>
      </c>
      <c r="D124" s="27">
        <v>0</v>
      </c>
      <c r="E124" s="27">
        <v>0</v>
      </c>
      <c r="F124" s="27">
        <v>1</v>
      </c>
      <c r="G124" s="27">
        <v>0</v>
      </c>
      <c r="H124" s="27">
        <v>0</v>
      </c>
      <c r="I124" s="27">
        <v>1</v>
      </c>
      <c r="J124" s="27">
        <v>1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8</v>
      </c>
      <c r="Q124" s="27">
        <v>0</v>
      </c>
      <c r="R124" s="27">
        <v>0</v>
      </c>
      <c r="S124" s="27">
        <v>1</v>
      </c>
      <c r="T124" s="26">
        <v>7</v>
      </c>
    </row>
    <row r="125" spans="3:20">
      <c r="C125" s="8" t="s">
        <v>216</v>
      </c>
      <c r="D125" s="27">
        <v>1</v>
      </c>
      <c r="E125" s="27">
        <v>0</v>
      </c>
      <c r="F125" s="27">
        <v>1</v>
      </c>
      <c r="G125" s="27">
        <v>0</v>
      </c>
      <c r="H125" s="27">
        <v>1</v>
      </c>
      <c r="I125" s="27">
        <v>0</v>
      </c>
      <c r="J125" s="27">
        <v>0</v>
      </c>
      <c r="K125" s="27">
        <v>0</v>
      </c>
      <c r="L125" s="27">
        <v>0</v>
      </c>
      <c r="M125" s="27">
        <v>1</v>
      </c>
      <c r="N125" s="27">
        <v>0</v>
      </c>
      <c r="O125" s="27">
        <v>0</v>
      </c>
      <c r="P125" s="27">
        <v>6</v>
      </c>
      <c r="Q125" s="27">
        <v>0</v>
      </c>
      <c r="R125" s="27">
        <v>0</v>
      </c>
      <c r="S125" s="27">
        <v>0</v>
      </c>
      <c r="T125" s="26">
        <v>6</v>
      </c>
    </row>
    <row r="126" spans="3:20">
      <c r="C126" s="8" t="s">
        <v>179</v>
      </c>
      <c r="D126" s="27">
        <v>1</v>
      </c>
      <c r="E126" s="27">
        <v>0</v>
      </c>
      <c r="F126" s="27">
        <v>0</v>
      </c>
      <c r="G126" s="27">
        <v>1</v>
      </c>
      <c r="H126" s="27">
        <v>0</v>
      </c>
      <c r="I126" s="27">
        <v>0</v>
      </c>
      <c r="J126" s="27">
        <v>0</v>
      </c>
      <c r="K126" s="27">
        <v>1</v>
      </c>
      <c r="L126" s="27">
        <v>1</v>
      </c>
      <c r="M126" s="27">
        <v>1</v>
      </c>
      <c r="N126" s="27">
        <v>0</v>
      </c>
      <c r="O126" s="27">
        <v>0</v>
      </c>
      <c r="P126" s="27">
        <v>4</v>
      </c>
      <c r="Q126" s="27">
        <v>0</v>
      </c>
      <c r="R126" s="27">
        <v>1</v>
      </c>
      <c r="S126" s="27">
        <v>0</v>
      </c>
      <c r="T126" s="26">
        <v>1</v>
      </c>
    </row>
    <row r="127" spans="3:20">
      <c r="C127" s="8" t="s">
        <v>260</v>
      </c>
      <c r="D127" s="27">
        <v>1</v>
      </c>
      <c r="E127" s="27">
        <v>0</v>
      </c>
      <c r="F127" s="27">
        <v>0</v>
      </c>
      <c r="G127" s="27">
        <v>1</v>
      </c>
      <c r="H127" s="27">
        <v>0</v>
      </c>
      <c r="I127" s="27">
        <v>0</v>
      </c>
      <c r="J127" s="27">
        <v>1</v>
      </c>
      <c r="K127" s="27">
        <v>1</v>
      </c>
      <c r="L127" s="27">
        <v>1</v>
      </c>
      <c r="M127" s="27">
        <v>1</v>
      </c>
      <c r="N127" s="27">
        <v>0</v>
      </c>
      <c r="O127" s="27">
        <v>0</v>
      </c>
      <c r="P127" s="27">
        <v>4</v>
      </c>
      <c r="Q127" s="27">
        <v>1</v>
      </c>
      <c r="R127" s="27">
        <v>0</v>
      </c>
      <c r="S127" s="27">
        <v>1</v>
      </c>
      <c r="T127" s="26">
        <v>1</v>
      </c>
    </row>
    <row r="128" spans="3:20">
      <c r="C128" s="8" t="s">
        <v>249</v>
      </c>
      <c r="D128" s="27">
        <v>0</v>
      </c>
      <c r="E128" s="27">
        <v>1</v>
      </c>
      <c r="F128" s="27">
        <v>1</v>
      </c>
      <c r="G128" s="27">
        <v>0</v>
      </c>
      <c r="H128" s="27">
        <v>1</v>
      </c>
      <c r="I128" s="27">
        <v>1</v>
      </c>
      <c r="J128" s="27">
        <v>0</v>
      </c>
      <c r="K128" s="27">
        <v>0</v>
      </c>
      <c r="L128" s="27">
        <v>1</v>
      </c>
      <c r="M128" s="27">
        <v>1</v>
      </c>
      <c r="N128" s="27">
        <v>0</v>
      </c>
      <c r="O128" s="27">
        <v>0</v>
      </c>
      <c r="P128" s="27">
        <v>2</v>
      </c>
      <c r="Q128" s="27">
        <v>1</v>
      </c>
      <c r="R128" s="27">
        <v>0</v>
      </c>
      <c r="S128" s="27">
        <v>1</v>
      </c>
      <c r="T128" s="26">
        <v>2</v>
      </c>
    </row>
    <row r="129" spans="3:20">
      <c r="C129" s="8" t="s">
        <v>204</v>
      </c>
      <c r="D129" s="27">
        <v>0</v>
      </c>
      <c r="E129" s="27">
        <v>1</v>
      </c>
      <c r="F129" s="27">
        <v>1</v>
      </c>
      <c r="G129" s="27">
        <v>0</v>
      </c>
      <c r="H129" s="27">
        <v>1</v>
      </c>
      <c r="I129" s="27">
        <v>0</v>
      </c>
      <c r="J129" s="27">
        <v>1</v>
      </c>
      <c r="K129" s="27">
        <v>0</v>
      </c>
      <c r="L129" s="27">
        <v>1</v>
      </c>
      <c r="M129" s="27">
        <v>1</v>
      </c>
      <c r="N129" s="27">
        <v>0</v>
      </c>
      <c r="O129" s="27">
        <v>0</v>
      </c>
      <c r="P129" s="27">
        <v>2</v>
      </c>
      <c r="Q129" s="27">
        <v>1</v>
      </c>
      <c r="R129" s="27">
        <v>0</v>
      </c>
      <c r="S129" s="27">
        <v>0</v>
      </c>
      <c r="T129" s="26">
        <v>2</v>
      </c>
    </row>
  </sheetData>
  <mergeCells count="27">
    <mergeCell ref="B4:C4"/>
    <mergeCell ref="D4:E4"/>
    <mergeCell ref="F4:G4"/>
    <mergeCell ref="B3:G3"/>
    <mergeCell ref="J3:M3"/>
    <mergeCell ref="C24:E24"/>
    <mergeCell ref="C25:E25"/>
    <mergeCell ref="C26:E26"/>
    <mergeCell ref="F23:I23"/>
    <mergeCell ref="F24:I24"/>
    <mergeCell ref="F25:I25"/>
    <mergeCell ref="F26:I26"/>
    <mergeCell ref="C18:V18"/>
    <mergeCell ref="C19:E19"/>
    <mergeCell ref="C20:E20"/>
    <mergeCell ref="F19:V19"/>
    <mergeCell ref="C22:I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TDPartition'!$B$10:$B$10" display="Inputs" xr:uid="{DE96BF7B-CEE0-4172-82DC-8CFF589CDF42}"/>
    <hyperlink ref="D4" location="'STDPartition'!$B$28:$B$28" display="Partition Summary" xr:uid="{603DF4BC-EFC2-47B8-82ED-70760FC582BD}"/>
    <hyperlink ref="F4" location="'STDPartition'!$B$34:$B$34" display="Partitioned Data" xr:uid="{6EB07151-6513-4264-B233-51AECC57A65B}"/>
  </hyperlinks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053C-429B-48F2-B4DB-C825052893AA}">
  <dimension ref="B1:CV39"/>
  <sheetViews>
    <sheetView showGridLines="0" topLeftCell="A23" workbookViewId="0"/>
  </sheetViews>
  <sheetFormatPr defaultRowHeight="13.2"/>
  <cols>
    <col min="12" max="12" width="29.109375" bestFit="1" customWidth="1"/>
  </cols>
  <sheetData>
    <row r="1" spans="2:100" ht="18">
      <c r="B1" s="5" t="s">
        <v>452</v>
      </c>
      <c r="N1" t="s">
        <v>304</v>
      </c>
      <c r="CV1" s="25" t="s">
        <v>470</v>
      </c>
    </row>
    <row r="3" spans="2:100" ht="15.6">
      <c r="B3" s="28" t="s">
        <v>122</v>
      </c>
      <c r="C3" s="29"/>
      <c r="D3" s="29"/>
      <c r="E3" s="29"/>
      <c r="F3" s="29"/>
      <c r="G3" s="29"/>
      <c r="H3" s="29"/>
      <c r="I3" s="30"/>
      <c r="L3" s="28" t="s">
        <v>145</v>
      </c>
      <c r="M3" s="29"/>
      <c r="N3" s="29"/>
      <c r="O3" s="30"/>
    </row>
    <row r="4" spans="2:100" ht="13.8">
      <c r="B4" s="20" t="s">
        <v>123</v>
      </c>
      <c r="C4" s="18"/>
      <c r="D4" s="20" t="s">
        <v>282</v>
      </c>
      <c r="E4" s="18"/>
      <c r="F4" s="20" t="s">
        <v>428</v>
      </c>
      <c r="G4" s="18"/>
      <c r="H4" s="20" t="s">
        <v>429</v>
      </c>
      <c r="I4" s="18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00" ht="13.8">
      <c r="L5" s="15">
        <v>44</v>
      </c>
      <c r="M5" s="15">
        <v>11</v>
      </c>
      <c r="N5" s="15">
        <v>27</v>
      </c>
      <c r="O5" s="15">
        <v>82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  <c r="J12" s="21"/>
      <c r="K12" s="21"/>
    </row>
    <row r="13" spans="2:100" ht="13.8">
      <c r="C13" s="22" t="s">
        <v>126</v>
      </c>
      <c r="D13" s="22"/>
      <c r="E13" s="22"/>
      <c r="F13" s="23"/>
      <c r="G13" s="12" t="s">
        <v>140</v>
      </c>
      <c r="H13" s="12"/>
      <c r="I13" s="12"/>
      <c r="J13" s="12"/>
      <c r="K13" s="12"/>
    </row>
    <row r="14" spans="2:100" ht="13.8">
      <c r="C14" s="22" t="s">
        <v>127</v>
      </c>
      <c r="D14" s="22"/>
      <c r="E14" s="22"/>
      <c r="F14" s="23"/>
      <c r="G14" s="12" t="s">
        <v>467</v>
      </c>
      <c r="H14" s="12"/>
      <c r="I14" s="12"/>
      <c r="J14" s="12"/>
      <c r="K14" s="12"/>
    </row>
    <row r="15" spans="2:100" ht="13.8">
      <c r="C15" s="22" t="s">
        <v>453</v>
      </c>
      <c r="D15" s="22"/>
      <c r="E15" s="22"/>
      <c r="F15" s="23"/>
      <c r="G15" s="12" t="s">
        <v>468</v>
      </c>
      <c r="H15" s="12"/>
      <c r="I15" s="12"/>
      <c r="J15" s="12"/>
      <c r="K15" s="12"/>
    </row>
    <row r="16" spans="2:100" ht="13.8">
      <c r="C16" s="22" t="s">
        <v>454</v>
      </c>
      <c r="D16" s="22"/>
      <c r="E16" s="22"/>
      <c r="F16" s="23"/>
      <c r="G16" s="12">
        <v>56</v>
      </c>
      <c r="H16" s="12"/>
      <c r="I16" s="12"/>
      <c r="J16" s="12"/>
      <c r="K16" s="12"/>
    </row>
    <row r="17" spans="3:20" ht="13.8">
      <c r="C17" s="22" t="s">
        <v>455</v>
      </c>
      <c r="D17" s="22"/>
      <c r="E17" s="22"/>
      <c r="F17" s="23"/>
      <c r="G17" s="12" t="s">
        <v>469</v>
      </c>
      <c r="H17" s="12"/>
      <c r="I17" s="12"/>
      <c r="J17" s="12"/>
      <c r="K17" s="12"/>
    </row>
    <row r="18" spans="3:20" ht="13.8">
      <c r="C18" s="22" t="s">
        <v>456</v>
      </c>
      <c r="D18" s="22"/>
      <c r="E18" s="22"/>
      <c r="F18" s="23"/>
      <c r="G18" s="12">
        <v>37</v>
      </c>
      <c r="H18" s="12"/>
      <c r="I18" s="12"/>
      <c r="J18" s="12"/>
      <c r="K18" s="12"/>
    </row>
    <row r="20" spans="3:20" ht="15.6">
      <c r="C20" s="21" t="s">
        <v>130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3:20" ht="13.8">
      <c r="C21" s="22" t="s">
        <v>457</v>
      </c>
      <c r="D21" s="23"/>
      <c r="E21" s="12">
        <v>16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3:20" ht="13.8">
      <c r="C22" s="22" t="s">
        <v>458</v>
      </c>
      <c r="D22" s="23"/>
      <c r="E22" s="15" t="s">
        <v>153</v>
      </c>
      <c r="F22" s="15" t="s">
        <v>154</v>
      </c>
      <c r="G22" s="15" t="s">
        <v>155</v>
      </c>
      <c r="H22" s="15" t="s">
        <v>156</v>
      </c>
      <c r="I22" s="15" t="s">
        <v>157</v>
      </c>
      <c r="J22" s="15" t="s">
        <v>158</v>
      </c>
      <c r="K22" s="15" t="s">
        <v>159</v>
      </c>
      <c r="L22" s="15" t="s">
        <v>160</v>
      </c>
      <c r="M22" s="15" t="s">
        <v>161</v>
      </c>
      <c r="N22" s="15" t="s">
        <v>162</v>
      </c>
      <c r="O22" s="15" t="s">
        <v>163</v>
      </c>
      <c r="P22" s="15" t="s">
        <v>164</v>
      </c>
      <c r="Q22" s="15" t="s">
        <v>165</v>
      </c>
      <c r="R22" s="15" t="s">
        <v>166</v>
      </c>
      <c r="S22" s="15" t="s">
        <v>167</v>
      </c>
      <c r="T22" s="15" t="s">
        <v>168</v>
      </c>
    </row>
    <row r="23" spans="3:20" ht="13.8">
      <c r="C23" s="22" t="s">
        <v>459</v>
      </c>
      <c r="D23" s="23"/>
      <c r="E23" s="11" t="s">
        <v>169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5" spans="3:20" ht="15.6">
      <c r="C25" s="21" t="s">
        <v>460</v>
      </c>
      <c r="D25" s="21"/>
      <c r="E25" s="21"/>
      <c r="F25" s="21"/>
      <c r="G25" s="21"/>
      <c r="H25" s="21"/>
      <c r="I25" s="21"/>
    </row>
    <row r="26" spans="3:20" ht="13.8">
      <c r="C26" s="22" t="s">
        <v>461</v>
      </c>
      <c r="D26" s="22"/>
      <c r="E26" s="23"/>
      <c r="F26" s="12" t="b">
        <v>1</v>
      </c>
      <c r="G26" s="12"/>
      <c r="H26" s="12"/>
      <c r="I26" s="12"/>
    </row>
    <row r="27" spans="3:20" ht="13.8">
      <c r="C27" s="22" t="s">
        <v>462</v>
      </c>
      <c r="D27" s="22"/>
      <c r="E27" s="23"/>
      <c r="F27" s="12">
        <v>1</v>
      </c>
      <c r="G27" s="12"/>
      <c r="H27" s="12"/>
      <c r="I27" s="12"/>
    </row>
    <row r="28" spans="3:20" ht="13.8">
      <c r="C28" s="22" t="s">
        <v>463</v>
      </c>
      <c r="D28" s="22"/>
      <c r="E28" s="23"/>
      <c r="F28" s="13" t="s">
        <v>466</v>
      </c>
      <c r="G28" s="14"/>
      <c r="H28" s="14"/>
      <c r="I28" s="32"/>
    </row>
    <row r="30" spans="3:20" ht="15.6">
      <c r="C30" s="28" t="s">
        <v>464</v>
      </c>
      <c r="D30" s="29"/>
      <c r="E30" s="29"/>
      <c r="F30" s="29"/>
      <c r="G30" s="29"/>
      <c r="H30" s="29"/>
      <c r="I30" s="30"/>
    </row>
    <row r="31" spans="3:20" ht="13.8">
      <c r="C31" s="23" t="s">
        <v>465</v>
      </c>
      <c r="D31" s="33"/>
      <c r="E31" s="34"/>
      <c r="F31" s="13">
        <v>7</v>
      </c>
      <c r="G31" s="14"/>
      <c r="H31" s="14"/>
      <c r="I31" s="32"/>
    </row>
    <row r="33" spans="3:9" ht="15.6">
      <c r="C33" s="28" t="s">
        <v>471</v>
      </c>
      <c r="D33" s="29"/>
      <c r="E33" s="29"/>
      <c r="F33" s="29"/>
      <c r="G33" s="29"/>
      <c r="H33" s="29"/>
      <c r="I33" s="30"/>
    </row>
    <row r="34" spans="3:9" ht="13.8">
      <c r="C34" s="23" t="s">
        <v>472</v>
      </c>
      <c r="D34" s="33"/>
      <c r="E34" s="34"/>
      <c r="F34" s="13" t="b">
        <v>0</v>
      </c>
      <c r="G34" s="14"/>
      <c r="H34" s="14"/>
      <c r="I34" s="32"/>
    </row>
    <row r="35" spans="3:9" ht="13.8">
      <c r="C35" s="23" t="s">
        <v>473</v>
      </c>
      <c r="D35" s="33"/>
      <c r="E35" s="34"/>
      <c r="F35" s="13" t="b">
        <v>0</v>
      </c>
      <c r="G35" s="14"/>
      <c r="H35" s="14"/>
      <c r="I35" s="32"/>
    </row>
    <row r="37" spans="3:9" ht="15.6">
      <c r="C37" s="28" t="s">
        <v>474</v>
      </c>
      <c r="D37" s="29"/>
      <c r="E37" s="29"/>
      <c r="F37" s="29"/>
      <c r="G37" s="30"/>
    </row>
    <row r="38" spans="3:9" ht="13.8">
      <c r="C38" s="9" t="s">
        <v>475</v>
      </c>
      <c r="D38" s="10"/>
      <c r="E38" s="10"/>
      <c r="F38" s="10"/>
      <c r="G38" s="35"/>
    </row>
    <row r="39" spans="3:9" ht="13.8">
      <c r="C39" s="9" t="s">
        <v>476</v>
      </c>
      <c r="D39" s="10"/>
      <c r="E39" s="10"/>
      <c r="F39" s="10"/>
      <c r="G39" s="35"/>
    </row>
  </sheetData>
  <mergeCells count="43">
    <mergeCell ref="H4:I4"/>
    <mergeCell ref="B3:I3"/>
    <mergeCell ref="L3:O3"/>
    <mergeCell ref="C37:G37"/>
    <mergeCell ref="C38:G38"/>
    <mergeCell ref="C39:G39"/>
    <mergeCell ref="B4:C4"/>
    <mergeCell ref="D4:E4"/>
    <mergeCell ref="F4:G4"/>
    <mergeCell ref="C30:I30"/>
    <mergeCell ref="C31:E31"/>
    <mergeCell ref="F31:I31"/>
    <mergeCell ref="C33:I33"/>
    <mergeCell ref="C34:E34"/>
    <mergeCell ref="C35:E35"/>
    <mergeCell ref="F34:I34"/>
    <mergeCell ref="F35:I35"/>
    <mergeCell ref="C25:I25"/>
    <mergeCell ref="C26:E26"/>
    <mergeCell ref="C27:E27"/>
    <mergeCell ref="C28:E28"/>
    <mergeCell ref="F26:I26"/>
    <mergeCell ref="F27:I27"/>
    <mergeCell ref="F28:I28"/>
    <mergeCell ref="C20:T20"/>
    <mergeCell ref="C21:D21"/>
    <mergeCell ref="C22:D22"/>
    <mergeCell ref="C23:D23"/>
    <mergeCell ref="E21:T21"/>
    <mergeCell ref="E23:T23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NB_Output'!$B$10:$B$10" display="Inputs" xr:uid="{058731BE-0A7B-4338-8A72-67A65B318624}"/>
    <hyperlink ref="D4" location="'NB_Stored'!$B$10:$B$10" display="PMML Model" xr:uid="{FADBB010-AA99-43BE-9CA4-B2AEBC1C981A}"/>
    <hyperlink ref="F4" location="'NB_TrainingScore'!$B$10:$B$10" display="Training: Classification Summary" xr:uid="{86077C9D-9665-4D4D-8587-517411CC6AF9}"/>
    <hyperlink ref="H4" location="'NB_ValidationScore'!$B$10:$B$10" display="Validation: Classification Summary" xr:uid="{0018E6C8-3DCF-434D-B4A7-41E1F47CC5F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60FF-817D-4F93-8F37-938B7F4BB5E1}">
  <dimension ref="B1:O36"/>
  <sheetViews>
    <sheetView showGridLines="0" topLeftCell="A17" workbookViewId="0">
      <selection activeCell="F31" sqref="F31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450</v>
      </c>
      <c r="N1" t="s">
        <v>304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44</v>
      </c>
      <c r="M5" s="15">
        <v>11</v>
      </c>
      <c r="N5" s="15">
        <v>27</v>
      </c>
      <c r="O5" s="15">
        <v>82</v>
      </c>
    </row>
    <row r="10" spans="2:15" ht="18">
      <c r="B10" s="6" t="s">
        <v>428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  <c r="J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451</v>
      </c>
      <c r="I13" t="s">
        <v>448</v>
      </c>
      <c r="J13" t="s">
        <v>449</v>
      </c>
    </row>
    <row r="14" spans="2:15">
      <c r="C14" s="8">
        <v>1</v>
      </c>
      <c r="D14" s="7">
        <v>23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>
        <v>0</v>
      </c>
    </row>
    <row r="15" spans="2:15">
      <c r="C15" s="8">
        <v>2</v>
      </c>
      <c r="D15" s="7">
        <v>0</v>
      </c>
      <c r="E15" s="7">
        <v>9</v>
      </c>
      <c r="F15" s="7">
        <v>0</v>
      </c>
      <c r="G15" s="7">
        <v>0</v>
      </c>
      <c r="H15" s="7">
        <v>0</v>
      </c>
      <c r="I15" s="7">
        <v>0</v>
      </c>
      <c r="J15">
        <v>0</v>
      </c>
    </row>
    <row r="16" spans="2:15">
      <c r="C16" s="8">
        <v>3</v>
      </c>
      <c r="D16" s="7">
        <v>0</v>
      </c>
      <c r="E16" s="7">
        <v>0</v>
      </c>
      <c r="F16" s="7">
        <v>4</v>
      </c>
      <c r="G16" s="7">
        <v>0</v>
      </c>
      <c r="H16" s="7">
        <v>0</v>
      </c>
      <c r="I16" s="7">
        <v>0</v>
      </c>
      <c r="J16">
        <v>0</v>
      </c>
    </row>
    <row r="17" spans="3:10">
      <c r="C17" s="8">
        <v>4</v>
      </c>
      <c r="D17" s="7">
        <v>0</v>
      </c>
      <c r="E17" s="7">
        <v>0</v>
      </c>
      <c r="F17" s="7">
        <v>0</v>
      </c>
      <c r="G17" s="7">
        <v>7</v>
      </c>
      <c r="H17" s="7">
        <v>0</v>
      </c>
      <c r="I17" s="7">
        <v>0</v>
      </c>
      <c r="J17">
        <v>0</v>
      </c>
    </row>
    <row r="18" spans="3:10">
      <c r="C18" s="8">
        <v>5</v>
      </c>
      <c r="D18" s="7">
        <v>0</v>
      </c>
      <c r="E18" s="7">
        <v>0</v>
      </c>
      <c r="F18" s="7">
        <v>0</v>
      </c>
      <c r="G18" s="7">
        <v>0</v>
      </c>
      <c r="H18" s="7">
        <v>4</v>
      </c>
      <c r="I18" s="7">
        <v>0</v>
      </c>
      <c r="J18">
        <v>0</v>
      </c>
    </row>
    <row r="19" spans="3:10">
      <c r="C19" s="8">
        <v>6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4</v>
      </c>
      <c r="J19">
        <v>0</v>
      </c>
    </row>
    <row r="20" spans="3:10">
      <c r="C20" s="8">
        <v>7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>
        <v>5</v>
      </c>
    </row>
    <row r="22" spans="3:10" ht="15.6">
      <c r="C22" s="21" t="s">
        <v>432</v>
      </c>
      <c r="D22" s="21"/>
      <c r="E22" s="21"/>
      <c r="F22" s="21"/>
    </row>
    <row r="23" spans="3:10">
      <c r="C23" t="s">
        <v>433</v>
      </c>
      <c r="D23" t="s">
        <v>437</v>
      </c>
      <c r="E23" t="s">
        <v>439</v>
      </c>
      <c r="F23" t="s">
        <v>440</v>
      </c>
    </row>
    <row r="24" spans="3:10">
      <c r="C24" s="8">
        <v>1</v>
      </c>
      <c r="D24">
        <f>SUM($D$14:$J$14)</f>
        <v>23</v>
      </c>
      <c r="E24">
        <f>SUM($D$14:$J$14) - $D$14</f>
        <v>0</v>
      </c>
      <c r="F24">
        <f>IF($D$24=0,"Undefined",$E$24*100 / $D$24)</f>
        <v>0</v>
      </c>
    </row>
    <row r="25" spans="3:10">
      <c r="C25" s="8">
        <v>2</v>
      </c>
      <c r="D25">
        <f>SUM($D$15:$J$15)</f>
        <v>9</v>
      </c>
      <c r="E25">
        <f>SUM($D$15:$J$15) - $E$15</f>
        <v>0</v>
      </c>
      <c r="F25">
        <f>IF($D$25=0,"Undefined",$E$25*100 / $D$25)</f>
        <v>0</v>
      </c>
    </row>
    <row r="26" spans="3:10">
      <c r="C26" s="8">
        <v>3</v>
      </c>
      <c r="D26">
        <f>SUM($D$16:$J$16)</f>
        <v>4</v>
      </c>
      <c r="E26">
        <f>SUM($D$16:$J$16) - $F$16</f>
        <v>0</v>
      </c>
      <c r="F26">
        <f>IF($D$26=0,"Undefined",$E$26*100 / $D$26)</f>
        <v>0</v>
      </c>
    </row>
    <row r="27" spans="3:10">
      <c r="C27" s="8">
        <v>4</v>
      </c>
      <c r="D27">
        <f>SUM($D$17:$J$17)</f>
        <v>7</v>
      </c>
      <c r="E27">
        <f>SUM($D$17:$J$17) - $G$17</f>
        <v>0</v>
      </c>
      <c r="F27">
        <f>IF($D$27=0,"Undefined",$E$27*100 / $D$27)</f>
        <v>0</v>
      </c>
    </row>
    <row r="28" spans="3:10">
      <c r="C28" s="8">
        <v>5</v>
      </c>
      <c r="D28">
        <f>SUM($D$18:$J$18)</f>
        <v>4</v>
      </c>
      <c r="E28">
        <f>SUM($D$18:$J$18) - $H$18</f>
        <v>0</v>
      </c>
      <c r="F28">
        <f>IF($D$28=0,"Undefined",$E$28*100 / $D$28)</f>
        <v>0</v>
      </c>
    </row>
    <row r="29" spans="3:10">
      <c r="C29" s="8">
        <v>6</v>
      </c>
      <c r="D29">
        <f>SUM($D$19:$J$19)</f>
        <v>4</v>
      </c>
      <c r="E29">
        <f>SUM($D$19:$J$19) - $I$19</f>
        <v>0</v>
      </c>
      <c r="F29">
        <f>IF($D$29=0,"Undefined",$E$29*100 / $D$29)</f>
        <v>0</v>
      </c>
    </row>
    <row r="30" spans="3:10">
      <c r="C30" s="8">
        <v>7</v>
      </c>
      <c r="D30">
        <f>SUM($D$20:$J$20)</f>
        <v>5</v>
      </c>
      <c r="E30">
        <f>SUM($D$20:$J$20) - $J$20</f>
        <v>0</v>
      </c>
      <c r="F30">
        <f>IF($D$30=0,"Undefined",$E$30*100 / $D$30)</f>
        <v>0</v>
      </c>
    </row>
    <row r="31" spans="3:10">
      <c r="C31" s="8" t="s">
        <v>434</v>
      </c>
      <c r="D31">
        <f>SUM($D$24:$D$30)</f>
        <v>56</v>
      </c>
      <c r="E31">
        <f>SUM($E$24:$E$30)</f>
        <v>0</v>
      </c>
      <c r="F31">
        <f>IF($D$31=0,"Undefined",$E$31*100 / $D$31)</f>
        <v>0</v>
      </c>
    </row>
    <row r="33" spans="3:4" ht="15.6">
      <c r="C33" s="21" t="s">
        <v>435</v>
      </c>
      <c r="D33" s="21"/>
    </row>
    <row r="34" spans="3:4">
      <c r="C34" t="s">
        <v>436</v>
      </c>
      <c r="D34" t="s">
        <v>438</v>
      </c>
    </row>
    <row r="35" spans="3:4">
      <c r="C35" t="s">
        <v>441</v>
      </c>
      <c r="D35">
        <v>56</v>
      </c>
    </row>
    <row r="36" spans="3:4">
      <c r="C36" t="s">
        <v>442</v>
      </c>
      <c r="D36">
        <v>100</v>
      </c>
    </row>
  </sheetData>
  <mergeCells count="9">
    <mergeCell ref="B3:I3"/>
    <mergeCell ref="L3:O3"/>
    <mergeCell ref="C12:J12"/>
    <mergeCell ref="C22:F22"/>
    <mergeCell ref="C33:D33"/>
    <mergeCell ref="B4:C4"/>
    <mergeCell ref="D4:E4"/>
    <mergeCell ref="F4:G4"/>
    <mergeCell ref="H4:I4"/>
  </mergeCells>
  <hyperlinks>
    <hyperlink ref="B4" location="'NB_Output'!$B$10:$B$10" display="Inputs" xr:uid="{507B9BF5-22AE-4427-8364-2C597C56D36A}"/>
    <hyperlink ref="D4" location="'NB_Stored'!$B$10:$B$10" display="PMML Model" xr:uid="{4FB636E3-9133-401E-9F64-053F08B5736D}"/>
    <hyperlink ref="F4" location="'NB_TrainingScore'!$B$10:$B$10" display="Training: Classification Summary" xr:uid="{D9160608-2B7D-4535-8B8E-B58C6EEA1738}"/>
    <hyperlink ref="H4" location="'NB_ValidationScore'!$B$10:$B$10" display="Validation: Classification Summary" xr:uid="{9D544813-ECA4-43D4-B01E-F680F1EA9557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14F5-B580-41AF-962D-2650831E9A3B}">
  <dimension ref="B1:O34"/>
  <sheetViews>
    <sheetView showGridLines="0" topLeftCell="A9" workbookViewId="0">
      <selection activeCell="K31" sqref="K31"/>
    </sheetView>
  </sheetViews>
  <sheetFormatPr defaultRowHeight="13.2"/>
  <cols>
    <col min="3" max="3" width="18.44140625" bestFit="1" customWidth="1"/>
    <col min="4" max="4" width="9.77734375" customWidth="1"/>
    <col min="5" max="5" width="10.109375" customWidth="1"/>
    <col min="6" max="6" width="9.88671875" customWidth="1"/>
    <col min="12" max="12" width="15.88671875" bestFit="1" customWidth="1"/>
  </cols>
  <sheetData>
    <row r="1" spans="2:15" ht="18">
      <c r="B1" s="5" t="s">
        <v>430</v>
      </c>
      <c r="N1" t="s">
        <v>304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44</v>
      </c>
      <c r="M5" s="15">
        <v>11</v>
      </c>
      <c r="N5" s="15">
        <v>27</v>
      </c>
      <c r="O5" s="15">
        <v>82</v>
      </c>
    </row>
    <row r="10" spans="2:15" ht="18">
      <c r="B10" s="6" t="s">
        <v>429</v>
      </c>
    </row>
    <row r="12" spans="2:15" ht="15.6">
      <c r="C12" s="21" t="s">
        <v>431</v>
      </c>
      <c r="D12" s="21"/>
      <c r="E12" s="21"/>
      <c r="F12" s="21"/>
      <c r="G12" s="21"/>
      <c r="H12" s="21"/>
      <c r="I12" s="21"/>
    </row>
    <row r="13" spans="2:15">
      <c r="C13" s="8" t="s">
        <v>443</v>
      </c>
      <c r="D13" t="s">
        <v>444</v>
      </c>
      <c r="E13" t="s">
        <v>445</v>
      </c>
      <c r="F13" t="s">
        <v>446</v>
      </c>
      <c r="G13" t="s">
        <v>447</v>
      </c>
      <c r="H13" t="s">
        <v>448</v>
      </c>
      <c r="I13" t="s">
        <v>449</v>
      </c>
    </row>
    <row r="14" spans="2:15">
      <c r="C14" s="8">
        <v>1</v>
      </c>
      <c r="D14" s="7">
        <v>15</v>
      </c>
      <c r="E14" s="7">
        <v>0</v>
      </c>
      <c r="F14" s="7">
        <v>0</v>
      </c>
      <c r="G14" s="7">
        <v>0</v>
      </c>
      <c r="H14" s="7">
        <v>0</v>
      </c>
      <c r="I14">
        <v>0</v>
      </c>
    </row>
    <row r="15" spans="2:15">
      <c r="C15" s="8">
        <v>2</v>
      </c>
      <c r="D15" s="7">
        <v>0</v>
      </c>
      <c r="E15" s="7">
        <v>9</v>
      </c>
      <c r="F15" s="7">
        <v>0</v>
      </c>
      <c r="G15" s="7">
        <v>0</v>
      </c>
      <c r="H15" s="7">
        <v>0</v>
      </c>
      <c r="I15">
        <v>0</v>
      </c>
    </row>
    <row r="16" spans="2:15">
      <c r="C16" s="8">
        <v>3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>
        <v>0</v>
      </c>
    </row>
    <row r="17" spans="3:9">
      <c r="C17" s="8">
        <v>4</v>
      </c>
      <c r="D17" s="7">
        <v>0</v>
      </c>
      <c r="E17" s="7">
        <v>0</v>
      </c>
      <c r="F17" s="7">
        <v>0</v>
      </c>
      <c r="G17" s="7">
        <v>5</v>
      </c>
      <c r="H17" s="7">
        <v>0</v>
      </c>
      <c r="I17">
        <v>0</v>
      </c>
    </row>
    <row r="18" spans="3:9">
      <c r="C18" s="8">
        <v>6</v>
      </c>
      <c r="D18" s="7">
        <v>0</v>
      </c>
      <c r="E18" s="7">
        <v>0</v>
      </c>
      <c r="F18" s="7">
        <v>0</v>
      </c>
      <c r="G18" s="7">
        <v>0</v>
      </c>
      <c r="H18" s="7">
        <v>3</v>
      </c>
      <c r="I18">
        <v>0</v>
      </c>
    </row>
    <row r="19" spans="3:9">
      <c r="C19" s="8">
        <v>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>
        <v>4</v>
      </c>
    </row>
    <row r="21" spans="3:9" ht="15.6">
      <c r="C21" s="21" t="s">
        <v>432</v>
      </c>
      <c r="D21" s="21"/>
      <c r="E21" s="21"/>
      <c r="F21" s="21"/>
    </row>
    <row r="22" spans="3:9">
      <c r="C22" t="s">
        <v>433</v>
      </c>
      <c r="D22" t="s">
        <v>437</v>
      </c>
      <c r="E22" t="s">
        <v>439</v>
      </c>
      <c r="F22" t="s">
        <v>440</v>
      </c>
    </row>
    <row r="23" spans="3:9">
      <c r="C23" s="8">
        <v>1</v>
      </c>
      <c r="D23">
        <f>SUM($D$14:$I$14)</f>
        <v>15</v>
      </c>
      <c r="E23">
        <f>SUM($D$14:$I$14) - $D$14</f>
        <v>0</v>
      </c>
      <c r="F23">
        <f>IF($D$23=0,"Undefined",$E$23*100 / $D$23)</f>
        <v>0</v>
      </c>
    </row>
    <row r="24" spans="3:9">
      <c r="C24" s="8">
        <v>2</v>
      </c>
      <c r="D24">
        <f>SUM($D$15:$I$15)</f>
        <v>9</v>
      </c>
      <c r="E24">
        <f>SUM($D$15:$I$15) - $E$15</f>
        <v>0</v>
      </c>
      <c r="F24">
        <f>IF($D$24=0,"Undefined",$E$24*100 / $D$24)</f>
        <v>0</v>
      </c>
    </row>
    <row r="25" spans="3:9">
      <c r="C25" s="8">
        <v>3</v>
      </c>
      <c r="D25">
        <f>SUM($D$16:$I$16)</f>
        <v>1</v>
      </c>
      <c r="E25">
        <f>SUM($D$16:$I$16) - $F$16</f>
        <v>1</v>
      </c>
      <c r="F25">
        <f>IF($D$25=0,"Undefined",$E$25*100 / $D$25)</f>
        <v>100</v>
      </c>
    </row>
    <row r="26" spans="3:9">
      <c r="C26" s="8">
        <v>4</v>
      </c>
      <c r="D26">
        <f>SUM($D$17:$I$17)</f>
        <v>5</v>
      </c>
      <c r="E26">
        <f>SUM($D$17:$I$17) - $G$17</f>
        <v>0</v>
      </c>
      <c r="F26">
        <f>IF($D$26=0,"Undefined",$E$26*100 / $D$26)</f>
        <v>0</v>
      </c>
    </row>
    <row r="27" spans="3:9">
      <c r="C27" s="8">
        <v>6</v>
      </c>
      <c r="D27">
        <f>SUM($D$18:$I$18)</f>
        <v>3</v>
      </c>
      <c r="E27">
        <f>SUM($D$18:$I$18) - $H$18</f>
        <v>0</v>
      </c>
      <c r="F27">
        <f>IF($D$27=0,"Undefined",$E$27*100 / $D$27)</f>
        <v>0</v>
      </c>
    </row>
    <row r="28" spans="3:9">
      <c r="C28" s="8">
        <v>7</v>
      </c>
      <c r="D28">
        <f>SUM($D$19:$I$19)</f>
        <v>4</v>
      </c>
      <c r="E28">
        <f>SUM($D$19:$I$19) - $I$19</f>
        <v>0</v>
      </c>
      <c r="F28">
        <f>IF($D$28=0,"Undefined",$E$28*100 / $D$28)</f>
        <v>0</v>
      </c>
    </row>
    <row r="29" spans="3:9">
      <c r="C29" s="8" t="s">
        <v>434</v>
      </c>
      <c r="D29">
        <f>SUM($D$23:$D$28)</f>
        <v>37</v>
      </c>
      <c r="E29">
        <f>SUM($E$23:$E$28)</f>
        <v>1</v>
      </c>
      <c r="F29">
        <f>IF($D$29=0,"Undefined",$E$29*100 / $D$29)</f>
        <v>2.7027027027027026</v>
      </c>
    </row>
    <row r="31" spans="3:9" ht="15.6">
      <c r="C31" s="21" t="s">
        <v>435</v>
      </c>
      <c r="D31" s="21"/>
    </row>
    <row r="32" spans="3:9">
      <c r="C32" t="s">
        <v>436</v>
      </c>
      <c r="D32" t="s">
        <v>438</v>
      </c>
    </row>
    <row r="33" spans="3:4">
      <c r="C33" t="s">
        <v>441</v>
      </c>
      <c r="D33">
        <v>36</v>
      </c>
    </row>
    <row r="34" spans="3:4">
      <c r="C34" t="s">
        <v>442</v>
      </c>
      <c r="D34">
        <v>97.297297297297305</v>
      </c>
    </row>
  </sheetData>
  <mergeCells count="9">
    <mergeCell ref="B3:I3"/>
    <mergeCell ref="L3:O3"/>
    <mergeCell ref="C12:I12"/>
    <mergeCell ref="C21:F21"/>
    <mergeCell ref="C31:D31"/>
    <mergeCell ref="B4:C4"/>
    <mergeCell ref="D4:E4"/>
    <mergeCell ref="F4:G4"/>
    <mergeCell ref="H4:I4"/>
  </mergeCells>
  <hyperlinks>
    <hyperlink ref="B4" location="'NB_Output'!$B$10:$B$10" display="Inputs" xr:uid="{89ECDEEC-AAC4-4C7C-B4B4-4C2D6C1C968F}"/>
    <hyperlink ref="D4" location="'NB_Stored'!$B$10:$B$10" display="PMML Model" xr:uid="{B75BC1DF-F459-4680-AA6F-60641F3EE002}"/>
    <hyperlink ref="F4" location="'NB_TrainingScore'!$B$10:$B$10" display="Training: Classification Summary" xr:uid="{5038DACF-B4D6-42AD-99E1-6FDA65C3D334}"/>
    <hyperlink ref="H4" location="'NB_ValidationScore'!$B$10:$B$10" display="Validation: Classification Summary" xr:uid="{2A0F512A-1636-4527-8A31-F05DAB5539A4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81F1-1847-4510-9EFF-1DBEE38E3B04}">
  <dimension ref="B1:O508"/>
  <sheetViews>
    <sheetView showGridLines="0" workbookViewId="0"/>
  </sheetViews>
  <sheetFormatPr defaultRowHeight="13.2"/>
  <cols>
    <col min="12" max="12" width="15.88671875" bestFit="1" customWidth="1"/>
  </cols>
  <sheetData>
    <row r="1" spans="2:15" ht="18">
      <c r="B1" s="5" t="s">
        <v>281</v>
      </c>
      <c r="N1" t="s">
        <v>304</v>
      </c>
    </row>
    <row r="3" spans="2:15" ht="15.6">
      <c r="B3" s="21" t="s">
        <v>122</v>
      </c>
      <c r="C3" s="21"/>
      <c r="D3" s="21"/>
      <c r="E3" s="21"/>
      <c r="F3" s="21"/>
      <c r="G3" s="21"/>
      <c r="H3" s="21"/>
      <c r="I3" s="21"/>
      <c r="L3" s="31" t="s">
        <v>145</v>
      </c>
      <c r="M3" s="31"/>
      <c r="N3" s="31"/>
      <c r="O3" s="31"/>
    </row>
    <row r="4" spans="2:15" ht="13.8">
      <c r="B4" s="19" t="s">
        <v>123</v>
      </c>
      <c r="C4" s="19"/>
      <c r="D4" s="19" t="s">
        <v>282</v>
      </c>
      <c r="E4" s="19"/>
      <c r="F4" s="19" t="s">
        <v>428</v>
      </c>
      <c r="G4" s="19"/>
      <c r="H4" s="19" t="s">
        <v>429</v>
      </c>
      <c r="I4" s="19"/>
      <c r="L4" s="24" t="s">
        <v>146</v>
      </c>
      <c r="M4" s="24" t="s">
        <v>147</v>
      </c>
      <c r="N4" s="24" t="s">
        <v>148</v>
      </c>
      <c r="O4" s="24" t="s">
        <v>149</v>
      </c>
    </row>
    <row r="5" spans="2:15" ht="13.8">
      <c r="L5" s="15">
        <v>44</v>
      </c>
      <c r="M5" s="15">
        <v>11</v>
      </c>
      <c r="N5" s="15">
        <v>27</v>
      </c>
      <c r="O5" s="15">
        <v>82</v>
      </c>
    </row>
    <row r="10" spans="2:15" ht="18">
      <c r="B10" s="6" t="s">
        <v>282</v>
      </c>
    </row>
    <row r="12" spans="2:15">
      <c r="B12" t="s">
        <v>283</v>
      </c>
    </row>
    <row r="13" spans="2:15">
      <c r="B13" t="s">
        <v>284</v>
      </c>
    </row>
    <row r="14" spans="2:15">
      <c r="B14" t="s">
        <v>285</v>
      </c>
    </row>
    <row r="15" spans="2:15">
      <c r="B15" t="s">
        <v>286</v>
      </c>
    </row>
    <row r="16" spans="2:15">
      <c r="B16" t="s">
        <v>287</v>
      </c>
    </row>
    <row r="17" spans="2:2">
      <c r="B17" t="s">
        <v>288</v>
      </c>
    </row>
    <row r="18" spans="2:2">
      <c r="B18" t="s">
        <v>289</v>
      </c>
    </row>
    <row r="19" spans="2:2">
      <c r="B19" t="s">
        <v>290</v>
      </c>
    </row>
    <row r="20" spans="2:2">
      <c r="B20" t="s">
        <v>291</v>
      </c>
    </row>
    <row r="21" spans="2:2">
      <c r="B21" t="s">
        <v>292</v>
      </c>
    </row>
    <row r="22" spans="2:2">
      <c r="B22" t="s">
        <v>293</v>
      </c>
    </row>
    <row r="23" spans="2:2">
      <c r="B23" t="s">
        <v>294</v>
      </c>
    </row>
    <row r="24" spans="2:2">
      <c r="B24" t="s">
        <v>295</v>
      </c>
    </row>
    <row r="25" spans="2:2">
      <c r="B25" t="s">
        <v>296</v>
      </c>
    </row>
    <row r="26" spans="2:2">
      <c r="B26" t="s">
        <v>297</v>
      </c>
    </row>
    <row r="27" spans="2:2">
      <c r="B27" t="s">
        <v>298</v>
      </c>
    </row>
    <row r="28" spans="2:2">
      <c r="B28" t="s">
        <v>299</v>
      </c>
    </row>
    <row r="29" spans="2:2">
      <c r="B29" t="s">
        <v>300</v>
      </c>
    </row>
    <row r="30" spans="2:2">
      <c r="B30" t="s">
        <v>301</v>
      </c>
    </row>
    <row r="31" spans="2:2">
      <c r="B31" t="s">
        <v>302</v>
      </c>
    </row>
    <row r="32" spans="2:2">
      <c r="B32" t="s">
        <v>303</v>
      </c>
    </row>
    <row r="33" spans="2:2">
      <c r="B33" t="s">
        <v>305</v>
      </c>
    </row>
    <row r="34" spans="2:2">
      <c r="B34" t="s">
        <v>306</v>
      </c>
    </row>
    <row r="35" spans="2:2">
      <c r="B35" t="s">
        <v>307</v>
      </c>
    </row>
    <row r="36" spans="2:2">
      <c r="B36" t="s">
        <v>308</v>
      </c>
    </row>
    <row r="37" spans="2:2">
      <c r="B37" t="s">
        <v>309</v>
      </c>
    </row>
    <row r="38" spans="2:2">
      <c r="B38" t="s">
        <v>310</v>
      </c>
    </row>
    <row r="39" spans="2:2">
      <c r="B39" t="s">
        <v>311</v>
      </c>
    </row>
    <row r="40" spans="2:2">
      <c r="B40" t="s">
        <v>312</v>
      </c>
    </row>
    <row r="41" spans="2:2">
      <c r="B41" t="s">
        <v>313</v>
      </c>
    </row>
    <row r="42" spans="2:2">
      <c r="B42" t="s">
        <v>314</v>
      </c>
    </row>
    <row r="43" spans="2:2">
      <c r="B43" t="s">
        <v>315</v>
      </c>
    </row>
    <row r="44" spans="2:2">
      <c r="B44" t="s">
        <v>316</v>
      </c>
    </row>
    <row r="45" spans="2:2">
      <c r="B45" t="s">
        <v>317</v>
      </c>
    </row>
    <row r="46" spans="2:2">
      <c r="B46" t="s">
        <v>318</v>
      </c>
    </row>
    <row r="47" spans="2:2">
      <c r="B47" t="s">
        <v>319</v>
      </c>
    </row>
    <row r="48" spans="2:2">
      <c r="B48" t="s">
        <v>320</v>
      </c>
    </row>
    <row r="49" spans="2:2">
      <c r="B49" t="s">
        <v>321</v>
      </c>
    </row>
    <row r="50" spans="2:2">
      <c r="B50" t="s">
        <v>322</v>
      </c>
    </row>
    <row r="51" spans="2:2">
      <c r="B51" t="s">
        <v>323</v>
      </c>
    </row>
    <row r="52" spans="2:2">
      <c r="B52" t="s">
        <v>324</v>
      </c>
    </row>
    <row r="53" spans="2:2">
      <c r="B53" t="s">
        <v>325</v>
      </c>
    </row>
    <row r="54" spans="2:2">
      <c r="B54" t="s">
        <v>326</v>
      </c>
    </row>
    <row r="55" spans="2:2">
      <c r="B55" t="s">
        <v>327</v>
      </c>
    </row>
    <row r="56" spans="2:2">
      <c r="B56" t="s">
        <v>328</v>
      </c>
    </row>
    <row r="57" spans="2:2">
      <c r="B57" t="s">
        <v>329</v>
      </c>
    </row>
    <row r="58" spans="2:2">
      <c r="B58" t="s">
        <v>330</v>
      </c>
    </row>
    <row r="59" spans="2:2">
      <c r="B59" t="s">
        <v>331</v>
      </c>
    </row>
    <row r="60" spans="2:2">
      <c r="B60" t="s">
        <v>332</v>
      </c>
    </row>
    <row r="61" spans="2:2">
      <c r="B61" t="s">
        <v>333</v>
      </c>
    </row>
    <row r="62" spans="2:2">
      <c r="B62" t="s">
        <v>334</v>
      </c>
    </row>
    <row r="63" spans="2:2">
      <c r="B63" t="s">
        <v>335</v>
      </c>
    </row>
    <row r="64" spans="2:2">
      <c r="B64" t="s">
        <v>336</v>
      </c>
    </row>
    <row r="65" spans="2:2">
      <c r="B65" t="s">
        <v>337</v>
      </c>
    </row>
    <row r="66" spans="2:2">
      <c r="B66" t="s">
        <v>338</v>
      </c>
    </row>
    <row r="67" spans="2:2">
      <c r="B67" t="s">
        <v>339</v>
      </c>
    </row>
    <row r="68" spans="2:2">
      <c r="B68" t="s">
        <v>340</v>
      </c>
    </row>
    <row r="69" spans="2:2">
      <c r="B69" t="s">
        <v>341</v>
      </c>
    </row>
    <row r="70" spans="2:2">
      <c r="B70" t="s">
        <v>342</v>
      </c>
    </row>
    <row r="71" spans="2:2">
      <c r="B71" t="s">
        <v>343</v>
      </c>
    </row>
    <row r="72" spans="2:2">
      <c r="B72" t="s">
        <v>344</v>
      </c>
    </row>
    <row r="73" spans="2:2">
      <c r="B73" t="s">
        <v>345</v>
      </c>
    </row>
    <row r="74" spans="2:2">
      <c r="B74" t="s">
        <v>346</v>
      </c>
    </row>
    <row r="75" spans="2:2">
      <c r="B75" t="s">
        <v>347</v>
      </c>
    </row>
    <row r="76" spans="2:2">
      <c r="B76" t="s">
        <v>348</v>
      </c>
    </row>
    <row r="77" spans="2:2">
      <c r="B77" t="s">
        <v>349</v>
      </c>
    </row>
    <row r="78" spans="2:2">
      <c r="B78" t="s">
        <v>350</v>
      </c>
    </row>
    <row r="79" spans="2:2">
      <c r="B79" t="s">
        <v>351</v>
      </c>
    </row>
    <row r="80" spans="2:2">
      <c r="B80" t="s">
        <v>352</v>
      </c>
    </row>
    <row r="81" spans="2:2">
      <c r="B81" t="s">
        <v>353</v>
      </c>
    </row>
    <row r="82" spans="2:2">
      <c r="B82" t="s">
        <v>354</v>
      </c>
    </row>
    <row r="83" spans="2:2">
      <c r="B83" t="s">
        <v>355</v>
      </c>
    </row>
    <row r="84" spans="2:2">
      <c r="B84" t="s">
        <v>356</v>
      </c>
    </row>
    <row r="85" spans="2:2">
      <c r="B85" t="s">
        <v>357</v>
      </c>
    </row>
    <row r="86" spans="2:2">
      <c r="B86" t="s">
        <v>358</v>
      </c>
    </row>
    <row r="87" spans="2:2">
      <c r="B87" t="s">
        <v>359</v>
      </c>
    </row>
    <row r="88" spans="2:2">
      <c r="B88" t="s">
        <v>360</v>
      </c>
    </row>
    <row r="89" spans="2:2">
      <c r="B89" t="s">
        <v>361</v>
      </c>
    </row>
    <row r="90" spans="2:2">
      <c r="B90" t="s">
        <v>362</v>
      </c>
    </row>
    <row r="91" spans="2:2">
      <c r="B91" t="s">
        <v>352</v>
      </c>
    </row>
    <row r="92" spans="2:2">
      <c r="B92" t="s">
        <v>363</v>
      </c>
    </row>
    <row r="93" spans="2:2">
      <c r="B93" t="s">
        <v>364</v>
      </c>
    </row>
    <row r="94" spans="2:2">
      <c r="B94" t="s">
        <v>365</v>
      </c>
    </row>
    <row r="95" spans="2:2">
      <c r="B95" t="s">
        <v>366</v>
      </c>
    </row>
    <row r="96" spans="2:2">
      <c r="B96" t="s">
        <v>357</v>
      </c>
    </row>
    <row r="97" spans="2:2">
      <c r="B97" t="s">
        <v>367</v>
      </c>
    </row>
    <row r="98" spans="2:2">
      <c r="B98" t="s">
        <v>368</v>
      </c>
    </row>
    <row r="99" spans="2:2">
      <c r="B99" t="s">
        <v>360</v>
      </c>
    </row>
    <row r="100" spans="2:2">
      <c r="B100" t="s">
        <v>361</v>
      </c>
    </row>
    <row r="101" spans="2:2">
      <c r="B101" t="s">
        <v>369</v>
      </c>
    </row>
    <row r="102" spans="2:2">
      <c r="B102" t="s">
        <v>370</v>
      </c>
    </row>
    <row r="103" spans="2:2">
      <c r="B103" t="s">
        <v>362</v>
      </c>
    </row>
    <row r="104" spans="2:2">
      <c r="B104" t="s">
        <v>352</v>
      </c>
    </row>
    <row r="105" spans="2:2">
      <c r="B105" t="s">
        <v>371</v>
      </c>
    </row>
    <row r="106" spans="2:2">
      <c r="B106" t="s">
        <v>354</v>
      </c>
    </row>
    <row r="107" spans="2:2">
      <c r="B107" t="s">
        <v>372</v>
      </c>
    </row>
    <row r="108" spans="2:2">
      <c r="B108" t="s">
        <v>356</v>
      </c>
    </row>
    <row r="109" spans="2:2">
      <c r="B109" t="s">
        <v>373</v>
      </c>
    </row>
    <row r="110" spans="2:2">
      <c r="B110" t="s">
        <v>374</v>
      </c>
    </row>
    <row r="111" spans="2:2">
      <c r="B111" t="s">
        <v>368</v>
      </c>
    </row>
    <row r="112" spans="2:2">
      <c r="B112" t="s">
        <v>360</v>
      </c>
    </row>
    <row r="113" spans="2:2">
      <c r="B113" t="s">
        <v>361</v>
      </c>
    </row>
    <row r="114" spans="2:2">
      <c r="B114" t="s">
        <v>351</v>
      </c>
    </row>
    <row r="115" spans="2:2">
      <c r="B115" t="s">
        <v>352</v>
      </c>
    </row>
    <row r="116" spans="2:2">
      <c r="B116" t="s">
        <v>375</v>
      </c>
    </row>
    <row r="117" spans="2:2">
      <c r="B117" t="s">
        <v>364</v>
      </c>
    </row>
    <row r="118" spans="2:2">
      <c r="B118" t="s">
        <v>376</v>
      </c>
    </row>
    <row r="119" spans="2:2">
      <c r="B119" t="s">
        <v>366</v>
      </c>
    </row>
    <row r="120" spans="2:2">
      <c r="B120" t="s">
        <v>377</v>
      </c>
    </row>
    <row r="121" spans="2:2">
      <c r="B121" t="s">
        <v>378</v>
      </c>
    </row>
    <row r="122" spans="2:2">
      <c r="B122" t="s">
        <v>359</v>
      </c>
    </row>
    <row r="123" spans="2:2">
      <c r="B123" t="s">
        <v>360</v>
      </c>
    </row>
    <row r="124" spans="2:2">
      <c r="B124" t="s">
        <v>361</v>
      </c>
    </row>
    <row r="125" spans="2:2">
      <c r="B125" t="s">
        <v>369</v>
      </c>
    </row>
    <row r="126" spans="2:2">
      <c r="B126" t="s">
        <v>379</v>
      </c>
    </row>
    <row r="127" spans="2:2">
      <c r="B127" t="s">
        <v>362</v>
      </c>
    </row>
    <row r="128" spans="2:2">
      <c r="B128" t="s">
        <v>352</v>
      </c>
    </row>
    <row r="129" spans="2:2">
      <c r="B129" t="s">
        <v>380</v>
      </c>
    </row>
    <row r="130" spans="2:2">
      <c r="B130" t="s">
        <v>354</v>
      </c>
    </row>
    <row r="131" spans="2:2">
      <c r="B131" t="s">
        <v>365</v>
      </c>
    </row>
    <row r="132" spans="2:2">
      <c r="B132" t="s">
        <v>366</v>
      </c>
    </row>
    <row r="133" spans="2:2">
      <c r="B133" t="s">
        <v>373</v>
      </c>
    </row>
    <row r="134" spans="2:2">
      <c r="B134" t="s">
        <v>367</v>
      </c>
    </row>
    <row r="135" spans="2:2">
      <c r="B135" t="s">
        <v>368</v>
      </c>
    </row>
    <row r="136" spans="2:2">
      <c r="B136" t="s">
        <v>360</v>
      </c>
    </row>
    <row r="137" spans="2:2">
      <c r="B137" t="s">
        <v>361</v>
      </c>
    </row>
    <row r="138" spans="2:2">
      <c r="B138" t="s">
        <v>351</v>
      </c>
    </row>
    <row r="139" spans="2:2">
      <c r="B139" t="s">
        <v>352</v>
      </c>
    </row>
    <row r="140" spans="2:2">
      <c r="B140" t="s">
        <v>381</v>
      </c>
    </row>
    <row r="141" spans="2:2">
      <c r="B141" t="s">
        <v>364</v>
      </c>
    </row>
    <row r="142" spans="2:2">
      <c r="B142" t="s">
        <v>355</v>
      </c>
    </row>
    <row r="143" spans="2:2">
      <c r="B143" t="s">
        <v>356</v>
      </c>
    </row>
    <row r="144" spans="2:2">
      <c r="B144" t="s">
        <v>377</v>
      </c>
    </row>
    <row r="145" spans="2:2">
      <c r="B145" t="s">
        <v>358</v>
      </c>
    </row>
    <row r="146" spans="2:2">
      <c r="B146" t="s">
        <v>359</v>
      </c>
    </row>
    <row r="147" spans="2:2">
      <c r="B147" t="s">
        <v>360</v>
      </c>
    </row>
    <row r="148" spans="2:2">
      <c r="B148" t="s">
        <v>361</v>
      </c>
    </row>
    <row r="149" spans="2:2">
      <c r="B149" t="s">
        <v>369</v>
      </c>
    </row>
    <row r="150" spans="2:2">
      <c r="B150" t="s">
        <v>382</v>
      </c>
    </row>
    <row r="151" spans="2:2">
      <c r="B151" t="s">
        <v>362</v>
      </c>
    </row>
    <row r="152" spans="2:2">
      <c r="B152" t="s">
        <v>352</v>
      </c>
    </row>
    <row r="153" spans="2:2">
      <c r="B153" t="s">
        <v>383</v>
      </c>
    </row>
    <row r="154" spans="2:2">
      <c r="B154" t="s">
        <v>364</v>
      </c>
    </row>
    <row r="155" spans="2:2">
      <c r="B155" t="s">
        <v>355</v>
      </c>
    </row>
    <row r="156" spans="2:2">
      <c r="B156" t="s">
        <v>366</v>
      </c>
    </row>
    <row r="157" spans="2:2">
      <c r="B157" t="s">
        <v>373</v>
      </c>
    </row>
    <row r="158" spans="2:2">
      <c r="B158" t="s">
        <v>367</v>
      </c>
    </row>
    <row r="159" spans="2:2">
      <c r="B159" t="s">
        <v>368</v>
      </c>
    </row>
    <row r="160" spans="2:2">
      <c r="B160" t="s">
        <v>360</v>
      </c>
    </row>
    <row r="161" spans="2:2">
      <c r="B161" t="s">
        <v>361</v>
      </c>
    </row>
    <row r="162" spans="2:2">
      <c r="B162" t="s">
        <v>351</v>
      </c>
    </row>
    <row r="163" spans="2:2">
      <c r="B163" t="s">
        <v>352</v>
      </c>
    </row>
    <row r="164" spans="2:2">
      <c r="B164" t="s">
        <v>384</v>
      </c>
    </row>
    <row r="165" spans="2:2">
      <c r="B165" t="s">
        <v>354</v>
      </c>
    </row>
    <row r="166" spans="2:2">
      <c r="B166" t="s">
        <v>365</v>
      </c>
    </row>
    <row r="167" spans="2:2">
      <c r="B167" t="s">
        <v>356</v>
      </c>
    </row>
    <row r="168" spans="2:2">
      <c r="B168" t="s">
        <v>377</v>
      </c>
    </row>
    <row r="169" spans="2:2">
      <c r="B169" t="s">
        <v>358</v>
      </c>
    </row>
    <row r="170" spans="2:2">
      <c r="B170" t="s">
        <v>359</v>
      </c>
    </row>
    <row r="171" spans="2:2">
      <c r="B171" t="s">
        <v>360</v>
      </c>
    </row>
    <row r="172" spans="2:2">
      <c r="B172" t="s">
        <v>361</v>
      </c>
    </row>
    <row r="173" spans="2:2">
      <c r="B173" t="s">
        <v>369</v>
      </c>
    </row>
    <row r="174" spans="2:2">
      <c r="B174" t="s">
        <v>385</v>
      </c>
    </row>
    <row r="175" spans="2:2">
      <c r="B175" t="s">
        <v>362</v>
      </c>
    </row>
    <row r="176" spans="2:2">
      <c r="B176" t="s">
        <v>352</v>
      </c>
    </row>
    <row r="177" spans="2:2">
      <c r="B177" t="s">
        <v>386</v>
      </c>
    </row>
    <row r="178" spans="2:2">
      <c r="B178" t="s">
        <v>364</v>
      </c>
    </row>
    <row r="179" spans="2:2">
      <c r="B179" t="s">
        <v>387</v>
      </c>
    </row>
    <row r="180" spans="2:2">
      <c r="B180" t="s">
        <v>366</v>
      </c>
    </row>
    <row r="181" spans="2:2">
      <c r="B181" t="s">
        <v>357</v>
      </c>
    </row>
    <row r="182" spans="2:2">
      <c r="B182" t="s">
        <v>367</v>
      </c>
    </row>
    <row r="183" spans="2:2">
      <c r="B183" t="s">
        <v>368</v>
      </c>
    </row>
    <row r="184" spans="2:2">
      <c r="B184" t="s">
        <v>360</v>
      </c>
    </row>
    <row r="185" spans="2:2">
      <c r="B185" t="s">
        <v>361</v>
      </c>
    </row>
    <row r="186" spans="2:2">
      <c r="B186" t="s">
        <v>351</v>
      </c>
    </row>
    <row r="187" spans="2:2">
      <c r="B187" t="s">
        <v>352</v>
      </c>
    </row>
    <row r="188" spans="2:2">
      <c r="B188" t="s">
        <v>388</v>
      </c>
    </row>
    <row r="189" spans="2:2">
      <c r="B189" t="s">
        <v>354</v>
      </c>
    </row>
    <row r="190" spans="2:2">
      <c r="B190" t="s">
        <v>389</v>
      </c>
    </row>
    <row r="191" spans="2:2">
      <c r="B191" t="s">
        <v>356</v>
      </c>
    </row>
    <row r="192" spans="2:2">
      <c r="B192" t="s">
        <v>357</v>
      </c>
    </row>
    <row r="193" spans="2:2">
      <c r="B193" t="s">
        <v>358</v>
      </c>
    </row>
    <row r="194" spans="2:2">
      <c r="B194" t="s">
        <v>359</v>
      </c>
    </row>
    <row r="195" spans="2:2">
      <c r="B195" t="s">
        <v>360</v>
      </c>
    </row>
    <row r="196" spans="2:2">
      <c r="B196" t="s">
        <v>361</v>
      </c>
    </row>
    <row r="197" spans="2:2">
      <c r="B197" t="s">
        <v>369</v>
      </c>
    </row>
    <row r="198" spans="2:2">
      <c r="B198" t="s">
        <v>390</v>
      </c>
    </row>
    <row r="199" spans="2:2">
      <c r="B199" t="s">
        <v>362</v>
      </c>
    </row>
    <row r="200" spans="2:2">
      <c r="B200" t="s">
        <v>352</v>
      </c>
    </row>
    <row r="201" spans="2:2">
      <c r="B201" t="s">
        <v>380</v>
      </c>
    </row>
    <row r="202" spans="2:2">
      <c r="B202" t="s">
        <v>364</v>
      </c>
    </row>
    <row r="203" spans="2:2">
      <c r="B203" t="s">
        <v>389</v>
      </c>
    </row>
    <row r="204" spans="2:2">
      <c r="B204" t="s">
        <v>366</v>
      </c>
    </row>
    <row r="205" spans="2:2">
      <c r="B205" t="s">
        <v>373</v>
      </c>
    </row>
    <row r="206" spans="2:2">
      <c r="B206" t="s">
        <v>367</v>
      </c>
    </row>
    <row r="207" spans="2:2">
      <c r="B207" t="s">
        <v>368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351</v>
      </c>
    </row>
    <row r="211" spans="2:2">
      <c r="B211" t="s">
        <v>352</v>
      </c>
    </row>
    <row r="212" spans="2:2">
      <c r="B212" t="s">
        <v>381</v>
      </c>
    </row>
    <row r="213" spans="2:2">
      <c r="B213" t="s">
        <v>354</v>
      </c>
    </row>
    <row r="214" spans="2:2">
      <c r="B214" t="s">
        <v>387</v>
      </c>
    </row>
    <row r="215" spans="2:2">
      <c r="B215" t="s">
        <v>356</v>
      </c>
    </row>
    <row r="216" spans="2:2">
      <c r="B216" t="s">
        <v>377</v>
      </c>
    </row>
    <row r="217" spans="2:2">
      <c r="B217" t="s">
        <v>358</v>
      </c>
    </row>
    <row r="218" spans="2:2">
      <c r="B218" t="s">
        <v>359</v>
      </c>
    </row>
    <row r="219" spans="2:2">
      <c r="B219" t="s">
        <v>360</v>
      </c>
    </row>
    <row r="220" spans="2:2">
      <c r="B220" t="s">
        <v>361</v>
      </c>
    </row>
    <row r="221" spans="2:2">
      <c r="B221" t="s">
        <v>369</v>
      </c>
    </row>
    <row r="222" spans="2:2">
      <c r="B222" t="s">
        <v>391</v>
      </c>
    </row>
    <row r="223" spans="2:2">
      <c r="B223" t="s">
        <v>362</v>
      </c>
    </row>
    <row r="224" spans="2:2">
      <c r="B224" t="s">
        <v>352</v>
      </c>
    </row>
    <row r="225" spans="2:2">
      <c r="B225" t="s">
        <v>383</v>
      </c>
    </row>
    <row r="226" spans="2:2">
      <c r="B226" t="s">
        <v>392</v>
      </c>
    </row>
    <row r="227" spans="2:2">
      <c r="B227" t="s">
        <v>365</v>
      </c>
    </row>
    <row r="228" spans="2:2">
      <c r="B228" t="s">
        <v>393</v>
      </c>
    </row>
    <row r="229" spans="2:2">
      <c r="B229" t="s">
        <v>394</v>
      </c>
    </row>
    <row r="230" spans="2:2">
      <c r="B230" t="s">
        <v>374</v>
      </c>
    </row>
    <row r="231" spans="2:2">
      <c r="B231" t="s">
        <v>395</v>
      </c>
    </row>
    <row r="232" spans="2:2">
      <c r="B232" t="s">
        <v>360</v>
      </c>
    </row>
    <row r="233" spans="2:2">
      <c r="B233" t="s">
        <v>361</v>
      </c>
    </row>
    <row r="234" spans="2:2">
      <c r="B234" t="s">
        <v>351</v>
      </c>
    </row>
    <row r="235" spans="2:2">
      <c r="B235" t="s">
        <v>352</v>
      </c>
    </row>
    <row r="236" spans="2:2">
      <c r="B236" t="s">
        <v>384</v>
      </c>
    </row>
    <row r="237" spans="2:2">
      <c r="B237" t="s">
        <v>396</v>
      </c>
    </row>
    <row r="238" spans="2:2">
      <c r="B238" t="s">
        <v>355</v>
      </c>
    </row>
    <row r="239" spans="2:2">
      <c r="B239" t="s">
        <v>397</v>
      </c>
    </row>
    <row r="240" spans="2:2">
      <c r="B240" t="s">
        <v>398</v>
      </c>
    </row>
    <row r="241" spans="2:2">
      <c r="B241" t="s">
        <v>378</v>
      </c>
    </row>
    <row r="242" spans="2:2">
      <c r="B242" t="s">
        <v>399</v>
      </c>
    </row>
    <row r="243" spans="2:2">
      <c r="B243" t="s">
        <v>360</v>
      </c>
    </row>
    <row r="244" spans="2:2">
      <c r="B244" t="s">
        <v>361</v>
      </c>
    </row>
    <row r="245" spans="2:2">
      <c r="B245" t="s">
        <v>369</v>
      </c>
    </row>
    <row r="246" spans="2:2">
      <c r="B246" t="s">
        <v>400</v>
      </c>
    </row>
    <row r="247" spans="2:2">
      <c r="B247" t="s">
        <v>362</v>
      </c>
    </row>
    <row r="248" spans="2:2">
      <c r="B248" t="s">
        <v>352</v>
      </c>
    </row>
    <row r="249" spans="2:2">
      <c r="B249" t="s">
        <v>386</v>
      </c>
    </row>
    <row r="250" spans="2:2">
      <c r="B250" t="s">
        <v>354</v>
      </c>
    </row>
    <row r="251" spans="2:2">
      <c r="B251" t="s">
        <v>355</v>
      </c>
    </row>
    <row r="252" spans="2:2">
      <c r="B252" t="s">
        <v>356</v>
      </c>
    </row>
    <row r="253" spans="2:2">
      <c r="B253" t="s">
        <v>377</v>
      </c>
    </row>
    <row r="254" spans="2:2">
      <c r="B254" t="s">
        <v>401</v>
      </c>
    </row>
    <row r="255" spans="2:2">
      <c r="B255" t="s">
        <v>359</v>
      </c>
    </row>
    <row r="256" spans="2:2">
      <c r="B256" t="s">
        <v>360</v>
      </c>
    </row>
    <row r="257" spans="2:2">
      <c r="B257" t="s">
        <v>361</v>
      </c>
    </row>
    <row r="258" spans="2:2">
      <c r="B258" t="s">
        <v>351</v>
      </c>
    </row>
    <row r="259" spans="2:2">
      <c r="B259" t="s">
        <v>352</v>
      </c>
    </row>
    <row r="260" spans="2:2">
      <c r="B260" t="s">
        <v>388</v>
      </c>
    </row>
    <row r="261" spans="2:2">
      <c r="B261" t="s">
        <v>364</v>
      </c>
    </row>
    <row r="262" spans="2:2">
      <c r="B262" t="s">
        <v>365</v>
      </c>
    </row>
    <row r="263" spans="2:2">
      <c r="B263" t="s">
        <v>366</v>
      </c>
    </row>
    <row r="264" spans="2:2">
      <c r="B264" t="s">
        <v>373</v>
      </c>
    </row>
    <row r="265" spans="2:2">
      <c r="B265" t="s">
        <v>402</v>
      </c>
    </row>
    <row r="266" spans="2:2">
      <c r="B266" t="s">
        <v>368</v>
      </c>
    </row>
    <row r="267" spans="2:2">
      <c r="B267" t="s">
        <v>360</v>
      </c>
    </row>
    <row r="268" spans="2:2">
      <c r="B268" t="s">
        <v>361</v>
      </c>
    </row>
    <row r="269" spans="2:2">
      <c r="B269" t="s">
        <v>369</v>
      </c>
    </row>
    <row r="270" spans="2:2">
      <c r="B270" t="s">
        <v>403</v>
      </c>
    </row>
    <row r="271" spans="2:2">
      <c r="B271" t="s">
        <v>351</v>
      </c>
    </row>
    <row r="272" spans="2:2">
      <c r="B272" t="s">
        <v>352</v>
      </c>
    </row>
    <row r="273" spans="2:2">
      <c r="B273" t="s">
        <v>404</v>
      </c>
    </row>
    <row r="274" spans="2:2">
      <c r="B274" t="s">
        <v>392</v>
      </c>
    </row>
    <row r="275" spans="2:2">
      <c r="B275" t="s">
        <v>376</v>
      </c>
    </row>
    <row r="276" spans="2:2">
      <c r="B276" t="s">
        <v>393</v>
      </c>
    </row>
    <row r="277" spans="2:2">
      <c r="B277" t="s">
        <v>377</v>
      </c>
    </row>
    <row r="278" spans="2:2">
      <c r="B278" t="s">
        <v>402</v>
      </c>
    </row>
    <row r="279" spans="2:2">
      <c r="B279" t="s">
        <v>395</v>
      </c>
    </row>
    <row r="280" spans="2:2">
      <c r="B280" t="s">
        <v>360</v>
      </c>
    </row>
    <row r="281" spans="2:2">
      <c r="B281" t="s">
        <v>361</v>
      </c>
    </row>
    <row r="282" spans="2:2">
      <c r="B282" t="s">
        <v>362</v>
      </c>
    </row>
    <row r="283" spans="2:2">
      <c r="B283" t="s">
        <v>352</v>
      </c>
    </row>
    <row r="284" spans="2:2">
      <c r="B284" t="s">
        <v>405</v>
      </c>
    </row>
    <row r="285" spans="2:2">
      <c r="B285" t="s">
        <v>396</v>
      </c>
    </row>
    <row r="286" spans="2:2">
      <c r="B286" t="s">
        <v>372</v>
      </c>
    </row>
    <row r="287" spans="2:2">
      <c r="B287" t="s">
        <v>397</v>
      </c>
    </row>
    <row r="288" spans="2:2">
      <c r="B288" t="s">
        <v>373</v>
      </c>
    </row>
    <row r="289" spans="2:2">
      <c r="B289" t="s">
        <v>401</v>
      </c>
    </row>
    <row r="290" spans="2:2">
      <c r="B290" t="s">
        <v>399</v>
      </c>
    </row>
    <row r="291" spans="2:2">
      <c r="B291" t="s">
        <v>360</v>
      </c>
    </row>
    <row r="292" spans="2:2">
      <c r="B292" t="s">
        <v>361</v>
      </c>
    </row>
    <row r="293" spans="2:2">
      <c r="B293" t="s">
        <v>369</v>
      </c>
    </row>
    <row r="294" spans="2:2">
      <c r="B294" t="s">
        <v>406</v>
      </c>
    </row>
    <row r="295" spans="2:2">
      <c r="B295" t="s">
        <v>351</v>
      </c>
    </row>
    <row r="296" spans="2:2">
      <c r="B296" t="s">
        <v>352</v>
      </c>
    </row>
    <row r="297" spans="2:2">
      <c r="B297" t="s">
        <v>407</v>
      </c>
    </row>
    <row r="298" spans="2:2">
      <c r="B298" t="s">
        <v>408</v>
      </c>
    </row>
    <row r="299" spans="2:2">
      <c r="B299" t="s">
        <v>376</v>
      </c>
    </row>
    <row r="300" spans="2:2">
      <c r="B300" t="s">
        <v>356</v>
      </c>
    </row>
    <row r="301" spans="2:2">
      <c r="B301" t="s">
        <v>377</v>
      </c>
    </row>
    <row r="302" spans="2:2">
      <c r="B302" t="s">
        <v>358</v>
      </c>
    </row>
    <row r="303" spans="2:2">
      <c r="B303" t="s">
        <v>399</v>
      </c>
    </row>
    <row r="304" spans="2:2">
      <c r="B304" t="s">
        <v>360</v>
      </c>
    </row>
    <row r="305" spans="2:2">
      <c r="B305" t="s">
        <v>361</v>
      </c>
    </row>
    <row r="306" spans="2:2">
      <c r="B306" t="s">
        <v>362</v>
      </c>
    </row>
    <row r="307" spans="2:2">
      <c r="B307" t="s">
        <v>352</v>
      </c>
    </row>
    <row r="308" spans="2:2">
      <c r="B308" t="s">
        <v>409</v>
      </c>
    </row>
    <row r="309" spans="2:2">
      <c r="B309" t="s">
        <v>410</v>
      </c>
    </row>
    <row r="310" spans="2:2">
      <c r="B310" t="s">
        <v>372</v>
      </c>
    </row>
    <row r="311" spans="2:2">
      <c r="B311" t="s">
        <v>366</v>
      </c>
    </row>
    <row r="312" spans="2:2">
      <c r="B312" t="s">
        <v>373</v>
      </c>
    </row>
    <row r="313" spans="2:2">
      <c r="B313" t="s">
        <v>367</v>
      </c>
    </row>
    <row r="314" spans="2:2">
      <c r="B314" t="s">
        <v>395</v>
      </c>
    </row>
    <row r="315" spans="2:2">
      <c r="B315" t="s">
        <v>360</v>
      </c>
    </row>
    <row r="316" spans="2:2">
      <c r="B316" t="s">
        <v>361</v>
      </c>
    </row>
    <row r="317" spans="2:2">
      <c r="B317" t="s">
        <v>369</v>
      </c>
    </row>
    <row r="318" spans="2:2">
      <c r="B318" t="s">
        <v>411</v>
      </c>
    </row>
    <row r="319" spans="2:2">
      <c r="B319" t="s">
        <v>351</v>
      </c>
    </row>
    <row r="320" spans="2:2">
      <c r="B320" t="s">
        <v>352</v>
      </c>
    </row>
    <row r="321" spans="2:2">
      <c r="B321" t="s">
        <v>383</v>
      </c>
    </row>
    <row r="322" spans="2:2">
      <c r="B322" t="s">
        <v>354</v>
      </c>
    </row>
    <row r="323" spans="2:2">
      <c r="B323" t="s">
        <v>355</v>
      </c>
    </row>
    <row r="324" spans="2:2">
      <c r="B324" t="s">
        <v>356</v>
      </c>
    </row>
    <row r="325" spans="2:2">
      <c r="B325" t="s">
        <v>377</v>
      </c>
    </row>
    <row r="326" spans="2:2">
      <c r="B326" t="s">
        <v>358</v>
      </c>
    </row>
    <row r="327" spans="2:2">
      <c r="B327" t="s">
        <v>359</v>
      </c>
    </row>
    <row r="328" spans="2:2">
      <c r="B328" t="s">
        <v>360</v>
      </c>
    </row>
    <row r="329" spans="2:2">
      <c r="B329" t="s">
        <v>361</v>
      </c>
    </row>
    <row r="330" spans="2:2">
      <c r="B330" t="s">
        <v>362</v>
      </c>
    </row>
    <row r="331" spans="2:2">
      <c r="B331" t="s">
        <v>352</v>
      </c>
    </row>
    <row r="332" spans="2:2">
      <c r="B332" t="s">
        <v>384</v>
      </c>
    </row>
    <row r="333" spans="2:2">
      <c r="B333" t="s">
        <v>364</v>
      </c>
    </row>
    <row r="334" spans="2:2">
      <c r="B334" t="s">
        <v>365</v>
      </c>
    </row>
    <row r="335" spans="2:2">
      <c r="B335" t="s">
        <v>366</v>
      </c>
    </row>
    <row r="336" spans="2:2">
      <c r="B336" t="s">
        <v>373</v>
      </c>
    </row>
    <row r="337" spans="2:2">
      <c r="B337" t="s">
        <v>367</v>
      </c>
    </row>
    <row r="338" spans="2:2">
      <c r="B338" t="s">
        <v>368</v>
      </c>
    </row>
    <row r="339" spans="2:2">
      <c r="B339" t="s">
        <v>360</v>
      </c>
    </row>
    <row r="340" spans="2:2">
      <c r="B340" t="s">
        <v>361</v>
      </c>
    </row>
    <row r="341" spans="2:2">
      <c r="B341" t="s">
        <v>369</v>
      </c>
    </row>
    <row r="342" spans="2:2">
      <c r="B342" t="s">
        <v>412</v>
      </c>
    </row>
    <row r="343" spans="2:2">
      <c r="B343" t="s">
        <v>351</v>
      </c>
    </row>
    <row r="344" spans="2:2">
      <c r="B344" t="s">
        <v>352</v>
      </c>
    </row>
    <row r="345" spans="2:2">
      <c r="B345" t="s">
        <v>386</v>
      </c>
    </row>
    <row r="346" spans="2:2">
      <c r="B346" t="s">
        <v>364</v>
      </c>
    </row>
    <row r="347" spans="2:2">
      <c r="B347" t="s">
        <v>355</v>
      </c>
    </row>
    <row r="348" spans="2:2">
      <c r="B348" t="s">
        <v>366</v>
      </c>
    </row>
    <row r="349" spans="2:2">
      <c r="B349" t="s">
        <v>377</v>
      </c>
    </row>
    <row r="350" spans="2:2">
      <c r="B350" t="s">
        <v>358</v>
      </c>
    </row>
    <row r="351" spans="2:2">
      <c r="B351" t="s">
        <v>395</v>
      </c>
    </row>
    <row r="352" spans="2:2">
      <c r="B352" t="s">
        <v>360</v>
      </c>
    </row>
    <row r="353" spans="2:2">
      <c r="B353" t="s">
        <v>361</v>
      </c>
    </row>
    <row r="354" spans="2:2">
      <c r="B354" t="s">
        <v>362</v>
      </c>
    </row>
    <row r="355" spans="2:2">
      <c r="B355" t="s">
        <v>352</v>
      </c>
    </row>
    <row r="356" spans="2:2">
      <c r="B356" t="s">
        <v>388</v>
      </c>
    </row>
    <row r="357" spans="2:2">
      <c r="B357" t="s">
        <v>354</v>
      </c>
    </row>
    <row r="358" spans="2:2">
      <c r="B358" t="s">
        <v>365</v>
      </c>
    </row>
    <row r="359" spans="2:2">
      <c r="B359" t="s">
        <v>356</v>
      </c>
    </row>
    <row r="360" spans="2:2">
      <c r="B360" t="s">
        <v>373</v>
      </c>
    </row>
    <row r="361" spans="2:2">
      <c r="B361" t="s">
        <v>367</v>
      </c>
    </row>
    <row r="362" spans="2:2">
      <c r="B362" t="s">
        <v>399</v>
      </c>
    </row>
    <row r="363" spans="2:2">
      <c r="B363" t="s">
        <v>360</v>
      </c>
    </row>
    <row r="364" spans="2:2">
      <c r="B364" t="s">
        <v>361</v>
      </c>
    </row>
    <row r="365" spans="2:2">
      <c r="B365" t="s">
        <v>369</v>
      </c>
    </row>
    <row r="366" spans="2:2">
      <c r="B366" t="s">
        <v>413</v>
      </c>
    </row>
    <row r="367" spans="2:2">
      <c r="B367" t="s">
        <v>414</v>
      </c>
    </row>
    <row r="368" spans="2:2">
      <c r="B368" t="s">
        <v>352</v>
      </c>
    </row>
    <row r="369" spans="2:2">
      <c r="B369" t="s">
        <v>415</v>
      </c>
    </row>
    <row r="370" spans="2:2">
      <c r="B370" t="s">
        <v>354</v>
      </c>
    </row>
    <row r="371" spans="2:2">
      <c r="B371" t="s">
        <v>355</v>
      </c>
    </row>
    <row r="372" spans="2:2">
      <c r="B372" t="s">
        <v>366</v>
      </c>
    </row>
    <row r="373" spans="2:2">
      <c r="B373" t="s">
        <v>377</v>
      </c>
    </row>
    <row r="374" spans="2:2">
      <c r="B374" t="s">
        <v>358</v>
      </c>
    </row>
    <row r="375" spans="2:2">
      <c r="B375" t="s">
        <v>416</v>
      </c>
    </row>
    <row r="376" spans="2:2">
      <c r="B376" t="s">
        <v>360</v>
      </c>
    </row>
    <row r="377" spans="2:2">
      <c r="B377" t="s">
        <v>361</v>
      </c>
    </row>
    <row r="378" spans="2:2">
      <c r="B378" t="s">
        <v>417</v>
      </c>
    </row>
    <row r="379" spans="2:2">
      <c r="B379" t="s">
        <v>352</v>
      </c>
    </row>
    <row r="380" spans="2:2">
      <c r="B380" t="s">
        <v>384</v>
      </c>
    </row>
    <row r="381" spans="2:2">
      <c r="B381" t="s">
        <v>354</v>
      </c>
    </row>
    <row r="382" spans="2:2">
      <c r="B382" t="s">
        <v>355</v>
      </c>
    </row>
    <row r="383" spans="2:2">
      <c r="B383" t="s">
        <v>356</v>
      </c>
    </row>
    <row r="384" spans="2:2">
      <c r="B384" t="s">
        <v>377</v>
      </c>
    </row>
    <row r="385" spans="2:2">
      <c r="B385" t="s">
        <v>401</v>
      </c>
    </row>
    <row r="386" spans="2:2">
      <c r="B386" t="s">
        <v>359</v>
      </c>
    </row>
    <row r="387" spans="2:2">
      <c r="B387" t="s">
        <v>360</v>
      </c>
    </row>
    <row r="388" spans="2:2">
      <c r="B388" t="s">
        <v>361</v>
      </c>
    </row>
    <row r="389" spans="2:2">
      <c r="B389" t="s">
        <v>362</v>
      </c>
    </row>
    <row r="390" spans="2:2">
      <c r="B390" t="s">
        <v>352</v>
      </c>
    </row>
    <row r="391" spans="2:2">
      <c r="B391" t="s">
        <v>363</v>
      </c>
    </row>
    <row r="392" spans="2:2">
      <c r="B392" t="s">
        <v>364</v>
      </c>
    </row>
    <row r="393" spans="2:2">
      <c r="B393" t="s">
        <v>355</v>
      </c>
    </row>
    <row r="394" spans="2:2">
      <c r="B394" t="s">
        <v>356</v>
      </c>
    </row>
    <row r="395" spans="2:2">
      <c r="B395" t="s">
        <v>377</v>
      </c>
    </row>
    <row r="396" spans="2:2">
      <c r="B396" t="s">
        <v>374</v>
      </c>
    </row>
    <row r="397" spans="2:2">
      <c r="B397" t="s">
        <v>416</v>
      </c>
    </row>
    <row r="398" spans="2:2">
      <c r="B398" t="s">
        <v>360</v>
      </c>
    </row>
    <row r="399" spans="2:2">
      <c r="B399" t="s">
        <v>361</v>
      </c>
    </row>
    <row r="400" spans="2:2">
      <c r="B400" t="s">
        <v>418</v>
      </c>
    </row>
    <row r="401" spans="2:2">
      <c r="B401" t="s">
        <v>352</v>
      </c>
    </row>
    <row r="402" spans="2:2">
      <c r="B402" t="s">
        <v>409</v>
      </c>
    </row>
    <row r="403" spans="2:2">
      <c r="B403" t="s">
        <v>354</v>
      </c>
    </row>
    <row r="404" spans="2:2">
      <c r="B404" t="s">
        <v>365</v>
      </c>
    </row>
    <row r="405" spans="2:2">
      <c r="B405" t="s">
        <v>356</v>
      </c>
    </row>
    <row r="406" spans="2:2">
      <c r="B406" t="s">
        <v>377</v>
      </c>
    </row>
    <row r="407" spans="2:2">
      <c r="B407" t="s">
        <v>358</v>
      </c>
    </row>
    <row r="408" spans="2:2">
      <c r="B408" t="s">
        <v>359</v>
      </c>
    </row>
    <row r="409" spans="2:2">
      <c r="B409" t="s">
        <v>360</v>
      </c>
    </row>
    <row r="410" spans="2:2">
      <c r="B410" t="s">
        <v>361</v>
      </c>
    </row>
    <row r="411" spans="2:2">
      <c r="B411" t="s">
        <v>419</v>
      </c>
    </row>
    <row r="412" spans="2:2">
      <c r="B412" t="s">
        <v>352</v>
      </c>
    </row>
    <row r="413" spans="2:2">
      <c r="B413" t="s">
        <v>384</v>
      </c>
    </row>
    <row r="414" spans="2:2">
      <c r="B414" t="s">
        <v>354</v>
      </c>
    </row>
    <row r="415" spans="2:2">
      <c r="B415" t="s">
        <v>355</v>
      </c>
    </row>
    <row r="416" spans="2:2">
      <c r="B416" t="s">
        <v>356</v>
      </c>
    </row>
    <row r="417" spans="2:2">
      <c r="B417" t="s">
        <v>373</v>
      </c>
    </row>
    <row r="418" spans="2:2">
      <c r="B418" t="s">
        <v>401</v>
      </c>
    </row>
    <row r="419" spans="2:2">
      <c r="B419" t="s">
        <v>359</v>
      </c>
    </row>
    <row r="420" spans="2:2">
      <c r="B420" t="s">
        <v>360</v>
      </c>
    </row>
    <row r="421" spans="2:2">
      <c r="B421" t="s">
        <v>361</v>
      </c>
    </row>
    <row r="422" spans="2:2">
      <c r="B422" t="s">
        <v>369</v>
      </c>
    </row>
    <row r="423" spans="2:2">
      <c r="B423" t="s">
        <v>420</v>
      </c>
    </row>
    <row r="424" spans="2:2">
      <c r="B424" t="s">
        <v>351</v>
      </c>
    </row>
    <row r="425" spans="2:2">
      <c r="B425" t="s">
        <v>352</v>
      </c>
    </row>
    <row r="426" spans="2:2">
      <c r="B426" t="s">
        <v>383</v>
      </c>
    </row>
    <row r="427" spans="2:2">
      <c r="B427" t="s">
        <v>364</v>
      </c>
    </row>
    <row r="428" spans="2:2">
      <c r="B428" t="s">
        <v>365</v>
      </c>
    </row>
    <row r="429" spans="2:2">
      <c r="B429" t="s">
        <v>366</v>
      </c>
    </row>
    <row r="430" spans="2:2">
      <c r="B430" t="s">
        <v>377</v>
      </c>
    </row>
    <row r="431" spans="2:2">
      <c r="B431" t="s">
        <v>358</v>
      </c>
    </row>
    <row r="432" spans="2:2">
      <c r="B432" t="s">
        <v>368</v>
      </c>
    </row>
    <row r="433" spans="2:2">
      <c r="B433" t="s">
        <v>360</v>
      </c>
    </row>
    <row r="434" spans="2:2">
      <c r="B434" t="s">
        <v>361</v>
      </c>
    </row>
    <row r="435" spans="2:2">
      <c r="B435" t="s">
        <v>362</v>
      </c>
    </row>
    <row r="436" spans="2:2">
      <c r="B436" t="s">
        <v>352</v>
      </c>
    </row>
    <row r="437" spans="2:2">
      <c r="B437" t="s">
        <v>384</v>
      </c>
    </row>
    <row r="438" spans="2:2">
      <c r="B438" t="s">
        <v>354</v>
      </c>
    </row>
    <row r="439" spans="2:2">
      <c r="B439" t="s">
        <v>355</v>
      </c>
    </row>
    <row r="440" spans="2:2">
      <c r="B440" t="s">
        <v>356</v>
      </c>
    </row>
    <row r="441" spans="2:2">
      <c r="B441" t="s">
        <v>373</v>
      </c>
    </row>
    <row r="442" spans="2:2">
      <c r="B442" t="s">
        <v>367</v>
      </c>
    </row>
    <row r="443" spans="2:2">
      <c r="B443" t="s">
        <v>359</v>
      </c>
    </row>
    <row r="444" spans="2:2">
      <c r="B444" t="s">
        <v>360</v>
      </c>
    </row>
    <row r="445" spans="2:2">
      <c r="B445" t="s">
        <v>361</v>
      </c>
    </row>
    <row r="446" spans="2:2">
      <c r="B446" t="s">
        <v>369</v>
      </c>
    </row>
    <row r="447" spans="2:2">
      <c r="B447" t="s">
        <v>421</v>
      </c>
    </row>
    <row r="448" spans="2:2">
      <c r="B448" t="s">
        <v>351</v>
      </c>
    </row>
    <row r="449" spans="2:2">
      <c r="B449" t="s">
        <v>352</v>
      </c>
    </row>
    <row r="450" spans="2:2">
      <c r="B450" t="s">
        <v>383</v>
      </c>
    </row>
    <row r="451" spans="2:2">
      <c r="B451" t="s">
        <v>354</v>
      </c>
    </row>
    <row r="452" spans="2:2">
      <c r="B452" t="s">
        <v>365</v>
      </c>
    </row>
    <row r="453" spans="2:2">
      <c r="B453" t="s">
        <v>366</v>
      </c>
    </row>
    <row r="454" spans="2:2">
      <c r="B454" t="s">
        <v>373</v>
      </c>
    </row>
    <row r="455" spans="2:2">
      <c r="B455" t="s">
        <v>378</v>
      </c>
    </row>
    <row r="456" spans="2:2">
      <c r="B456" t="s">
        <v>368</v>
      </c>
    </row>
    <row r="457" spans="2:2">
      <c r="B457" t="s">
        <v>360</v>
      </c>
    </row>
    <row r="458" spans="2:2">
      <c r="B458" t="s">
        <v>361</v>
      </c>
    </row>
    <row r="459" spans="2:2">
      <c r="B459" t="s">
        <v>362</v>
      </c>
    </row>
    <row r="460" spans="2:2">
      <c r="B460" t="s">
        <v>352</v>
      </c>
    </row>
    <row r="461" spans="2:2">
      <c r="B461" t="s">
        <v>384</v>
      </c>
    </row>
    <row r="462" spans="2:2">
      <c r="B462" t="s">
        <v>364</v>
      </c>
    </row>
    <row r="463" spans="2:2">
      <c r="B463" t="s">
        <v>355</v>
      </c>
    </row>
    <row r="464" spans="2:2">
      <c r="B464" t="s">
        <v>356</v>
      </c>
    </row>
    <row r="465" spans="2:2">
      <c r="B465" t="s">
        <v>377</v>
      </c>
    </row>
    <row r="466" spans="2:2">
      <c r="B466" t="s">
        <v>374</v>
      </c>
    </row>
    <row r="467" spans="2:2">
      <c r="B467" t="s">
        <v>359</v>
      </c>
    </row>
    <row r="468" spans="2:2">
      <c r="B468" t="s">
        <v>360</v>
      </c>
    </row>
    <row r="469" spans="2:2">
      <c r="B469" t="s">
        <v>361</v>
      </c>
    </row>
    <row r="470" spans="2:2">
      <c r="B470" t="s">
        <v>369</v>
      </c>
    </row>
    <row r="471" spans="2:2">
      <c r="B471" t="s">
        <v>422</v>
      </c>
    </row>
    <row r="472" spans="2:2">
      <c r="B472" t="s">
        <v>362</v>
      </c>
    </row>
    <row r="473" spans="2:2">
      <c r="B473" t="s">
        <v>352</v>
      </c>
    </row>
    <row r="474" spans="2:2">
      <c r="B474" t="s">
        <v>363</v>
      </c>
    </row>
    <row r="475" spans="2:2">
      <c r="B475" t="s">
        <v>354</v>
      </c>
    </row>
    <row r="476" spans="2:2">
      <c r="B476" t="s">
        <v>355</v>
      </c>
    </row>
    <row r="477" spans="2:2">
      <c r="B477" t="s">
        <v>393</v>
      </c>
    </row>
    <row r="478" spans="2:2">
      <c r="B478" t="s">
        <v>373</v>
      </c>
    </row>
    <row r="479" spans="2:2">
      <c r="B479" t="s">
        <v>402</v>
      </c>
    </row>
    <row r="480" spans="2:2">
      <c r="B480" t="s">
        <v>359</v>
      </c>
    </row>
    <row r="481" spans="2:2">
      <c r="B481" t="s">
        <v>360</v>
      </c>
    </row>
    <row r="482" spans="2:2">
      <c r="B482" t="s">
        <v>361</v>
      </c>
    </row>
    <row r="483" spans="2:2">
      <c r="B483" t="s">
        <v>351</v>
      </c>
    </row>
    <row r="484" spans="2:2">
      <c r="B484" t="s">
        <v>352</v>
      </c>
    </row>
    <row r="485" spans="2:2">
      <c r="B485" t="s">
        <v>353</v>
      </c>
    </row>
    <row r="486" spans="2:2">
      <c r="B486" t="s">
        <v>364</v>
      </c>
    </row>
    <row r="487" spans="2:2">
      <c r="B487" t="s">
        <v>365</v>
      </c>
    </row>
    <row r="488" spans="2:2">
      <c r="B488" t="s">
        <v>397</v>
      </c>
    </row>
    <row r="489" spans="2:2">
      <c r="B489" t="s">
        <v>377</v>
      </c>
    </row>
    <row r="490" spans="2:2">
      <c r="B490" t="s">
        <v>401</v>
      </c>
    </row>
    <row r="491" spans="2:2">
      <c r="B491" t="s">
        <v>368</v>
      </c>
    </row>
    <row r="492" spans="2:2">
      <c r="B492" t="s">
        <v>360</v>
      </c>
    </row>
    <row r="493" spans="2:2">
      <c r="B493" t="s">
        <v>361</v>
      </c>
    </row>
    <row r="494" spans="2:2">
      <c r="B494" t="s">
        <v>369</v>
      </c>
    </row>
    <row r="495" spans="2:2">
      <c r="B495" t="s">
        <v>423</v>
      </c>
    </row>
    <row r="496" spans="2:2">
      <c r="B496" t="s">
        <v>424</v>
      </c>
    </row>
    <row r="497" spans="2:2">
      <c r="B497" t="s">
        <v>352</v>
      </c>
    </row>
    <row r="498" spans="2:2">
      <c r="B498" t="s">
        <v>383</v>
      </c>
    </row>
    <row r="499" spans="2:2">
      <c r="B499" t="s">
        <v>364</v>
      </c>
    </row>
    <row r="500" spans="2:2">
      <c r="B500" t="s">
        <v>365</v>
      </c>
    </row>
    <row r="501" spans="2:2">
      <c r="B501" t="s">
        <v>366</v>
      </c>
    </row>
    <row r="502" spans="2:2">
      <c r="B502" t="s">
        <v>373</v>
      </c>
    </row>
    <row r="503" spans="2:2">
      <c r="B503" t="s">
        <v>367</v>
      </c>
    </row>
    <row r="504" spans="2:2">
      <c r="B504" t="s">
        <v>368</v>
      </c>
    </row>
    <row r="505" spans="2:2">
      <c r="B505" t="s">
        <v>360</v>
      </c>
    </row>
    <row r="506" spans="2:2">
      <c r="B506" t="s">
        <v>425</v>
      </c>
    </row>
    <row r="507" spans="2:2">
      <c r="B507" t="s">
        <v>426</v>
      </c>
    </row>
    <row r="508" spans="2:2">
      <c r="B508" t="s">
        <v>427</v>
      </c>
    </row>
  </sheetData>
  <mergeCells count="6">
    <mergeCell ref="B4:C4"/>
    <mergeCell ref="D4:E4"/>
    <mergeCell ref="F4:G4"/>
    <mergeCell ref="H4:I4"/>
    <mergeCell ref="B3:I3"/>
    <mergeCell ref="L3:O3"/>
  </mergeCells>
  <hyperlinks>
    <hyperlink ref="B4" location="'NB_Output'!$B$10:$B$10" display="Inputs" xr:uid="{1F71BD71-6DA2-4FB4-9BBE-979BB5E5A21D}"/>
    <hyperlink ref="D4" location="'NB_Stored'!$B$10:$B$10" display="PMML Model" xr:uid="{E7D4FE8A-98E6-40D3-9278-D10C7415D3BB}"/>
    <hyperlink ref="F4" location="'NB_TrainingScore'!$B$10:$B$10" display="Training: Classification Summary" xr:uid="{FF7E74FB-1ED6-4C14-BC7E-9F0E5CD930F6}"/>
    <hyperlink ref="H4" location="'NB_ValidationScore'!$B$10:$B$10" display="Validation: Classification Summary" xr:uid="{4CD26481-FE33-4BFD-91C8-26B7AB6A5F4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"/>
  <sheetViews>
    <sheetView tabSelected="1" workbookViewId="0">
      <selection activeCell="C15" sqref="C15"/>
    </sheetView>
  </sheetViews>
  <sheetFormatPr defaultRowHeight="13.2"/>
  <cols>
    <col min="1" max="1" width="11.77734375" customWidth="1"/>
  </cols>
  <sheetData>
    <row r="1" spans="1:19">
      <c r="A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s="2" t="s">
        <v>117</v>
      </c>
    </row>
    <row r="2" spans="1:19">
      <c r="A2" s="1" t="s">
        <v>42</v>
      </c>
      <c r="B2" s="36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4</v>
      </c>
      <c r="P2">
        <v>1</v>
      </c>
      <c r="Q2">
        <v>0</v>
      </c>
      <c r="R2">
        <v>1</v>
      </c>
      <c r="S2" s="3" t="s">
        <v>116</v>
      </c>
    </row>
    <row r="3" spans="1:19">
      <c r="A3" s="1" t="s">
        <v>11</v>
      </c>
      <c r="B3" s="37">
        <v>2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2</v>
      </c>
      <c r="P3">
        <v>1</v>
      </c>
      <c r="Q3">
        <v>1</v>
      </c>
      <c r="R3">
        <v>0</v>
      </c>
      <c r="S3" s="3" t="s">
        <v>116</v>
      </c>
    </row>
    <row r="4" spans="1:19">
      <c r="A4" s="1" t="s">
        <v>82</v>
      </c>
      <c r="B4" s="36" t="e">
        <f>NA()</f>
        <v>#N/A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0</v>
      </c>
      <c r="Q4">
        <v>0</v>
      </c>
      <c r="R4">
        <v>0</v>
      </c>
      <c r="S4" s="3" t="s">
        <v>116</v>
      </c>
    </row>
    <row r="5" spans="1:19">
      <c r="A5" s="1" t="s">
        <v>56</v>
      </c>
      <c r="B5" s="37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0</v>
      </c>
      <c r="O5">
        <v>2</v>
      </c>
      <c r="P5">
        <v>1</v>
      </c>
      <c r="Q5">
        <v>0</v>
      </c>
      <c r="R5">
        <v>1</v>
      </c>
      <c r="S5" s="3" t="s">
        <v>116</v>
      </c>
    </row>
    <row r="6" spans="1:19">
      <c r="A6" s="1" t="s">
        <v>39</v>
      </c>
      <c r="B6" s="36">
        <v>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2</v>
      </c>
      <c r="P6">
        <v>1</v>
      </c>
      <c r="Q6">
        <v>0</v>
      </c>
      <c r="R6">
        <v>0</v>
      </c>
      <c r="S6" s="3" t="s">
        <v>116</v>
      </c>
    </row>
    <row r="7" spans="1:19">
      <c r="A7" s="1" t="s">
        <v>12</v>
      </c>
      <c r="B7" s="37">
        <v>4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 s="3" t="s">
        <v>116</v>
      </c>
    </row>
    <row r="8" spans="1:19">
      <c r="A8" s="1" t="s">
        <v>1</v>
      </c>
      <c r="B8" s="36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4</v>
      </c>
      <c r="P8">
        <v>1</v>
      </c>
      <c r="Q8">
        <v>0</v>
      </c>
      <c r="R8">
        <v>1</v>
      </c>
      <c r="S8" s="3" t="s">
        <v>116</v>
      </c>
    </row>
    <row r="9" spans="1:19">
      <c r="A9" s="1" t="s">
        <v>28</v>
      </c>
      <c r="B9" s="38">
        <v>6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6</v>
      </c>
      <c r="P9">
        <v>0</v>
      </c>
      <c r="Q9">
        <v>0</v>
      </c>
      <c r="R9">
        <v>0</v>
      </c>
      <c r="S9" s="3" t="s">
        <v>116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EE08-E0FC-4671-8795-19EFA6A07E49}">
  <dimension ref="B1:CV41"/>
  <sheetViews>
    <sheetView showGridLines="0" topLeftCell="A23" workbookViewId="0">
      <selection activeCell="H37" sqref="H37"/>
    </sheetView>
  </sheetViews>
  <sheetFormatPr defaultRowHeight="13.2"/>
  <cols>
    <col min="3" max="3" width="11.5546875" customWidth="1"/>
    <col min="4" max="4" width="13.6640625" customWidth="1"/>
    <col min="5" max="5" width="14.44140625" customWidth="1"/>
    <col min="6" max="6" width="18.21875" customWidth="1"/>
    <col min="7" max="7" width="15.33203125" customWidth="1"/>
    <col min="8" max="8" width="14.5546875" customWidth="1"/>
    <col min="9" max="9" width="18.44140625" customWidth="1"/>
    <col min="10" max="10" width="29.109375" bestFit="1" customWidth="1"/>
    <col min="11" max="11" width="18.6640625" customWidth="1"/>
    <col min="12" max="12" width="17.88671875" customWidth="1"/>
    <col min="13" max="13" width="19.5546875" customWidth="1"/>
    <col min="14" max="14" width="18.77734375" customWidth="1"/>
    <col min="15" max="15" width="20.109375" customWidth="1"/>
    <col min="16" max="16" width="14.21875" customWidth="1"/>
    <col min="17" max="17" width="14.6640625" customWidth="1"/>
    <col min="18" max="18" width="13.6640625" customWidth="1"/>
    <col min="19" max="19" width="19" customWidth="1"/>
    <col min="20" max="20" width="17.21875" customWidth="1"/>
    <col min="21" max="21" width="11.6640625" customWidth="1"/>
  </cols>
  <sheetData>
    <row r="1" spans="2:100" ht="18">
      <c r="B1" s="5" t="s">
        <v>121</v>
      </c>
      <c r="N1" t="s">
        <v>545</v>
      </c>
      <c r="CV1" s="25" t="s">
        <v>547</v>
      </c>
    </row>
    <row r="3" spans="2:100" ht="15.6">
      <c r="B3" s="28" t="s">
        <v>122</v>
      </c>
      <c r="C3" s="29"/>
      <c r="D3" s="29"/>
      <c r="E3" s="30"/>
      <c r="J3" s="28" t="s">
        <v>145</v>
      </c>
      <c r="K3" s="29"/>
      <c r="L3" s="29"/>
      <c r="M3" s="30"/>
    </row>
    <row r="4" spans="2:100" ht="13.8">
      <c r="B4" s="19" t="s">
        <v>123</v>
      </c>
      <c r="C4" s="19"/>
      <c r="D4" s="19" t="s">
        <v>124</v>
      </c>
      <c r="E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00" ht="13.8">
      <c r="J5" s="15">
        <v>67</v>
      </c>
      <c r="K5" s="15">
        <v>2</v>
      </c>
      <c r="L5" s="15">
        <v>0</v>
      </c>
      <c r="M5" s="15">
        <v>69</v>
      </c>
    </row>
    <row r="10" spans="2:100" ht="18">
      <c r="B10" s="6" t="s">
        <v>123</v>
      </c>
    </row>
    <row r="12" spans="2:100" ht="15.6">
      <c r="C12" s="21" t="s">
        <v>125</v>
      </c>
      <c r="D12" s="21"/>
      <c r="E12" s="21"/>
      <c r="F12" s="21"/>
      <c r="G12" s="21"/>
      <c r="H12" s="21"/>
      <c r="I12" s="21"/>
    </row>
    <row r="13" spans="2:100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00" ht="13.8">
      <c r="C14" s="22" t="s">
        <v>127</v>
      </c>
      <c r="D14" s="22"/>
      <c r="E14" s="23"/>
      <c r="F14" s="11" t="s">
        <v>543</v>
      </c>
      <c r="G14" s="11"/>
      <c r="H14" s="11"/>
      <c r="I14" s="11"/>
    </row>
    <row r="15" spans="2:100" ht="13.8">
      <c r="C15" s="22" t="s">
        <v>128</v>
      </c>
      <c r="D15" s="22"/>
      <c r="E15" s="23"/>
      <c r="F15" s="11" t="s">
        <v>544</v>
      </c>
      <c r="G15" s="11"/>
      <c r="H15" s="11"/>
      <c r="I15" s="11"/>
    </row>
    <row r="16" spans="2:100" ht="13.8">
      <c r="C16" s="22" t="s">
        <v>129</v>
      </c>
      <c r="D16" s="22"/>
      <c r="E16" s="23"/>
      <c r="F16" s="12">
        <v>8</v>
      </c>
      <c r="G16" s="12"/>
      <c r="H16" s="12"/>
      <c r="I16" s="12"/>
    </row>
    <row r="18" spans="2:23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</row>
    <row r="19" spans="2:23" ht="13.8">
      <c r="C19" s="22" t="s">
        <v>131</v>
      </c>
      <c r="D19" s="22"/>
      <c r="E19" s="23"/>
      <c r="F19" s="12">
        <v>18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2:23" ht="13.8">
      <c r="C20" s="22" t="s">
        <v>132</v>
      </c>
      <c r="D20" s="22"/>
      <c r="E20" s="23"/>
      <c r="F20" s="15" t="s">
        <v>98</v>
      </c>
      <c r="G20" s="15" t="s">
        <v>99</v>
      </c>
      <c r="H20" s="15" t="s">
        <v>100</v>
      </c>
      <c r="I20" s="15" t="s">
        <v>101</v>
      </c>
      <c r="J20" s="15" t="s">
        <v>102</v>
      </c>
      <c r="K20" s="15" t="s">
        <v>103</v>
      </c>
      <c r="L20" s="15" t="s">
        <v>104</v>
      </c>
      <c r="M20" s="15" t="s">
        <v>105</v>
      </c>
      <c r="N20" s="15" t="s">
        <v>106</v>
      </c>
      <c r="O20" s="15" t="s">
        <v>107</v>
      </c>
      <c r="P20" s="15" t="s">
        <v>108</v>
      </c>
      <c r="Q20" s="15" t="s">
        <v>109</v>
      </c>
      <c r="R20" s="15" t="s">
        <v>110</v>
      </c>
      <c r="S20" s="15" t="s">
        <v>111</v>
      </c>
      <c r="T20" s="15" t="s">
        <v>112</v>
      </c>
      <c r="U20" s="15" t="s">
        <v>113</v>
      </c>
      <c r="V20" s="15" t="s">
        <v>114</v>
      </c>
      <c r="W20" s="15" t="s">
        <v>117</v>
      </c>
    </row>
    <row r="22" spans="2:23" ht="15.6">
      <c r="C22" s="21" t="s">
        <v>133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2:23" ht="13.8">
      <c r="C23" s="22" t="s">
        <v>134</v>
      </c>
      <c r="D23" s="22"/>
      <c r="E23" s="23"/>
      <c r="F23" s="16" t="s">
        <v>98</v>
      </c>
      <c r="G23" s="16" t="s">
        <v>99</v>
      </c>
      <c r="H23" s="16" t="s">
        <v>100</v>
      </c>
      <c r="I23" s="16" t="s">
        <v>101</v>
      </c>
      <c r="J23" s="16" t="s">
        <v>102</v>
      </c>
      <c r="K23" s="16" t="s">
        <v>103</v>
      </c>
      <c r="L23" s="16" t="s">
        <v>104</v>
      </c>
      <c r="M23" s="16" t="s">
        <v>105</v>
      </c>
      <c r="N23" s="16" t="s">
        <v>106</v>
      </c>
      <c r="O23" s="16" t="s">
        <v>107</v>
      </c>
      <c r="P23" s="16" t="s">
        <v>108</v>
      </c>
      <c r="Q23" s="16" t="s">
        <v>109</v>
      </c>
      <c r="R23" s="16" t="s">
        <v>110</v>
      </c>
      <c r="S23" s="16" t="s">
        <v>111</v>
      </c>
      <c r="T23" s="16" t="s">
        <v>112</v>
      </c>
      <c r="U23" s="16" t="s">
        <v>113</v>
      </c>
      <c r="V23" s="16" t="s">
        <v>114</v>
      </c>
      <c r="W23" s="16" t="s">
        <v>117</v>
      </c>
    </row>
    <row r="24" spans="2:23" ht="13.8">
      <c r="C24" s="22" t="s">
        <v>135</v>
      </c>
      <c r="D24" s="22"/>
      <c r="E24" s="23"/>
      <c r="F24" s="16" t="s">
        <v>143</v>
      </c>
      <c r="G24" s="16" t="s">
        <v>144</v>
      </c>
      <c r="H24" s="16" t="s">
        <v>144</v>
      </c>
      <c r="I24" s="16" t="s">
        <v>144</v>
      </c>
      <c r="J24" s="16" t="s">
        <v>144</v>
      </c>
      <c r="K24" s="16" t="s">
        <v>144</v>
      </c>
      <c r="L24" s="16" t="s">
        <v>144</v>
      </c>
      <c r="M24" s="16" t="s">
        <v>144</v>
      </c>
      <c r="N24" s="16" t="s">
        <v>144</v>
      </c>
      <c r="O24" s="16" t="s">
        <v>144</v>
      </c>
      <c r="P24" s="16" t="s">
        <v>144</v>
      </c>
      <c r="Q24" s="16" t="s">
        <v>144</v>
      </c>
      <c r="R24" s="16" t="s">
        <v>144</v>
      </c>
      <c r="S24" s="16" t="s">
        <v>144</v>
      </c>
      <c r="T24" s="16" t="s">
        <v>144</v>
      </c>
      <c r="U24" s="16" t="s">
        <v>144</v>
      </c>
      <c r="V24" s="16" t="s">
        <v>144</v>
      </c>
      <c r="W24" s="16" t="s">
        <v>546</v>
      </c>
    </row>
    <row r="25" spans="2:23" ht="13.8">
      <c r="C25" s="22" t="s">
        <v>136</v>
      </c>
      <c r="D25" s="22"/>
      <c r="E25" s="23"/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</row>
    <row r="26" spans="2:23" ht="13.8">
      <c r="C26" s="22" t="s">
        <v>137</v>
      </c>
      <c r="D26" s="22"/>
      <c r="E26" s="23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2:23" ht="13.8">
      <c r="C27" s="22" t="s">
        <v>138</v>
      </c>
      <c r="D27" s="22"/>
      <c r="E27" s="23"/>
      <c r="F27" s="12">
        <v>8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2:23" ht="13.8">
      <c r="C28" s="22" t="s">
        <v>139</v>
      </c>
      <c r="D28" s="22"/>
      <c r="E28" s="23"/>
      <c r="F28" s="12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31" spans="2:23" ht="18">
      <c r="B31" s="6" t="s">
        <v>124</v>
      </c>
    </row>
    <row r="33" spans="3:21">
      <c r="C33" s="8" t="s">
        <v>152</v>
      </c>
      <c r="D33" s="26" t="s">
        <v>98</v>
      </c>
      <c r="E33" s="26" t="s">
        <v>153</v>
      </c>
      <c r="F33" s="26" t="s">
        <v>154</v>
      </c>
      <c r="G33" s="26" t="s">
        <v>155</v>
      </c>
      <c r="H33" s="26" t="s">
        <v>156</v>
      </c>
      <c r="I33" s="26" t="s">
        <v>157</v>
      </c>
      <c r="J33" s="26" t="s">
        <v>158</v>
      </c>
      <c r="K33" s="26" t="s">
        <v>159</v>
      </c>
      <c r="L33" s="26" t="s">
        <v>160</v>
      </c>
      <c r="M33" s="26" t="s">
        <v>161</v>
      </c>
      <c r="N33" s="26" t="s">
        <v>162</v>
      </c>
      <c r="O33" s="26" t="s">
        <v>163</v>
      </c>
      <c r="P33" s="26" t="s">
        <v>164</v>
      </c>
      <c r="Q33" s="26" t="s">
        <v>165</v>
      </c>
      <c r="R33" s="26" t="s">
        <v>166</v>
      </c>
      <c r="S33" s="26" t="s">
        <v>167</v>
      </c>
      <c r="T33" s="26" t="s">
        <v>168</v>
      </c>
      <c r="U33" s="26" t="s">
        <v>117</v>
      </c>
    </row>
    <row r="34" spans="3:21">
      <c r="C34" s="8" t="s">
        <v>171</v>
      </c>
      <c r="D34" s="27" t="s">
        <v>42</v>
      </c>
      <c r="E34" s="27">
        <v>1</v>
      </c>
      <c r="F34" s="27">
        <v>0</v>
      </c>
      <c r="G34" s="27">
        <v>0</v>
      </c>
      <c r="H34" s="27">
        <v>1</v>
      </c>
      <c r="I34" s="27">
        <v>0</v>
      </c>
      <c r="J34" s="27">
        <v>0</v>
      </c>
      <c r="K34" s="27">
        <v>1</v>
      </c>
      <c r="L34" s="27">
        <v>1</v>
      </c>
      <c r="M34" s="27">
        <v>1</v>
      </c>
      <c r="N34" s="27">
        <v>1</v>
      </c>
      <c r="O34" s="27">
        <v>0</v>
      </c>
      <c r="P34" s="27">
        <v>0</v>
      </c>
      <c r="Q34" s="27">
        <v>4</v>
      </c>
      <c r="R34" s="27">
        <v>1</v>
      </c>
      <c r="S34" s="27">
        <v>0</v>
      </c>
      <c r="T34" s="27">
        <v>1</v>
      </c>
      <c r="U34" s="26" t="s">
        <v>116</v>
      </c>
    </row>
    <row r="35" spans="3:21">
      <c r="C35" s="8" t="s">
        <v>172</v>
      </c>
      <c r="D35" s="27" t="s">
        <v>11</v>
      </c>
      <c r="E35" s="27">
        <v>0</v>
      </c>
      <c r="F35" s="27">
        <v>1</v>
      </c>
      <c r="G35" s="27">
        <v>1</v>
      </c>
      <c r="H35" s="27">
        <v>0</v>
      </c>
      <c r="I35" s="27">
        <v>1</v>
      </c>
      <c r="J35" s="27">
        <v>0</v>
      </c>
      <c r="K35" s="27">
        <v>0</v>
      </c>
      <c r="L35" s="27">
        <v>0</v>
      </c>
      <c r="M35" s="27">
        <v>1</v>
      </c>
      <c r="N35" s="27">
        <v>1</v>
      </c>
      <c r="O35" s="27">
        <v>0</v>
      </c>
      <c r="P35" s="27">
        <v>0</v>
      </c>
      <c r="Q35" s="27">
        <v>2</v>
      </c>
      <c r="R35" s="27">
        <v>1</v>
      </c>
      <c r="S35" s="27">
        <v>1</v>
      </c>
      <c r="T35" s="27">
        <v>0</v>
      </c>
      <c r="U35" s="26" t="s">
        <v>116</v>
      </c>
    </row>
    <row r="36" spans="3:21">
      <c r="C36" s="8" t="s">
        <v>173</v>
      </c>
      <c r="D36" s="27" t="s">
        <v>82</v>
      </c>
      <c r="E36" s="27">
        <v>0</v>
      </c>
      <c r="F36" s="27">
        <v>0</v>
      </c>
      <c r="G36" s="27">
        <v>1</v>
      </c>
      <c r="H36" s="27">
        <v>0</v>
      </c>
      <c r="I36" s="27">
        <v>0</v>
      </c>
      <c r="J36" s="27">
        <v>1</v>
      </c>
      <c r="K36" s="27">
        <v>1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5</v>
      </c>
      <c r="R36" s="27">
        <v>0</v>
      </c>
      <c r="S36" s="27">
        <v>0</v>
      </c>
      <c r="T36" s="27">
        <v>0</v>
      </c>
      <c r="U36" s="26" t="s">
        <v>116</v>
      </c>
    </row>
    <row r="37" spans="3:21">
      <c r="C37" s="8" t="s">
        <v>174</v>
      </c>
      <c r="D37" s="27" t="s">
        <v>56</v>
      </c>
      <c r="E37" s="27">
        <v>0</v>
      </c>
      <c r="F37" s="27">
        <v>1</v>
      </c>
      <c r="G37" s="27">
        <v>1</v>
      </c>
      <c r="H37" s="27">
        <v>0</v>
      </c>
      <c r="I37" s="27">
        <v>0</v>
      </c>
      <c r="J37" s="27">
        <v>1</v>
      </c>
      <c r="K37" s="27">
        <v>1</v>
      </c>
      <c r="L37" s="27">
        <v>0</v>
      </c>
      <c r="M37" s="27">
        <v>1</v>
      </c>
      <c r="N37" s="27">
        <v>1</v>
      </c>
      <c r="O37" s="27">
        <v>0</v>
      </c>
      <c r="P37" s="27">
        <v>0</v>
      </c>
      <c r="Q37" s="27">
        <v>2</v>
      </c>
      <c r="R37" s="27">
        <v>1</v>
      </c>
      <c r="S37" s="27">
        <v>0</v>
      </c>
      <c r="T37" s="27">
        <v>1</v>
      </c>
      <c r="U37" s="26" t="s">
        <v>116</v>
      </c>
    </row>
    <row r="38" spans="3:21">
      <c r="C38" s="8" t="s">
        <v>175</v>
      </c>
      <c r="D38" s="27" t="s">
        <v>39</v>
      </c>
      <c r="E38" s="27">
        <v>0</v>
      </c>
      <c r="F38" s="27">
        <v>1</v>
      </c>
      <c r="G38" s="27">
        <v>1</v>
      </c>
      <c r="H38" s="27">
        <v>0</v>
      </c>
      <c r="I38" s="27">
        <v>0</v>
      </c>
      <c r="J38" s="27">
        <v>0</v>
      </c>
      <c r="K38" s="27">
        <v>1</v>
      </c>
      <c r="L38" s="27">
        <v>0</v>
      </c>
      <c r="M38" s="27">
        <v>1</v>
      </c>
      <c r="N38" s="27">
        <v>1</v>
      </c>
      <c r="O38" s="27">
        <v>0</v>
      </c>
      <c r="P38" s="27">
        <v>0</v>
      </c>
      <c r="Q38" s="27">
        <v>2</v>
      </c>
      <c r="R38" s="27">
        <v>1</v>
      </c>
      <c r="S38" s="27">
        <v>0</v>
      </c>
      <c r="T38" s="27">
        <v>0</v>
      </c>
      <c r="U38" s="26" t="s">
        <v>116</v>
      </c>
    </row>
    <row r="39" spans="3:21">
      <c r="C39" s="8" t="s">
        <v>176</v>
      </c>
      <c r="D39" s="27" t="s">
        <v>12</v>
      </c>
      <c r="E39" s="27">
        <v>0</v>
      </c>
      <c r="F39" s="27">
        <v>0</v>
      </c>
      <c r="G39" s="27">
        <v>1</v>
      </c>
      <c r="H39" s="27">
        <v>0</v>
      </c>
      <c r="I39" s="27">
        <v>0</v>
      </c>
      <c r="J39" s="27">
        <v>1</v>
      </c>
      <c r="K39" s="27">
        <v>1</v>
      </c>
      <c r="L39" s="27">
        <v>1</v>
      </c>
      <c r="M39" s="27">
        <v>1</v>
      </c>
      <c r="N39" s="27">
        <v>0</v>
      </c>
      <c r="O39" s="27">
        <v>0</v>
      </c>
      <c r="P39" s="27">
        <v>1</v>
      </c>
      <c r="Q39" s="27">
        <v>0</v>
      </c>
      <c r="R39" s="27">
        <v>1</v>
      </c>
      <c r="S39" s="27">
        <v>0</v>
      </c>
      <c r="T39" s="27">
        <v>0</v>
      </c>
      <c r="U39" s="26" t="s">
        <v>116</v>
      </c>
    </row>
    <row r="40" spans="3:21">
      <c r="C40" s="8" t="s">
        <v>177</v>
      </c>
      <c r="D40" s="27" t="s">
        <v>1</v>
      </c>
      <c r="E40" s="27">
        <v>1</v>
      </c>
      <c r="F40" s="27">
        <v>0</v>
      </c>
      <c r="G40" s="27">
        <v>0</v>
      </c>
      <c r="H40" s="27">
        <v>1</v>
      </c>
      <c r="I40" s="27">
        <v>0</v>
      </c>
      <c r="J40" s="27">
        <v>0</v>
      </c>
      <c r="K40" s="27">
        <v>0</v>
      </c>
      <c r="L40" s="27">
        <v>1</v>
      </c>
      <c r="M40" s="27">
        <v>1</v>
      </c>
      <c r="N40" s="27">
        <v>1</v>
      </c>
      <c r="O40" s="27">
        <v>0</v>
      </c>
      <c r="P40" s="27">
        <v>0</v>
      </c>
      <c r="Q40" s="27">
        <v>4</v>
      </c>
      <c r="R40" s="27">
        <v>1</v>
      </c>
      <c r="S40" s="27">
        <v>0</v>
      </c>
      <c r="T40" s="27">
        <v>1</v>
      </c>
      <c r="U40" s="26" t="s">
        <v>116</v>
      </c>
    </row>
    <row r="41" spans="3:21">
      <c r="C41" s="8" t="s">
        <v>178</v>
      </c>
      <c r="D41" s="27" t="s">
        <v>28</v>
      </c>
      <c r="E41" s="27">
        <v>0</v>
      </c>
      <c r="F41" s="27">
        <v>0</v>
      </c>
      <c r="G41" s="27">
        <v>1</v>
      </c>
      <c r="H41" s="27">
        <v>0</v>
      </c>
      <c r="I41" s="27">
        <v>1</v>
      </c>
      <c r="J41" s="27">
        <v>0</v>
      </c>
      <c r="K41" s="27">
        <v>0</v>
      </c>
      <c r="L41" s="27">
        <v>0</v>
      </c>
      <c r="M41" s="27">
        <v>0</v>
      </c>
      <c r="N41" s="27">
        <v>1</v>
      </c>
      <c r="O41" s="27">
        <v>0</v>
      </c>
      <c r="P41" s="27">
        <v>0</v>
      </c>
      <c r="Q41" s="27">
        <v>6</v>
      </c>
      <c r="R41" s="27">
        <v>0</v>
      </c>
      <c r="S41" s="27">
        <v>0</v>
      </c>
      <c r="T41" s="27">
        <v>0</v>
      </c>
      <c r="U41" s="26" t="s">
        <v>116</v>
      </c>
    </row>
  </sheetData>
  <mergeCells count="27">
    <mergeCell ref="B4:C4"/>
    <mergeCell ref="D4:E4"/>
    <mergeCell ref="B3:E3"/>
    <mergeCell ref="J3:M3"/>
    <mergeCell ref="C24:E24"/>
    <mergeCell ref="C25:E25"/>
    <mergeCell ref="C26:E26"/>
    <mergeCell ref="C27:E27"/>
    <mergeCell ref="C28:E28"/>
    <mergeCell ref="F26:W26"/>
    <mergeCell ref="F27:W27"/>
    <mergeCell ref="F28:W28"/>
    <mergeCell ref="C18:W18"/>
    <mergeCell ref="C19:E19"/>
    <mergeCell ref="C20:E20"/>
    <mergeCell ref="F19:W19"/>
    <mergeCell ref="C22:W22"/>
    <mergeCell ref="C23:E23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Imputation1'!$B$10:$B$10" display="Inputs" xr:uid="{1E9CE03C-A789-4541-8C4F-125E5AC40D28}"/>
    <hyperlink ref="D4" location="'Imputation1'!$B$31:$B$31" display="Transformed Data" xr:uid="{74FEE188-CD64-4060-968D-3A3531DA130C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F92E-B73B-47BE-BC0A-A2021DE277AB}">
  <dimension ref="B1:U33"/>
  <sheetViews>
    <sheetView showGridLines="0" topLeftCell="A14" workbookViewId="0">
      <selection activeCell="D26" sqref="D26:D33"/>
    </sheetView>
  </sheetViews>
  <sheetFormatPr defaultRowHeight="13.2"/>
  <cols>
    <col min="3" max="3" width="11.5546875" customWidth="1"/>
    <col min="4" max="4" width="30" customWidth="1"/>
    <col min="5" max="9" width="13.33203125" customWidth="1"/>
    <col min="10" max="10" width="15.88671875" bestFit="1" customWidth="1"/>
    <col min="11" max="11" width="13.33203125" customWidth="1"/>
  </cols>
  <sheetData>
    <row r="1" spans="2:14" ht="18">
      <c r="B1" s="5" t="s">
        <v>548</v>
      </c>
      <c r="N1" t="s">
        <v>554</v>
      </c>
    </row>
    <row r="3" spans="2:14" ht="15.6">
      <c r="B3" s="21" t="s">
        <v>122</v>
      </c>
      <c r="C3" s="21"/>
      <c r="D3" s="21"/>
      <c r="E3" s="21"/>
      <c r="J3" s="31" t="s">
        <v>145</v>
      </c>
      <c r="K3" s="31"/>
      <c r="L3" s="31"/>
      <c r="M3" s="31"/>
    </row>
    <row r="4" spans="2:14" ht="13.8">
      <c r="B4" s="19" t="s">
        <v>123</v>
      </c>
      <c r="C4" s="19"/>
      <c r="D4" s="19" t="s">
        <v>549</v>
      </c>
      <c r="E4" s="19"/>
      <c r="J4" s="24" t="s">
        <v>146</v>
      </c>
      <c r="K4" s="24" t="s">
        <v>147</v>
      </c>
      <c r="L4" s="24" t="s">
        <v>148</v>
      </c>
      <c r="M4" s="24" t="s">
        <v>149</v>
      </c>
    </row>
    <row r="5" spans="2:14" ht="13.8">
      <c r="J5" s="15">
        <v>141</v>
      </c>
      <c r="K5" s="15">
        <v>16</v>
      </c>
      <c r="L5" s="15">
        <v>0</v>
      </c>
      <c r="M5" s="15">
        <v>157</v>
      </c>
    </row>
    <row r="10" spans="2:14" ht="18">
      <c r="B10" s="6" t="s">
        <v>123</v>
      </c>
    </row>
    <row r="12" spans="2:14" ht="15.6">
      <c r="C12" s="21" t="s">
        <v>125</v>
      </c>
      <c r="D12" s="21"/>
      <c r="E12" s="21"/>
      <c r="F12" s="21"/>
      <c r="G12" s="21"/>
      <c r="H12" s="21"/>
      <c r="I12" s="21"/>
    </row>
    <row r="13" spans="2:14" ht="13.8">
      <c r="C13" s="22" t="s">
        <v>126</v>
      </c>
      <c r="D13" s="22"/>
      <c r="E13" s="23"/>
      <c r="F13" s="11" t="s">
        <v>140</v>
      </c>
      <c r="G13" s="11"/>
      <c r="H13" s="11"/>
      <c r="I13" s="11"/>
    </row>
    <row r="14" spans="2:14" ht="13.8">
      <c r="C14" s="22" t="s">
        <v>127</v>
      </c>
      <c r="D14" s="22"/>
      <c r="E14" s="23"/>
      <c r="F14" s="11" t="s">
        <v>552</v>
      </c>
      <c r="G14" s="11"/>
      <c r="H14" s="11"/>
      <c r="I14" s="11"/>
    </row>
    <row r="15" spans="2:14" ht="13.8">
      <c r="C15" s="22" t="s">
        <v>128</v>
      </c>
      <c r="D15" s="22"/>
      <c r="E15" s="23"/>
      <c r="F15" s="11" t="s">
        <v>553</v>
      </c>
      <c r="G15" s="11"/>
      <c r="H15" s="11"/>
      <c r="I15" s="11"/>
    </row>
    <row r="16" spans="2:14" ht="13.8">
      <c r="C16" s="22" t="s">
        <v>129</v>
      </c>
      <c r="D16" s="22"/>
      <c r="E16" s="23"/>
      <c r="F16" s="12">
        <v>8</v>
      </c>
      <c r="G16" s="12"/>
      <c r="H16" s="12"/>
      <c r="I16" s="12"/>
    </row>
    <row r="18" spans="2:21" ht="15.6">
      <c r="C18" s="21" t="s">
        <v>130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8">
      <c r="C19" s="22" t="s">
        <v>457</v>
      </c>
      <c r="D19" s="22"/>
      <c r="E19" s="23"/>
      <c r="F19" s="12">
        <v>16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2:21" ht="13.8">
      <c r="C20" s="22" t="s">
        <v>550</v>
      </c>
      <c r="D20" s="22"/>
      <c r="E20" s="23"/>
      <c r="F20" s="15" t="s">
        <v>153</v>
      </c>
      <c r="G20" s="15" t="s">
        <v>154</v>
      </c>
      <c r="H20" s="15" t="s">
        <v>155</v>
      </c>
      <c r="I20" s="15" t="s">
        <v>156</v>
      </c>
      <c r="J20" s="15" t="s">
        <v>157</v>
      </c>
      <c r="K20" s="15" t="s">
        <v>158</v>
      </c>
      <c r="L20" s="15" t="s">
        <v>159</v>
      </c>
      <c r="M20" s="15" t="s">
        <v>160</v>
      </c>
      <c r="N20" s="15" t="s">
        <v>161</v>
      </c>
      <c r="O20" s="15" t="s">
        <v>162</v>
      </c>
      <c r="P20" s="15" t="s">
        <v>163</v>
      </c>
      <c r="Q20" s="15" t="s">
        <v>164</v>
      </c>
      <c r="R20" s="15" t="s">
        <v>165</v>
      </c>
      <c r="S20" s="15" t="s">
        <v>166</v>
      </c>
      <c r="T20" s="15" t="s">
        <v>167</v>
      </c>
      <c r="U20" s="15" t="s">
        <v>168</v>
      </c>
    </row>
    <row r="21" spans="2:21" ht="13.8">
      <c r="C21" s="22" t="s">
        <v>551</v>
      </c>
      <c r="D21" s="22"/>
      <c r="E21" s="23"/>
      <c r="F21" s="15" t="s">
        <v>153</v>
      </c>
      <c r="G21" s="15" t="s">
        <v>154</v>
      </c>
      <c r="H21" s="15" t="s">
        <v>155</v>
      </c>
      <c r="I21" s="15" t="s">
        <v>156</v>
      </c>
      <c r="J21" s="15" t="s">
        <v>157</v>
      </c>
      <c r="K21" s="15" t="s">
        <v>158</v>
      </c>
      <c r="L21" s="15" t="s">
        <v>159</v>
      </c>
      <c r="M21" s="15" t="s">
        <v>160</v>
      </c>
      <c r="N21" s="15" t="s">
        <v>161</v>
      </c>
      <c r="O21" s="15" t="s">
        <v>162</v>
      </c>
      <c r="P21" s="15" t="s">
        <v>163</v>
      </c>
      <c r="Q21" s="15" t="s">
        <v>164</v>
      </c>
      <c r="R21" s="15" t="s">
        <v>165</v>
      </c>
      <c r="S21" s="15" t="s">
        <v>166</v>
      </c>
      <c r="T21" s="15" t="s">
        <v>167</v>
      </c>
      <c r="U21" s="15" t="s">
        <v>168</v>
      </c>
    </row>
    <row r="23" spans="2:21" ht="18">
      <c r="B23" s="6" t="s">
        <v>549</v>
      </c>
    </row>
    <row r="25" spans="2:21">
      <c r="C25" s="8" t="s">
        <v>152</v>
      </c>
      <c r="D25" t="s">
        <v>555</v>
      </c>
      <c r="E25" t="s">
        <v>556</v>
      </c>
      <c r="F25" t="s">
        <v>557</v>
      </c>
      <c r="G25" t="s">
        <v>558</v>
      </c>
      <c r="H25" t="s">
        <v>559</v>
      </c>
      <c r="I25" t="s">
        <v>560</v>
      </c>
      <c r="J25" t="s">
        <v>561</v>
      </c>
      <c r="K25" t="s">
        <v>562</v>
      </c>
    </row>
    <row r="26" spans="2:21">
      <c r="C26" s="8" t="s">
        <v>171</v>
      </c>
      <c r="D26" s="7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>
        <v>0</v>
      </c>
    </row>
    <row r="27" spans="2:21">
      <c r="C27" s="8" t="s">
        <v>172</v>
      </c>
      <c r="D27" s="7">
        <v>2</v>
      </c>
      <c r="E27" s="7">
        <v>0</v>
      </c>
      <c r="F27" s="7">
        <v>0</v>
      </c>
      <c r="G27" s="7">
        <v>0</v>
      </c>
      <c r="H27" s="7">
        <v>1</v>
      </c>
      <c r="I27" s="7">
        <v>0</v>
      </c>
      <c r="J27" s="7">
        <v>0</v>
      </c>
      <c r="K27">
        <v>0</v>
      </c>
    </row>
    <row r="28" spans="2:21">
      <c r="C28" s="8" t="s">
        <v>173</v>
      </c>
      <c r="D28" s="7" t="e">
        <f>NA()</f>
        <v>#N/A</v>
      </c>
      <c r="E28" s="7" t="e">
        <f>NA()</f>
        <v>#N/A</v>
      </c>
      <c r="F28" s="7" t="e">
        <f>NA()</f>
        <v>#N/A</v>
      </c>
      <c r="G28" s="7" t="e">
        <f>NA()</f>
        <v>#N/A</v>
      </c>
      <c r="H28" s="7" t="e">
        <f>NA()</f>
        <v>#N/A</v>
      </c>
      <c r="I28" s="7" t="e">
        <f>NA()</f>
        <v>#N/A</v>
      </c>
      <c r="J28" s="7" t="e">
        <f>NA()</f>
        <v>#N/A</v>
      </c>
      <c r="K28" t="e">
        <f>NA()</f>
        <v>#N/A</v>
      </c>
    </row>
    <row r="29" spans="2:21">
      <c r="C29" s="8" t="s">
        <v>174</v>
      </c>
      <c r="D29" s="7">
        <v>2</v>
      </c>
      <c r="E29" s="7">
        <v>0</v>
      </c>
      <c r="F29" s="7">
        <v>0</v>
      </c>
      <c r="G29" s="7">
        <v>0</v>
      </c>
      <c r="H29" s="7">
        <v>1</v>
      </c>
      <c r="I29" s="7">
        <v>0</v>
      </c>
      <c r="J29" s="7">
        <v>0</v>
      </c>
      <c r="K29">
        <v>0</v>
      </c>
    </row>
    <row r="30" spans="2:21">
      <c r="C30" s="8" t="s">
        <v>175</v>
      </c>
      <c r="D30" s="7">
        <v>2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>
        <v>0</v>
      </c>
    </row>
    <row r="31" spans="2:21">
      <c r="C31" s="8" t="s">
        <v>176</v>
      </c>
      <c r="D31" s="7">
        <v>4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>
        <v>0</v>
      </c>
    </row>
    <row r="32" spans="2:21">
      <c r="C32" s="8" t="s">
        <v>177</v>
      </c>
      <c r="D32" s="7">
        <v>1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>
        <v>0</v>
      </c>
    </row>
    <row r="33" spans="3:11">
      <c r="C33" s="8" t="s">
        <v>178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>
        <v>0</v>
      </c>
    </row>
  </sheetData>
  <mergeCells count="18">
    <mergeCell ref="B3:E3"/>
    <mergeCell ref="J3:M3"/>
    <mergeCell ref="C18:U18"/>
    <mergeCell ref="C19:E19"/>
    <mergeCell ref="C20:E20"/>
    <mergeCell ref="C21:E21"/>
    <mergeCell ref="F19:U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</mergeCells>
  <hyperlinks>
    <hyperlink ref="B4" location="'Scoring_NaiveBayes'!$B$10:$B$10" display="Inputs" xr:uid="{EB7E1280-B917-4422-BFC7-B3F3C792546F}"/>
    <hyperlink ref="D4" location="'Scoring_NaiveBayes'!$B$23:$B$23" display="Scoring" xr:uid="{4E78D289-4B84-481B-9768-F92762880543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</vt:lpstr>
      <vt:lpstr>Imputation</vt:lpstr>
      <vt:lpstr>STDPartition3</vt:lpstr>
      <vt:lpstr>NB_Output3</vt:lpstr>
      <vt:lpstr>NB_TrainingScore3</vt:lpstr>
      <vt:lpstr>NB_ValidationScore3</vt:lpstr>
      <vt:lpstr>NB_Stored3</vt:lpstr>
      <vt:lpstr>STDPartition2</vt:lpstr>
      <vt:lpstr>NB_Output2</vt:lpstr>
      <vt:lpstr>NB_TrainingScore2</vt:lpstr>
      <vt:lpstr>NB_ValidationScore2</vt:lpstr>
      <vt:lpstr>NB_Stored2</vt:lpstr>
      <vt:lpstr>STDPartition1</vt:lpstr>
      <vt:lpstr>NB_Output1</vt:lpstr>
      <vt:lpstr>NB_TrainingScore1</vt:lpstr>
      <vt:lpstr>NB_ValidationScore1</vt:lpstr>
      <vt:lpstr>NB_Stored1</vt:lpstr>
      <vt:lpstr>STDPartition</vt:lpstr>
      <vt:lpstr>NB_Output</vt:lpstr>
      <vt:lpstr>NB_TrainingScore</vt:lpstr>
      <vt:lpstr>NB_ValidationScore</vt:lpstr>
      <vt:lpstr>NB_Stored</vt:lpstr>
      <vt:lpstr>new data</vt:lpstr>
      <vt:lpstr>Imputation1</vt:lpstr>
      <vt:lpstr>Scoring_NaiveBayes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belletoile</dc:creator>
  <cp:lastModifiedBy>MOHAMMED IMTIYAZ</cp:lastModifiedBy>
  <dcterms:created xsi:type="dcterms:W3CDTF">2015-12-01T09:08:55Z</dcterms:created>
  <dcterms:modified xsi:type="dcterms:W3CDTF">2025-02-18T20:46:09Z</dcterms:modified>
</cp:coreProperties>
</file>