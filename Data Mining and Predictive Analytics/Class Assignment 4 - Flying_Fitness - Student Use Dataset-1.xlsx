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7027" documentId="13_ncr:1_{551B4343-AE99-4162-A2EB-38B3D37EC4DD}" xr6:coauthVersionLast="47" xr6:coauthVersionMax="47" xr10:uidLastSave="{76DE8789-6E97-48E5-8FB8-C5617F54E920}"/>
  <bookViews>
    <workbookView xWindow="-108" yWindow="-108" windowWidth="23256" windowHeight="12456" tabRatio="731" firstSheet="20" activeTab="24" xr2:uid="{00000000-000D-0000-FFFF-FFFF00000000}"/>
  </bookViews>
  <sheets>
    <sheet name="Description" sheetId="2" r:id="rId1"/>
    <sheet name="Data" sheetId="1" r:id="rId2"/>
    <sheet name="Imputation" sheetId="4" r:id="rId3"/>
    <sheet name="STDPartition3" sheetId="20" r:id="rId4"/>
    <sheet name="NB_Output3" sheetId="24" r:id="rId5"/>
    <sheet name="NB_TrainingScore3" sheetId="23" r:id="rId6"/>
    <sheet name="NB_ValidationScore3" sheetId="22" r:id="rId7"/>
    <sheet name="NB_Stored3" sheetId="21" r:id="rId8"/>
    <sheet name="STDPartition2" sheetId="15" r:id="rId9"/>
    <sheet name="NB_Output2" sheetId="19" r:id="rId10"/>
    <sheet name="NB_TrainingScore2" sheetId="18" r:id="rId11"/>
    <sheet name="NB_ValidationScore2" sheetId="17" r:id="rId12"/>
    <sheet name="NB_Stored2" sheetId="16" r:id="rId13"/>
    <sheet name="STDPartition1" sheetId="10" r:id="rId14"/>
    <sheet name="NB_Output1" sheetId="14" r:id="rId15"/>
    <sheet name="NB_TrainingScore1" sheetId="13" r:id="rId16"/>
    <sheet name="NB_ValidationScore1" sheetId="12" r:id="rId17"/>
    <sheet name="NB_Stored1" sheetId="11" r:id="rId18"/>
    <sheet name="STDPartition" sheetId="5" r:id="rId19"/>
    <sheet name="NB_Output" sheetId="9" r:id="rId20"/>
    <sheet name="NB_TrainingScore" sheetId="8" r:id="rId21"/>
    <sheet name="NB_ValidationScore" sheetId="7" r:id="rId22"/>
    <sheet name="NB_Stored" sheetId="6" r:id="rId23"/>
    <sheet name="New Data" sheetId="3" r:id="rId24"/>
    <sheet name="Imputation1" sheetId="30" r:id="rId25"/>
    <sheet name="Scoring_NaiveBayes" sheetId="31" r:id="rId26"/>
  </sheets>
  <definedNames>
    <definedName name="solver_rcp" hidden="1">0</definedName>
    <definedName name="xlm_10_1" localSheetId="1" hidden="1">"'{""wksheet"":""Data"",""wkbk"":""Class Assignment 4 - Flying_Fitness - Student Use Dataset-1.xlsx"",""data_range"":""A1:H141"",""firstRow"":""1"",""rows"":140,""overwriteExistingWorksheet"":false,""has_header"":true,""input"</definedName>
    <definedName name="xlm_10_1" localSheetId="23" hidden="1">"'{""wksheet"":""New Data"",""wkbk"":""Class Assignment 4 - Flying_Fitness - Student Use Dataset-1.xlsx"",""data_range"":""A1:G15"",""firstRow"":""1"",""rows"":14,""overwriteExistingWorksheet"":false,""has_header"":true,""inp"</definedName>
    <definedName name="xlm_10_2" localSheetId="1" hidden="1">"'_cols"":[{""varName"":""No. "",""treatmentCode"":0},{""varName"":""Obs"",""treatmentCode"":0},{""varName"":""Outcome class type"",""treatmentCode"":1},{""varName"":""Var2"",""treatmentCode"":2},{""varName"":""Var3"",""treatmentCod"</definedName>
    <definedName name="xlm_10_2" localSheetId="23" hidden="1">"'ut_cols"":[{""varName"":""Obs"",""treatmentCode"":0},{""varName"":""Var2"",""treatmentCode"":2},{""varName"":""Var3"",""treatmentCode"":2},{""varName"":""Var4"",""treatmentCode"":2},{""varName"":""Var5"",""treatmentCode"":2},{""varN"</definedName>
    <definedName name="xlm_10_3" localSheetId="1" hidden="1">"'e"":2},{""varName"":""Var4"",""treatmentCode"":2},{""varName"":""Var5"",""treatmentCode"":2},{""varName"":""Var6"",""treatmentCode"":2}]}"</definedName>
    <definedName name="xlm_10_3" localSheetId="23" hidden="1">"'ame"":""Var6"",""treatmentCode"":2},{""varName"":""Outcome class type"",""treatmentCode"":1}]}"</definedName>
    <definedName name="xlm_604_1" localSheetId="18" hidden="1">"'{""wkbk"":""Class Assignment 4 - Flying_Fitness - Student Use Dataset-1.xlsx"",""wksheet"":""STDPartition"",""data_range"":"""",""header"":[""Record ID"",""Outcome class type"",""Treated_Var2"",""Treated_Var3"",""Treated_Va"</definedName>
    <definedName name="xlm_604_1" localSheetId="13" hidden="1">"'{""wkbk"":""Class Assignment 4 - Flying_Fitness - Student Use Dataset-1.xlsx"",""wksheet"":""STDPartition1"",""data_range"":"""",""header"":[""Record ID"",""Outcome class type"",""Treated_Var2"",""Treated_Var3"",""Treated_V"</definedName>
    <definedName name="xlm_604_1" localSheetId="8" hidden="1">"'{""wkbk"":""Class Assignment 4 - Flying_Fitness - Student Use Dataset-1.xlsx"",""wksheet"":""STDPartition2"",""data_range"":"""",""header"":[""Record ID"",""Outcome class type"",""Treated_Var2"",""Treated_Var3"",""Treated_V"</definedName>
    <definedName name="xlm_604_1" localSheetId="3" hidden="1">"'{""wkbk"":""Class Assignment 4 - Flying_Fitness - Student Use Dataset-1.xlsx"",""wksheet"":""STDPartition3"",""data_range"":"""",""header"":[""Record ID"",""Outcome class type"",""Treated_Var2"",""Treated_Var3"",""Treated_V"</definedName>
    <definedName name="xlm_604_2" localSheetId="18" hidden="1">"'r4"",""Treated_Var5"",""Treated_Var6""],""has_header"":true,""firstRow"":1,""rows"":140,""train_rows"":84,""validation_rows"":56,""test_rows"":0,""trainingDataRange"":""$C$37:$I$120"",""validationDataRange"":""$C$121:$I$176"""</definedName>
    <definedName name="xlm_604_2" localSheetId="13" hidden="1">"'ar4"",""Treated_Var5"",""Treated_Var6""],""has_header"":true,""firstRow"":1,""rows"":140,""train_rows"":98,""validation_rows"":42,""test_rows"":0,""trainingDataRange"":""$C$37:$I$134"",""validationDataRange"":""$C$135:$I$176"</definedName>
    <definedName name="xlm_604_2" localSheetId="8" hidden="1">"'ar4"",""Treated_Var5"",""Treated_Var6""],""has_header"":true,""firstRow"":1,""rows"":140,""train_rows"":112,""validation_rows"":28,""test_rows"":0,""trainingDataRange"":""$C$37:$I$148"",""validationDataRange"":""$C$149:$I$17"</definedName>
    <definedName name="xlm_604_2" localSheetId="3" hidden="1">"'ar4"",""Treated_Var5"",""Treated_Var6""],""has_header"":true,""firstRow"":1,""rows"":140,""train_rows"":105,""validation_rows"":35,""test_rows"":0,""trainingDataRange"":""$C$37:$I$141"",""validationDataRange"":""$C$142:$I$17"</definedName>
    <definedName name="xlm_604_3" localSheetId="18" hidden="1">"',""allDataRange"":""$C$36:$I$176"",""isPartitionSheet"":true,""partitionData"":false,""trainDetailRpt"":false,""trainSummaryRpt"":true,""trainLiftChart"":false,""trainROCCurve"":false,""trainFreqChart"":false,""validati"</definedName>
    <definedName name="xlm_604_3" localSheetId="13" hidden="1">"'"",""allDataRange"":""$C$36:$I$176"",""isPartitionSheet"":true,""partitionData"":false,""trainDetailRpt"":false,""trainSummaryRpt"":true,""trainLiftChart"":false,""trainROCCurve"":false,""trainFreqChart"":false,""validat"</definedName>
    <definedName name="xlm_604_3" localSheetId="8" hidden="1">"'6"",""allDataRange"":""$C$36:$I$176"",""isPartitionSheet"":true,""partitionData"":false,""trainDetailRpt"":false,""trainSummaryRpt"":true,""trainLiftChart"":false,""trainROCCurve"":false,""trainFreqChart"":false,""valida"</definedName>
    <definedName name="xlm_604_3" localSheetId="3" hidden="1">"'6"",""allDataRange"":""$C$36:$I$176"",""isPartitionSheet"":true,""partitionData"":false,""trainDetailRpt"":false,""trainSummaryRpt"":true,""trainLiftChart"":false,""trainROCCurve"":false,""trainFreqChart"":false,""valida"</definedName>
    <definedName name="xlm_604_4" localSheetId="18" hidden="1">"'onDetailRpt"":false,""validationSummaryRpt"":true,""validationLiftChart"":false,""validROCCurve"":false,""validFreqChart"":false,""newDataWorksheet"":false,""newDataDatabase"":false,""priorClassProbabilityCode"":1,"""</definedName>
    <definedName name="xlm_604_4" localSheetId="13" hidden="1">"'ionDetailRpt"":false,""validationSummaryRpt"":true,""validationLiftChart"":false,""validROCCurve"":false,""validFreqChart"":false,""newDataWorksheet"":false,""newDataDatabase"":false,""priorClassProbabilityCode"":1,"</definedName>
    <definedName name="xlm_604_4" localSheetId="8" hidden="1">"'tionDetailRpt"":false,""validationSummaryRpt"":true,""validationLiftChart"":false,""validROCCurve"":false,""validFreqChart"":false,""newDataWorksheet"":false,""newDataDatabase"":false,""priorClassProbabilityCode"":1"</definedName>
    <definedName name="xlm_604_4" localSheetId="3" hidden="1">"'tionDetailRpt"":false,""validationSummaryRpt"":true,""validationLiftChart"":false,""validROCCurve"":false,""validFreqChart"":false,""newDataWorksheet"":false,""newDataDatabase"":false,""priorClassProbabilityCode"":1"</definedName>
    <definedName name="xlm_604_5" localSheetId="18" hidden="1">"'numOutputClasses"":2,""successClass"":""1"",""successCutoffProb"":0.5,""estimatorParams"":{""laplaceSmoothing"":true,""pseudoCount"":1},""modelParams"":null,""displayParams"":{""showPriorCondProb"":false,""showLogDensity"</definedName>
    <definedName name="xlm_604_5" localSheetId="13" hidden="1">"'""numOutputClasses"":2,""successClass"":""1"",""successCutoffProb"":0.5,""estimatorParams"":{""laplaceSmoothing"":true,""pseudoCount"":1},""modelParams"":null,""displayParams"":{""showPriorCondProb"":false,""showLogDensit"</definedName>
    <definedName name="xlm_604_5" localSheetId="8" hidden="1">"',""numOutputClasses"":2,""successClass"":""1"",""successCutoffProb"":0.5,""estimatorParams"":{""laplaceSmoothing"":true,""pseudoCount"":1},""modelParams"":null,""displayParams"":{""showPriorCondProb"":false,""showLogDensi"</definedName>
    <definedName name="xlm_604_5" localSheetId="3" hidden="1">"',""numOutputClasses"":2,""successClass"":""1"",""successCutoffProb"":0.5,""estimatorParams"":{""laplaceSmoothing"":true,""pseudoCount"":1},""modelParams"":null,""displayParams"":{""showPriorCondProb"":false,""showLogDensi"</definedName>
    <definedName name="xlm_604_6" localSheetId="18" hidden="1">"'"":false},""simulation"":false}"</definedName>
    <definedName name="xlm_604_6" localSheetId="13" hidden="1">"'y"":false},""simulation"":false}"</definedName>
    <definedName name="xlm_604_6" localSheetId="8" hidden="1">"'ty"":false},""simulation"":false}"</definedName>
    <definedName name="xlm_604_6" localSheetId="3" hidden="1">"'ty"":false},""simulation"":false}"</definedName>
    <definedName name="xlm_90_1" localSheetId="2" hidden="1">"'{""wkbk"":""Class Assignment 4 - Flying_Fitness - Student Use Dataset-1.xlsx"",""wksheet"":""Imputation"",""data_range"":""$C$33:$K$173"",""header"":[""Record ID"",""No."",""Obs"",""Outcome class type"",""Treated_Var2"",""Tre"</definedName>
    <definedName name="xlm_90_2" localSheetId="2" hidden="1">"'ated_Var3"",""Treated_Var4"",""Treated_Var5"",""Treated_Var6""],""has_header"":true,""input_cols"":[{""varName"":""Outcome class type""},{""varName"":""Treated_Var2""},{""varName"":""Treated_Var3""},{""varName"":""Treated_Var4"</definedName>
    <definedName name="xlm_90_3" localSheetId="2" hidden="1">"'""},{""varName"":""Treated_Var5""},{""varName"":""Treated_Var6""}],""cat_cols"":[],""firstRow"":""33"",""rows"":140,""isPartitionSheet"":false,""type"":1,""usePartitionVar"":false,""partitionVar"":null,""useRandomRows"":true,""p"</definedName>
    <definedName name="xlm_90_4" localSheetId="2" hidden="1">"'artitionCode"":1,""setSeed"":true,""seedValue"":12345,""trainPct"":50,""validationPct"":50,""testPct"":0}"</definedName>
    <definedName name="xlm_clnc_1" localSheetId="18" hidden="1">"'{""input_cols"":[{""varName"":""Treated_Var2""},{""varName"":""Treated_Var3""},{""varName"":""Treated_Var4""},{""varName"":""Treated_Var5""},{""varName"":""Treated_Var6""}],""cat_cols"":[],""output_var"":{""varName"":""Outcome cl"</definedName>
    <definedName name="xlm_clnc_1" localSheetId="13" hidden="1">"'{""input_cols"":[{""varName"":""Treated_Var2""},{""varName"":""Treated_Var3""},{""varName"":""Treated_Var4""},{""varName"":""Treated_Var5""},{""varName"":""Treated_Var6""}],""cat_cols"":[],""output_var"":{""varName"":""Outcome cl"</definedName>
    <definedName name="xlm_clnc_1" localSheetId="8" hidden="1">"'{""input_cols"":[{""varName"":""Treated_Var2""},{""varName"":""Treated_Var3""},{""varName"":""Treated_Var4""},{""varName"":""Treated_Var5""},{""varName"":""Treated_Var6""}],""cat_cols"":[],""output_var"":{""varName"":""Outcome cl"</definedName>
    <definedName name="xlm_clnc_1" localSheetId="3" hidden="1">"'{""input_cols"":[{""varName"":""Treated_Var2""},{""varName"":""Treated_Var3""},{""varName"":""Treated_Var4""},{""varName"":""Treated_Var5""},{""varName"":""Treated_Var6""}],""cat_cols"":[],""output_var"":{""varName"":""Outcome cl"</definedName>
    <definedName name="xlm_clnc_2" localSheetId="18" hidden="1">"'ass type""}}"</definedName>
    <definedName name="xlm_clnc_2" localSheetId="13" hidden="1">"'ass type""}}"</definedName>
    <definedName name="xlm_clnc_2" localSheetId="8" hidden="1">"'ass type""}}"</definedName>
    <definedName name="xlm_clnc_2" localSheetId="3" hidden="1">"'ass type""}}"</definedName>
    <definedName name="XLMPartitionAllData" localSheetId="18" hidden="1">"$C$36:$I$176"</definedName>
    <definedName name="XLMPartitionAllData" localSheetId="13" hidden="1">"$C$36:$I$176"</definedName>
    <definedName name="XLMPartitionAllData" localSheetId="8" hidden="1">"$C$36:$I$176"</definedName>
    <definedName name="XLMPartitionAllData" localSheetId="3" hidden="1">"$C$36:$I$176"</definedName>
    <definedName name="XLMPartitionTrainingData" localSheetId="18" hidden="1">"$C$37:$I$120"</definedName>
    <definedName name="XLMPartitionTrainingData" localSheetId="13" hidden="1">"$C$37:$I$134"</definedName>
    <definedName name="XLMPartitionTrainingData" localSheetId="8" hidden="1">"$C$37:$I$148"</definedName>
    <definedName name="XLMPartitionTrainingData" localSheetId="3" hidden="1">"$C$37:$I$141"</definedName>
    <definedName name="XLMPartitionType" localSheetId="18" hidden="1">0</definedName>
    <definedName name="XLMPartitionType" localSheetId="13" hidden="1">0</definedName>
    <definedName name="XLMPartitionType" localSheetId="8" hidden="1">0</definedName>
    <definedName name="XLMPartitionType" localSheetId="3" hidden="1">0</definedName>
    <definedName name="XLMPartitionValidationData" localSheetId="18" hidden="1">"$C$121:$I$176"</definedName>
    <definedName name="XLMPartitionValidationData" localSheetId="13" hidden="1">"$C$135:$I$176"</definedName>
    <definedName name="XLMPartitionValidationData" localSheetId="8" hidden="1">"$C$149:$I$176"</definedName>
    <definedName name="XLMPartitionValidationData" localSheetId="3" hidden="1">"$C$142:$I$176"</definedName>
    <definedName name="XLMPartitionVariableNames" localSheetId="18" hidden="1">"$C$36:$I$36"</definedName>
    <definedName name="XLMPartitionVariableNames" localSheetId="13" hidden="1">"$C$36:$I$36"</definedName>
    <definedName name="XLMPartitionVariableNames" localSheetId="8" hidden="1">"$C$36:$I$36"</definedName>
    <definedName name="XLMPartitionVariableNames" localSheetId="3" hidden="1">"$C$36:$I$36"</definedName>
    <definedName name="XLMPMMLModelRange" localSheetId="22" hidden="1">"$B$12:$B$172"</definedName>
    <definedName name="XLMPMMLModelRange" localSheetId="17" hidden="1">"$B$12:$B$172"</definedName>
    <definedName name="XLMPMMLModelRange" localSheetId="12" hidden="1">"$B$12:$B$172"</definedName>
    <definedName name="XLMPMMLModelRange" localSheetId="7" hidden="1">"$B$12:$B$172"</definedName>
    <definedName name="XLMRasonModelRange" localSheetId="2" hidden="1">"CV1:CV1"</definedName>
    <definedName name="XLMRasonModelRange" localSheetId="24" hidden="1">"CV1:CV1"</definedName>
    <definedName name="XLMRasonModelRange" localSheetId="19" hidden="1">"CV1:CV1"</definedName>
    <definedName name="XLMRasonModelRange" localSheetId="14" hidden="1">"CV1:CV1"</definedName>
    <definedName name="XLMRasonModelRange" localSheetId="9" hidden="1">"CV1:CV1"</definedName>
    <definedName name="XLMRasonModelRange" localSheetId="4" hidden="1">"CV1:CV1"</definedName>
    <definedName name="XLMRasonModelRange" localSheetId="18" hidden="1">"CV1:CV1"</definedName>
    <definedName name="XLMRasonModelRange" localSheetId="13" hidden="1">"CV1:CV1"</definedName>
    <definedName name="XLMRasonModelRange" localSheetId="8" hidden="1">"CV1:CV1"</definedName>
    <definedName name="XLMRasonModelRange" localSheetId="3" hidden="1">"CV1:CV1"</definedName>
    <definedName name="XLMReportData" localSheetId="2" hidden="1">"$C$33:$K$173"</definedName>
    <definedName name="XLMReportData" localSheetId="24" hidden="1">"$C$33:$J$47"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3" l="1"/>
  <c r="D20" i="23"/>
  <c r="F20" i="23" s="1"/>
  <c r="E19" i="23"/>
  <c r="E21" i="23" s="1"/>
  <c r="D19" i="23"/>
  <c r="F19" i="23" s="1"/>
  <c r="E20" i="22"/>
  <c r="D20" i="22"/>
  <c r="F20" i="22" s="1"/>
  <c r="E19" i="22"/>
  <c r="E21" i="22" s="1"/>
  <c r="D19" i="22"/>
  <c r="F19" i="22" s="1"/>
  <c r="E20" i="18"/>
  <c r="D20" i="18"/>
  <c r="F20" i="18" s="1"/>
  <c r="E19" i="18"/>
  <c r="E21" i="18" s="1"/>
  <c r="D19" i="18"/>
  <c r="F19" i="18" s="1"/>
  <c r="E20" i="17"/>
  <c r="D20" i="17"/>
  <c r="F20" i="17" s="1"/>
  <c r="E19" i="17"/>
  <c r="E21" i="17" s="1"/>
  <c r="D19" i="17"/>
  <c r="D21" i="17" s="1"/>
  <c r="F21" i="17" s="1"/>
  <c r="E20" i="13"/>
  <c r="D20" i="13"/>
  <c r="F20" i="13" s="1"/>
  <c r="E19" i="13"/>
  <c r="E21" i="13" s="1"/>
  <c r="D19" i="13"/>
  <c r="F19" i="13" s="1"/>
  <c r="E21" i="12"/>
  <c r="D21" i="12"/>
  <c r="F21" i="12" s="1"/>
  <c r="E20" i="12"/>
  <c r="D20" i="12"/>
  <c r="F20" i="12" s="1"/>
  <c r="E19" i="12"/>
  <c r="D19" i="12"/>
  <c r="F19" i="12" s="1"/>
  <c r="E20" i="8"/>
  <c r="D20" i="8"/>
  <c r="F20" i="8" s="1"/>
  <c r="E19" i="8"/>
  <c r="E21" i="8" s="1"/>
  <c r="D19" i="8"/>
  <c r="F19" i="8" s="1"/>
  <c r="E20" i="7"/>
  <c r="D20" i="7"/>
  <c r="F20" i="7" s="1"/>
  <c r="E19" i="7"/>
  <c r="E21" i="7" s="1"/>
  <c r="D19" i="7"/>
  <c r="D21" i="7" s="1"/>
  <c r="F21" i="7" s="1"/>
  <c r="G136" i="1"/>
  <c r="D127" i="1"/>
  <c r="D21" i="23" l="1"/>
  <c r="F21" i="23" s="1"/>
  <c r="D21" i="22"/>
  <c r="F21" i="22" s="1"/>
  <c r="D21" i="18"/>
  <c r="F21" i="18" s="1"/>
  <c r="F19" i="17"/>
  <c r="D21" i="13"/>
  <c r="F21" i="13" s="1"/>
  <c r="D21" i="8"/>
  <c r="F21" i="8" s="1"/>
  <c r="F19" i="7"/>
</calcChain>
</file>

<file path=xl/sharedStrings.xml><?xml version="1.0" encoding="utf-8"?>
<sst xmlns="http://schemas.openxmlformats.org/spreadsheetml/2006/main" count="2613" uniqueCount="575">
  <si>
    <t>Obs</t>
  </si>
  <si>
    <t>Var2</t>
  </si>
  <si>
    <t>Var3</t>
  </si>
  <si>
    <t>Var4</t>
  </si>
  <si>
    <t>Var5</t>
  </si>
  <si>
    <t>Var6</t>
  </si>
  <si>
    <t>performance of the pilots on various physical and psychological tests.</t>
  </si>
  <si>
    <t>Output Variable: Var 1</t>
  </si>
  <si>
    <t>Input variables: Var 2 to Var 6</t>
  </si>
  <si>
    <t>No. of classes: 2</t>
  </si>
  <si>
    <t>six other categorical variables (var2 - var 6) indicative of the</t>
  </si>
  <si>
    <t>Pilot1</t>
  </si>
  <si>
    <t>Pilot2</t>
  </si>
  <si>
    <t>Pilot3</t>
  </si>
  <si>
    <t>Pilot4</t>
  </si>
  <si>
    <t>Pilot5</t>
  </si>
  <si>
    <t>Pilot6</t>
  </si>
  <si>
    <t>Pilot7</t>
  </si>
  <si>
    <t>Pilot8</t>
  </si>
  <si>
    <t>Pilot9</t>
  </si>
  <si>
    <t>Pilot10</t>
  </si>
  <si>
    <t>Pilot11</t>
  </si>
  <si>
    <t>Pilot12</t>
  </si>
  <si>
    <t>Pilot13</t>
  </si>
  <si>
    <t>Pilot14</t>
  </si>
  <si>
    <t>Pilot15</t>
  </si>
  <si>
    <t>Pilot16</t>
  </si>
  <si>
    <t>Pilot17</t>
  </si>
  <si>
    <t>Pilot18</t>
  </si>
  <si>
    <t>Pilot19</t>
  </si>
  <si>
    <t>Pilot20</t>
  </si>
  <si>
    <t>Pilot21</t>
  </si>
  <si>
    <t>Pilot22</t>
  </si>
  <si>
    <t>Pilot23</t>
  </si>
  <si>
    <t>Pilot24</t>
  </si>
  <si>
    <t>Pilot25</t>
  </si>
  <si>
    <t>Pilot26</t>
  </si>
  <si>
    <t>Pilot27</t>
  </si>
  <si>
    <t>Pilot28</t>
  </si>
  <si>
    <t>Pilot29</t>
  </si>
  <si>
    <t>Pilot30</t>
  </si>
  <si>
    <t>Pilot31</t>
  </si>
  <si>
    <t>Pilot32</t>
  </si>
  <si>
    <t>Pilot33</t>
  </si>
  <si>
    <t>Pilot34</t>
  </si>
  <si>
    <t>Pilot35</t>
  </si>
  <si>
    <t>Pilot36</t>
  </si>
  <si>
    <t>Pilot37</t>
  </si>
  <si>
    <t>Pilot38</t>
  </si>
  <si>
    <t>Pilot39</t>
  </si>
  <si>
    <t>Pilot40</t>
  </si>
  <si>
    <t>Outcome class type</t>
  </si>
  <si>
    <t>Pilot41</t>
  </si>
  <si>
    <t>?</t>
  </si>
  <si>
    <t>Pilot42</t>
  </si>
  <si>
    <t>Pilot43</t>
  </si>
  <si>
    <t>Pilot44</t>
  </si>
  <si>
    <t>Pilot45</t>
  </si>
  <si>
    <t>Pilot46</t>
  </si>
  <si>
    <t>Pilot47</t>
  </si>
  <si>
    <t>Pilot48</t>
  </si>
  <si>
    <t>Pilot49</t>
  </si>
  <si>
    <t>Pilot50</t>
  </si>
  <si>
    <t>Pilot51</t>
  </si>
  <si>
    <t>Pilot52</t>
  </si>
  <si>
    <t>Pilot53</t>
  </si>
  <si>
    <t>Pilot54</t>
  </si>
  <si>
    <t>class type</t>
  </si>
  <si>
    <t xml:space="preserve">No. </t>
  </si>
  <si>
    <t>Pilot55</t>
  </si>
  <si>
    <t>Pilot56</t>
  </si>
  <si>
    <t>Pilot57</t>
  </si>
  <si>
    <t>Pilot58</t>
  </si>
  <si>
    <t>Pilot59</t>
  </si>
  <si>
    <t>Pilot60</t>
  </si>
  <si>
    <t>Pilot61</t>
  </si>
  <si>
    <t>Pilot62</t>
  </si>
  <si>
    <t>Pilot63</t>
  </si>
  <si>
    <t>Pilot64</t>
  </si>
  <si>
    <t>Pilot65</t>
  </si>
  <si>
    <t>Pilot66</t>
  </si>
  <si>
    <t>Pilot67</t>
  </si>
  <si>
    <t>Pilot68</t>
  </si>
  <si>
    <t>Pilot69</t>
  </si>
  <si>
    <t>Pilot70</t>
  </si>
  <si>
    <t>Pilot71</t>
  </si>
  <si>
    <t>Pilot72</t>
  </si>
  <si>
    <t>Pilot73</t>
  </si>
  <si>
    <t>Pilot74</t>
  </si>
  <si>
    <t>Pilot75</t>
  </si>
  <si>
    <t>Pilot76</t>
  </si>
  <si>
    <t>Pilot77</t>
  </si>
  <si>
    <t>Pilot78</t>
  </si>
  <si>
    <t>Pilot79</t>
  </si>
  <si>
    <t>Pilot80</t>
  </si>
  <si>
    <t>Pilot81</t>
  </si>
  <si>
    <t>Pilot82</t>
  </si>
  <si>
    <t>Pilot83</t>
  </si>
  <si>
    <t>Pilot84</t>
  </si>
  <si>
    <t>Pilot85</t>
  </si>
  <si>
    <t>Pilot86</t>
  </si>
  <si>
    <t>Pilot87</t>
  </si>
  <si>
    <t>Pilot88</t>
  </si>
  <si>
    <t>Pilot89</t>
  </si>
  <si>
    <t>Pilot90</t>
  </si>
  <si>
    <t>Pilot91</t>
  </si>
  <si>
    <t>Pilot92</t>
  </si>
  <si>
    <t>Pilot93</t>
  </si>
  <si>
    <t>Pilot94</t>
  </si>
  <si>
    <t>Pilot95</t>
  </si>
  <si>
    <t>Pilot96</t>
  </si>
  <si>
    <t>Pilot97</t>
  </si>
  <si>
    <t>Pilot98</t>
  </si>
  <si>
    <t>Pilot99</t>
  </si>
  <si>
    <t>Pilot100</t>
  </si>
  <si>
    <t>Pilot101</t>
  </si>
  <si>
    <t>Pilot102</t>
  </si>
  <si>
    <t>Pilot103</t>
  </si>
  <si>
    <t>Pilot104</t>
  </si>
  <si>
    <t>Pilot105</t>
  </si>
  <si>
    <t>Pilot106</t>
  </si>
  <si>
    <t>Pilot107</t>
  </si>
  <si>
    <t>Pilot108</t>
  </si>
  <si>
    <t>Pilot109</t>
  </si>
  <si>
    <t>Pilot110</t>
  </si>
  <si>
    <t>Pilot111</t>
  </si>
  <si>
    <t>Pilot112</t>
  </si>
  <si>
    <t>Pilot113</t>
  </si>
  <si>
    <t>Pilot114</t>
  </si>
  <si>
    <t>Pilot115</t>
  </si>
  <si>
    <t>Pilot116</t>
  </si>
  <si>
    <t>Pilot117</t>
  </si>
  <si>
    <t>Pilot118</t>
  </si>
  <si>
    <t>Pilot119</t>
  </si>
  <si>
    <t>Pilot120</t>
  </si>
  <si>
    <t>Pilot121</t>
  </si>
  <si>
    <t>Pilot122</t>
  </si>
  <si>
    <t>Pilot123</t>
  </si>
  <si>
    <t>Pilot124</t>
  </si>
  <si>
    <t>Pilot125</t>
  </si>
  <si>
    <t>Pilot126</t>
  </si>
  <si>
    <t>Pilot127</t>
  </si>
  <si>
    <t>Pilot128</t>
  </si>
  <si>
    <t>Pilot129</t>
  </si>
  <si>
    <t>Pilot130</t>
  </si>
  <si>
    <t>Pilot131</t>
  </si>
  <si>
    <t>Pilot132</t>
  </si>
  <si>
    <t>Pilot133</t>
  </si>
  <si>
    <t>Pilot134</t>
  </si>
  <si>
    <t>Pilot135</t>
  </si>
  <si>
    <t>Pilot136</t>
  </si>
  <si>
    <t>Pilot137</t>
  </si>
  <si>
    <t>Pilot138</t>
  </si>
  <si>
    <t>Pilot139</t>
  </si>
  <si>
    <t>Pilot140</t>
  </si>
  <si>
    <t xml:space="preserve"> </t>
  </si>
  <si>
    <t>Pilot142</t>
  </si>
  <si>
    <t>Pilot143</t>
  </si>
  <si>
    <t>Pilot144</t>
  </si>
  <si>
    <t>Pilot145</t>
  </si>
  <si>
    <t>Pilot146</t>
  </si>
  <si>
    <t>Pilot147</t>
  </si>
  <si>
    <t>Pilot148</t>
  </si>
  <si>
    <t>Pilot149</t>
  </si>
  <si>
    <t>Pilot150</t>
  </si>
  <si>
    <t>Pilot151</t>
  </si>
  <si>
    <t>Pilot152</t>
  </si>
  <si>
    <t>Pilot153</t>
  </si>
  <si>
    <t>Pilot154</t>
  </si>
  <si>
    <t>Pilot155</t>
  </si>
  <si>
    <t>The data are on test results on ﬂying ﬁtness tests for 140 pilots (Var 1). There are</t>
  </si>
  <si>
    <t>Data Science: Missing Data Handling</t>
  </si>
  <si>
    <t>Output Navigator</t>
  </si>
  <si>
    <t>Inputs</t>
  </si>
  <si>
    <t>Transformed Data</t>
  </si>
  <si>
    <t>Data</t>
  </si>
  <si>
    <t>Workbook</t>
  </si>
  <si>
    <t>Worksheet</t>
  </si>
  <si>
    <t>Range</t>
  </si>
  <si>
    <t># Records in the input data</t>
  </si>
  <si>
    <t>Variables</t>
  </si>
  <si>
    <t># Selected Variables</t>
  </si>
  <si>
    <t>Selected Variables</t>
  </si>
  <si>
    <t>Imputer Parameters</t>
  </si>
  <si>
    <t>Variable</t>
  </si>
  <si>
    <t>Reduction Type</t>
  </si>
  <si>
    <t># Records Treated</t>
  </si>
  <si>
    <t>Missing Value Code</t>
  </si>
  <si>
    <t># Output Records</t>
  </si>
  <si>
    <t>#Records Deleted</t>
  </si>
  <si>
    <t>Class Assignment 4 - Flying_Fitness - Student Use Dataset-1.xlsx</t>
  </si>
  <si>
    <t>A1:H141</t>
  </si>
  <si>
    <t>NONE</t>
  </si>
  <si>
    <t>DELETE RECORD</t>
  </si>
  <si>
    <t>MODE</t>
  </si>
  <si>
    <t>Elapsed Times in Milliseconds</t>
  </si>
  <si>
    <t>Data Reading Time</t>
  </si>
  <si>
    <t>Algorithm Time</t>
  </si>
  <si>
    <t>Report Time</t>
  </si>
  <si>
    <t>Total</t>
  </si>
  <si>
    <t>Date: 18-Feb-2025 19:47:51</t>
  </si>
  <si>
    <t>{"comment":"this RASON template was auto-generated by Analytic Solver Data Science","datasources":{},"datasets":{},"estimator":{"imputationEstimator":{"type":"transformation","algorithm":"imputation","parameters":{"imputationStrategy":[["Outcome class type","DELETE_RECORD"],["Var2","MODE"],["Var3","MODE"],["Var4","MODE"],["Var5","MODE"],["Var6","MODE"]],"placeholder":[]}}},"actions":{}}</t>
  </si>
  <si>
    <t>Record ID</t>
  </si>
  <si>
    <t>Treated_Var2</t>
  </si>
  <si>
    <t>Treated_Var3</t>
  </si>
  <si>
    <t>Treated_Var4</t>
  </si>
  <si>
    <t>Treated_Var5</t>
  </si>
  <si>
    <t>Treated_Var6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</si>
  <si>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</si>
  <si>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</si>
  <si>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</si>
  <si>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</si>
  <si>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</si>
  <si>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</si>
  <si>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</si>
  <si>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</si>
  <si>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</si>
  <si>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</si>
  <si>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</si>
  <si>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</si>
  <si>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</si>
  <si>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</si>
  <si>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</si>
  <si>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</si>
  <si>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</si>
  <si>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</si>
  <si>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</si>
  <si>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</si>
  <si>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</si>
  <si>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</si>
  <si>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</si>
  <si>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</si>
  <si>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</si>
  <si>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</si>
  <si>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</si>
  <si>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</si>
  <si>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</si>
  <si>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</si>
  <si>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</si>
  <si>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</si>
  <si>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</si>
  <si>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</si>
  <si>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</si>
  <si>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</si>
  <si>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</si>
  <si>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</si>
  <si>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</si>
  <si>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</si>
  <si>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</si>
  <si>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</si>
  <si>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</si>
  <si>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</si>
  <si>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</si>
  <si>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</si>
  <si>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</si>
  <si>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</si>
  <si>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</si>
  <si>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</si>
  <si>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</si>
  <si>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</si>
  <si>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</si>
  <si>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</si>
  <si>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</si>
  <si>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</si>
  <si>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</si>
  <si>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</si>
  <si>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</si>
  <si>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</si>
  <si>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</si>
  <si>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</si>
  <si>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</si>
  <si>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</si>
  <si>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</si>
  <si>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</si>
  <si>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</si>
  <si>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</si>
  <si>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</si>
  <si>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</si>
  <si>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</si>
  <si>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</si>
  <si>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</si>
  <si>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</si>
  <si>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</si>
  <si>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</si>
  <si>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</si>
  <si>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</si>
  <si>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</si>
  <si>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</si>
  <si>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</si>
  <si>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</si>
  <si>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</si>
  <si>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</si>
  <si>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</si>
  <si>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</si>
  <si>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</si>
  <si>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</si>
  <si>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</si>
  <si>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</si>
  <si>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</si>
  <si>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</si>
  <si>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</si>
  <si>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</si>
  <si>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</si>
  <si>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</si>
  <si>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</si>
  <si>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</si>
  <si>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</si>
  <si>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</si>
  <si>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</si>
  <si>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</si>
  <si>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</si>
  <si>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</si>
  <si>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</si>
  <si>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</si>
  <si>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</si>
  <si>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</si>
  <si>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</si>
  <si>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</si>
  <si>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</si>
  <si>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</si>
  <si>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</si>
  <si>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</si>
  <si>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</si>
  <si>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</si>
  <si>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</si>
  <si>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</si>
  <si>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</si>
  <si>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</si>
  <si>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</si>
  <si>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</si>
  <si>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</si>
  <si>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</si>
  <si>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</si>
  <si>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</si>
  <si>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</si>
  <si>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</si>
  <si>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</si>
  <si>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</si>
  <si>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</si>
  <si>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</si>
  <si>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</si>
  <si>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</si>
  <si>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</si>
  <si>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</si>
  <si>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</si>
  <si>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</si>
  <si>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</si>
  <si>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</si>
  <si>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Data Science: Standard Partitioner</t>
  </si>
  <si>
    <t>Partition Summary</t>
  </si>
  <si>
    <t>Partitioning Parameters</t>
  </si>
  <si>
    <t>Partitioning type</t>
  </si>
  <si>
    <t>Random seed</t>
  </si>
  <si>
    <t>Ratio - Training</t>
  </si>
  <si>
    <t>Ratio - Validation</t>
  </si>
  <si>
    <t>Imputation</t>
  </si>
  <si>
    <t>$C$33:$K$173</t>
  </si>
  <si>
    <t>RANDOM</t>
  </si>
  <si>
    <t>Date: 18-Feb-2025 19:51:17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</si>
  <si>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</si>
  <si>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</si>
  <si>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Partition</t>
  </si>
  <si>
    <t># Records</t>
  </si>
  <si>
    <t>Training</t>
  </si>
  <si>
    <t>Validation</t>
  </si>
  <si>
    <t>Data Science: Naive Bayes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</si>
  <si>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</si>
  <si>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</si>
  <si>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</si>
  <si>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description="NaiveBayesModel"&gt;</t>
  </si>
  <si>
    <t>&lt;Application name="XLMinerSDK" version="25.0.2.0"/&gt;</t>
  </si>
  <si>
    <t>&lt;Timestamp&gt;2025-2-18 19:53:16&lt;/Timestamp&gt;</t>
  </si>
  <si>
    <t>&lt;ModelName/&gt;</t>
  </si>
  <si>
    <t>&lt;/Header&gt;</t>
  </si>
  <si>
    <t>&lt;DataDictionary numberOfFields="6"&gt;</t>
  </si>
  <si>
    <t>&lt;DataField optype="categorical" dataType="string" name="Treated_Var2"/&gt;</t>
  </si>
  <si>
    <t>&lt;DataField optype="categorical" dataType="string" name="Treated_Var3"/&gt;</t>
  </si>
  <si>
    <t>&lt;DataField optype="categorical" dataType="string" name="Treated_Var4"/&gt;</t>
  </si>
  <si>
    <t>&lt;DataField optype="categorical" dataType="string" name="Treated_Var5"/&gt;</t>
  </si>
  <si>
    <t>&lt;DataField optype="categorical" dataType="string" name="Treated_Var6"/&gt;</t>
  </si>
  <si>
    <t>&lt;DataField optype="categorical" dataType="string" name="Outcome class type"&gt;</t>
  </si>
  <si>
    <t>&lt;Value value="0"/&gt;</t>
  </si>
  <si>
    <t>&lt;Value value="1"/&gt;</t>
  </si>
  <si>
    <t>&lt;/DataField&gt;</t>
  </si>
  <si>
    <t>&lt;/DataDictionary&gt;</t>
  </si>
  <si>
    <t>&lt;NaiveBayesModel modelName="NaiveBayesModel" functionName="classification" algorithmName="NaiveBayes"&gt;</t>
  </si>
  <si>
    <t>&lt;MiningSchema&gt;</t>
  </si>
  <si>
    <t>&lt;MiningField name="Outcome class type" usageType="predicted"/&gt;</t>
  </si>
  <si>
    <t>Date: 18-Feb-2025 19:53:16</t>
  </si>
  <si>
    <t>&lt;MiningField name="Treated_Var2" usageType="active"/&gt;</t>
  </si>
  <si>
    <t>&lt;MiningField name="Treated_Var3" usageType="active"/&gt;</t>
  </si>
  <si>
    <t>&lt;MiningField name="Treated_Var4" usageType="active"/&gt;</t>
  </si>
  <si>
    <t>&lt;MiningField name="Treated_Var5" usageType="active"/&gt;</t>
  </si>
  <si>
    <t>&lt;MiningField name="Treated_Var6" usageType="active"/&gt;</t>
  </si>
  <si>
    <t>&lt;/MiningSchema&gt;</t>
  </si>
  <si>
    <t>&lt;Targets&gt;</t>
  </si>
  <si>
    <t>&lt;Target field="Outcome class type" optype="categorical"&gt;</t>
  </si>
  <si>
    <t>&lt;TargetValue value="0" priorProbability="0.6309523809523809"/&gt;</t>
  </si>
  <si>
    <t>&lt;TargetValue value="1" priorProbability="0.3690476190476191"/&gt;</t>
  </si>
  <si>
    <t>&lt;/Target&gt;</t>
  </si>
  <si>
    <t>&lt;/Targets&gt;</t>
  </si>
  <si>
    <t>&lt;BayesInputs&gt;</t>
  </si>
  <si>
    <t>&lt;BayesInput fieldName="Treated_Var2"&gt;</t>
  </si>
  <si>
    <t>&lt;PairCounts value="1"&gt;</t>
  </si>
  <si>
    <t>&lt;TargetValueCounts&gt;</t>
  </si>
  <si>
    <t>&lt;TargetValueCount value="0" count="47"/&gt;</t>
  </si>
  <si>
    <t>&lt;TargetValueCount value="1" count="23"/&gt;</t>
  </si>
  <si>
    <t>&lt;/TargetValueCounts&gt;</t>
  </si>
  <si>
    <t>&lt;/PairCounts&gt;</t>
  </si>
  <si>
    <t>&lt;PairCounts value="2"&gt;</t>
  </si>
  <si>
    <t>&lt;TargetValueCount value="0" count="4"/&gt;</t>
  </si>
  <si>
    <t>&lt;TargetValueCount value="1" count="0"/&gt;</t>
  </si>
  <si>
    <t>&lt;PairCounts value="0"&gt;</t>
  </si>
  <si>
    <t>&lt;TargetValueCount value="0" count="2"/&gt;</t>
  </si>
  <si>
    <t>&lt;TargetValueCount value="1" count="8"/&gt;</t>
  </si>
  <si>
    <t>&lt;/BayesInput&gt;</t>
  </si>
  <si>
    <t>&lt;BayesInput fieldName="Treated_Var3"&gt;</t>
  </si>
  <si>
    <t>&lt;TargetValueCount value="0" count="7"/&gt;</t>
  </si>
  <si>
    <t>&lt;TargetValueCount value="1" count="12"/&gt;</t>
  </si>
  <si>
    <t>&lt;TargetValueCount value="0" count="37"/&gt;</t>
  </si>
  <si>
    <t>&lt;TargetValueCount value="1" count="19"/&gt;</t>
  </si>
  <si>
    <t>&lt;TargetValueCount value="0" count="3"/&gt;</t>
  </si>
  <si>
    <t>&lt;PairCounts value="3"&gt;</t>
  </si>
  <si>
    <t>&lt;TargetValueCount value="0" count="6"/&gt;</t>
  </si>
  <si>
    <t>&lt;BayesInput fieldName="Treated_Var4"&gt;</t>
  </si>
  <si>
    <t>&lt;TargetValueCount value="0" count="33"/&gt;</t>
  </si>
  <si>
    <t>&lt;TargetValueCount value="0" count="19"/&gt;</t>
  </si>
  <si>
    <t>&lt;TargetValueCount value="0" count="1"/&gt;</t>
  </si>
  <si>
    <t>&lt;TargetValueCount value="1" count="1"/&gt;</t>
  </si>
  <si>
    <t>&lt;TargetValueCount value="0" count="0"/&gt;</t>
  </si>
  <si>
    <t>&lt;TargetValueCount value="1" count="3"/&gt;</t>
  </si>
  <si>
    <t>&lt;BayesInput fieldName="Treated_Var5"&gt;</t>
  </si>
  <si>
    <t>&lt;TargetValueCount value="0" count="28"/&gt;</t>
  </si>
  <si>
    <t>&lt;TargetValueCount value="1" count="17"/&gt;</t>
  </si>
  <si>
    <t>&lt;TargetValueCount value="0" count="21"/&gt;</t>
  </si>
  <si>
    <t>&lt;TargetValueCount value="1" count="11"/&gt;</t>
  </si>
  <si>
    <t>&lt;BayesInput fieldName="Treated_Var6"&gt;</t>
  </si>
  <si>
    <t>&lt;TargetValueCount value="0" count="40"/&gt;</t>
  </si>
  <si>
    <t>&lt;TargetValueCount value="1" count="21"/&gt;</t>
  </si>
  <si>
    <t>&lt;TargetValueCount value="0" count="13"/&gt;</t>
  </si>
  <si>
    <t>&lt;TargetValueCount value="1" count="9"/&gt;</t>
  </si>
  <si>
    <t>&lt;/BayesInputs&gt;</t>
  </si>
  <si>
    <t>&lt;BayesOutput fieldName="Outcome class type"&gt;</t>
  </si>
  <si>
    <t>&lt;TargetValueCount value="0" count="53"/&gt;</t>
  </si>
  <si>
    <t>&lt;TargetValueCount value="1" count="31"/&gt;</t>
  </si>
  <si>
    <t>&lt;/BayesOutput&gt;</t>
  </si>
  <si>
    <t>&lt;/NaiveBayesModel&gt;</t>
  </si>
  <si>
    <t>&lt;/PMML&gt;</t>
  </si>
  <si>
    <t>Training: Classification Summary</t>
  </si>
  <si>
    <t>Validation: Classification Summary</t>
  </si>
  <si>
    <t>Data Science: Naive Bayes - Prediction of Validation Data</t>
  </si>
  <si>
    <t>Confusion Matrix</t>
  </si>
  <si>
    <t>Error Report</t>
  </si>
  <si>
    <t>Class</t>
  </si>
  <si>
    <t>Overall</t>
  </si>
  <si>
    <t>Metrics</t>
  </si>
  <si>
    <t>Metric</t>
  </si>
  <si>
    <t>Accuracy (#correct)</t>
  </si>
  <si>
    <t>Accuracy (%correct)</t>
  </si>
  <si>
    <t>Specificity</t>
  </si>
  <si>
    <t>Sensitivity (Recall)</t>
  </si>
  <si>
    <t>Precision</t>
  </si>
  <si>
    <t>F1 score</t>
  </si>
  <si>
    <t>Success Class</t>
  </si>
  <si>
    <t>Success Probability</t>
  </si>
  <si>
    <t># Cases</t>
  </si>
  <si>
    <t>Value</t>
  </si>
  <si>
    <t># Errors</t>
  </si>
  <si>
    <t>% Error</t>
  </si>
  <si>
    <t>Actual\Predicted</t>
  </si>
  <si>
    <t>0</t>
  </si>
  <si>
    <t>1</t>
  </si>
  <si>
    <t>Data Science: Naive Bayes - Prediction of Training Data</t>
  </si>
  <si>
    <t>Data Science: Naive Bayes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</si>
  <si>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</si>
  <si>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</si>
  <si>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</si>
  <si>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</si>
  <si>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</si>
  <si>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</si>
  <si>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Output Variable</t>
  </si>
  <si>
    <t>Naive Bayes: Fitting Parameters</t>
  </si>
  <si>
    <t>Laplace smoothing</t>
  </si>
  <si>
    <t>Smoothing alpha</t>
  </si>
  <si>
    <t>Prior Probability Calculation</t>
  </si>
  <si>
    <t>Naive Bayes: Model Parameters</t>
  </si>
  <si>
    <t># Classes</t>
  </si>
  <si>
    <t>EMPIRICAL</t>
  </si>
  <si>
    <t>STDPartition</t>
  </si>
  <si>
    <t>$C$37:$I$120</t>
  </si>
  <si>
    <t>$C$121:$I$176</t>
  </si>
  <si>
    <t>{"comment":"this RASON template was auto-generated by Analytic Solver Data Science","datasources":{},"datasets":{},"estimator":{"naiveBayesEstimator":{"type":"classification","algorithm":"naiveBayes","parameters":{"laplaceSmoothing":true,"priorProbMethod":"EMPIRICAL","smoothingAlpha":1}}},"actions":{}}</t>
  </si>
  <si>
    <t>Naive Bayes: Reporting Parameters</t>
  </si>
  <si>
    <t>Show prior conditional probability</t>
  </si>
  <si>
    <t>Show log-density</t>
  </si>
  <si>
    <t>Output Options</t>
  </si>
  <si>
    <t>Summary report of scoring on training data</t>
  </si>
  <si>
    <t>Summary report of scoring on validation data</t>
  </si>
  <si>
    <t>Date: 18-Feb-2025 19:59:44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</si>
  <si>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Science","datasources":{},"datasets":{},"transformer":{"partitioner":{"type":"transformation","algorithm":"partitioning","parameters":{"partitionMethod":"RANDOM","ratios":[["Training",0.69999999999999996],["Validation",0.29999999999999999]],"seed":12345}}},"actions":{}}</t>
  </si>
  <si>
    <t>&lt;Timestamp&gt;2025-2-18 20:0:48&lt;/Timestamp&gt;</t>
  </si>
  <si>
    <t>Date: 18-Feb-2025 20:00:48</t>
  </si>
  <si>
    <t>&lt;TargetValue value="0" priorProbability="0.6428571428571429"/&gt;</t>
  </si>
  <si>
    <t>&lt;TargetValue value="1" priorProbability="0.3571428571428572"/&gt;</t>
  </si>
  <si>
    <t>&lt;TargetValueCount value="0" count="54"/&gt;</t>
  </si>
  <si>
    <t>&lt;TargetValueCount value="1" count="26"/&gt;</t>
  </si>
  <si>
    <t>&lt;TargetValueCount value="0" count="5"/&gt;</t>
  </si>
  <si>
    <t>&lt;TargetValueCount value="0" count="9"/&gt;</t>
  </si>
  <si>
    <t>&lt;TargetValueCount value="1" count="13"/&gt;</t>
  </si>
  <si>
    <t>&lt;TargetValueCount value="0" count="41"/&gt;</t>
  </si>
  <si>
    <t>&lt;TargetValueCount value="1" count="22"/&gt;</t>
  </si>
  <si>
    <t>&lt;TargetValueCount value="0" count="22"/&gt;</t>
  </si>
  <si>
    <t>&lt;TargetValueCount value="1" count="4"/&gt;</t>
  </si>
  <si>
    <t>&lt;TargetValueCount value="0" count="29"/&gt;</t>
  </si>
  <si>
    <t>&lt;TargetValueCount value="0" count="45"/&gt;</t>
  </si>
  <si>
    <t>&lt;TargetValueCount value="0" count="18"/&gt;</t>
  </si>
  <si>
    <t>&lt;TargetValueCount value="0" count="63"/&gt;</t>
  </si>
  <si>
    <t>&lt;TargetValueCount value="1" count="35"/&gt;</t>
  </si>
  <si>
    <t>STDPartition1</t>
  </si>
  <si>
    <t>$C$37:$I$134</t>
  </si>
  <si>
    <t>$C$135:$I$176</t>
  </si>
  <si>
    <t>Date: 18-Feb-2025 20:03:18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</si>
  <si>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Science","datasources":{},"datasets":{},"transformer":{"partitioner":{"type":"transformation","algorithm":"partitioning","parameters":{"partitionMethod":"RANDOM","ratios":[["Training",0.80000000000000004],["Validation",0.20000000000000001]],"seed":12345}}},"actions":{}}</t>
  </si>
  <si>
    <t>&lt;Timestamp&gt;2025-2-18 20:4:6&lt;/Timestamp&gt;</t>
  </si>
  <si>
    <t>Date: 18-Feb-2025 20:04:06</t>
  </si>
  <si>
    <t>&lt;TargetValue value="0" priorProbability="0.6517857142857143"/&gt;</t>
  </si>
  <si>
    <t>&lt;TargetValue value="1" priorProbability="0.3482142857142857"/&gt;</t>
  </si>
  <si>
    <t>&lt;TargetValueCount value="0" count="59"/&gt;</t>
  </si>
  <si>
    <t>&lt;TargetValueCount value="1" count="30"/&gt;</t>
  </si>
  <si>
    <t>&lt;TargetValueCount value="0" count="8"/&gt;</t>
  </si>
  <si>
    <t>&lt;TargetValueCount value="1" count="16"/&gt;</t>
  </si>
  <si>
    <t>&lt;TargetValueCount value="0" count="11"/&gt;</t>
  </si>
  <si>
    <t>&lt;TargetValueCount value="0" count="44"/&gt;</t>
  </si>
  <si>
    <t>&lt;TargetValueCount value="1" count="25"/&gt;</t>
  </si>
  <si>
    <t>&lt;TargetValueCount value="0" count="35"/&gt;</t>
  </si>
  <si>
    <t>&lt;TargetValueCount value="0" count="31"/&gt;</t>
  </si>
  <si>
    <t>&lt;TargetValueCount value="0" count="52"/&gt;</t>
  </si>
  <si>
    <t>&lt;TargetValueCount value="1" count="27"/&gt;</t>
  </si>
  <si>
    <t>&lt;TargetValueCount value="0" count="73"/&gt;</t>
  </si>
  <si>
    <t>&lt;TargetValueCount value="1" count="39"/&gt;</t>
  </si>
  <si>
    <t>STDPartition2</t>
  </si>
  <si>
    <t>$C$37:$I$148</t>
  </si>
  <si>
    <t>$C$149:$I$176</t>
  </si>
  <si>
    <t>Date: 18-Feb-2025 20:06:06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</si>
  <si>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Science","datasources":{},"datasets":{},"transformer":{"partitioner":{"type":"transformation","algorithm":"partitioning","parameters":{"partitionMethod":"RANDOM","ratios":[["Training",0.75],["Validation",0.25]],"seed":12345}}},"actions":{}}</t>
  </si>
  <si>
    <t>&lt;Timestamp&gt;2025-2-18 20:6:48&lt;/Timestamp&gt;</t>
  </si>
  <si>
    <t>Date: 18-Feb-2025 20:06:48</t>
  </si>
  <si>
    <t>&lt;TargetValue value="0" priorProbability="0.638095238095238"/&gt;</t>
  </si>
  <si>
    <t>&lt;TargetValue value="1" priorProbability="0.3619047619047619"/&gt;</t>
  </si>
  <si>
    <t>&lt;TargetValueCount value="0" count="56"/&gt;</t>
  </si>
  <si>
    <t>&lt;TargetValueCount value="1" count="29"/&gt;</t>
  </si>
  <si>
    <t>&lt;TargetValueCount value="0" count="43"/&gt;</t>
  </si>
  <si>
    <t>&lt;TargetValueCount value="0" count="10"/&gt;</t>
  </si>
  <si>
    <t>&lt;TargetValueCount value="0" count="23"/&gt;</t>
  </si>
  <si>
    <t>&lt;TargetValueCount value="1" count="24"/&gt;</t>
  </si>
  <si>
    <t>&lt;TargetValueCount value="0" count="48"/&gt;</t>
  </si>
  <si>
    <t>&lt;TargetValueCount value="0" count="67"/&gt;</t>
  </si>
  <si>
    <t>&lt;TargetValueCount value="1" count="38"/&gt;</t>
  </si>
  <si>
    <t>STDPartition3</t>
  </si>
  <si>
    <t>$C$37:$I$141</t>
  </si>
  <si>
    <t>$C$142:$I$176</t>
  </si>
  <si>
    <t>New Data</t>
  </si>
  <si>
    <t>A1:G15</t>
  </si>
  <si>
    <t>Date: 18-Feb-2025 20:14:25</t>
  </si>
  <si>
    <t>{"comment":"this RASON template was auto-generated by Analytic Solver Data Science","datasources":{},"datasets":{},"estimator":{"imputationEstimator":{"type":"transformation","algorithm":"imputation","parameters":{"imputationStrategy":[["Var2","MODE"],["Var3","MODE"],["Var4","MODE"],["Var5","MODE"],["Var6","MODE"],["Outcome class type","DELETE_RECORD"]],"placeholder":[]}}},"actions":{}}</t>
  </si>
  <si>
    <t>Data Science: Scoring New Data - NaiveBayes</t>
  </si>
  <si>
    <t>Scoring</t>
  </si>
  <si>
    <t>Model Variables</t>
  </si>
  <si>
    <t>Variables in New Data</t>
  </si>
  <si>
    <t>Imputation1</t>
  </si>
  <si>
    <t>$C$33:$J$47</t>
  </si>
  <si>
    <t>Date: 18-Feb-2025 20:15:53</t>
  </si>
  <si>
    <t>Prediction: Outcome class type</t>
  </si>
  <si>
    <t>PostProb: 0</t>
  </si>
  <si>
    <t>PostProb: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</si>
</sst>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0" x14ac:knownFonts="1">
    <font>
      <sz val="10"/>
      <name val="Arial"/>
    </font>
    <font>
      <sz val="12"/>
      <name val="Calibri"/>
      <family val="2"/>
      <scheme val="minor"/>
    </font>
    <font>
      <sz val="12"/>
      <color indexed="18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0"/>
      <color rgb="FF4169E1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right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6" fillId="5" borderId="2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1" applyFont="1" applyBorder="1"/>
    <xf numFmtId="0" fontId="9" fillId="4" borderId="7" xfId="0" applyFont="1" applyFill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4" borderId="4" xfId="0" applyFont="1" applyFill="1" applyBorder="1"/>
    <xf numFmtId="0" fontId="4" fillId="0" borderId="7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7" xfId="1" applyFont="1" applyBorder="1"/>
    <xf numFmtId="0" fontId="5" fillId="0" borderId="6" xfId="1" applyFont="1" applyBorder="1"/>
    <xf numFmtId="0" fontId="6" fillId="5" borderId="5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9" fillId="4" borderId="3" xfId="0" applyFont="1" applyFill="1" applyBorder="1"/>
  </cellXfs>
  <cellStyles count="2">
    <cellStyle name="Hyperlink" xfId="1" builtinId="8"/>
    <cellStyle name="Normal" xfId="0" builtinId="0"/>
  </cellStyles>
  <dxfs count="10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295C6-52BC-450A-82E3-8132EAFDE401}" name="Table1" displayName="Table1" ref="C33:K173" totalsRowShown="0" headerRowDxfId="107" dataDxfId="106">
  <autoFilter ref="C33:K173" xr:uid="{ADA295C6-52BC-450A-82E3-8132EAFDE401}"/>
  <tableColumns count="9">
    <tableColumn id="1" xr3:uid="{87A698BC-7CEE-4A74-8042-3FE4E5680A21}" name="Record ID" dataDxfId="105"/>
    <tableColumn id="2" xr3:uid="{6BC85115-A8B3-4E81-B412-BBDD0E456847}" name="No. " dataDxfId="104"/>
    <tableColumn id="3" xr3:uid="{9942C70A-5A6C-4054-8323-53E1719B1B44}" name="Obs" dataDxfId="103"/>
    <tableColumn id="4" xr3:uid="{330493B8-5AE7-4FE3-8EDF-27C37E9595FA}" name="Outcome class type" dataDxfId="102"/>
    <tableColumn id="5" xr3:uid="{B155C9C7-2DFE-4351-81BB-48C2D0CF8509}" name="Treated_Var2" dataDxfId="101"/>
    <tableColumn id="6" xr3:uid="{C9A9DEF5-D389-47EA-BC28-B48025456B82}" name="Treated_Var3" dataDxfId="100"/>
    <tableColumn id="7" xr3:uid="{F52D0902-BFC2-495F-9CA5-E1973EDE362D}" name="Treated_Var4" dataDxfId="99"/>
    <tableColumn id="8" xr3:uid="{19457F96-27E3-4B44-BDF5-5FB91713A165}" name="Treated_Var5" dataDxfId="98"/>
    <tableColumn id="9" xr3:uid="{C66FF011-ADED-4D31-96D8-215E99A85DCF}" name="Treated_Var6" dataDxfId="97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A9F0D82-AFA0-4CB3-9EF1-6BCC9833CE40}" name="Table26" displayName="Table26" ref="C30:D32" totalsRowShown="0">
  <autoFilter ref="C30:D32" xr:uid="{3A9F0D82-AFA0-4CB3-9EF1-6BCC9833CE40}"/>
  <tableColumns count="2">
    <tableColumn id="1" xr3:uid="{A2E7AADE-8CA2-42A8-90B9-4D3ACD70C847}" name="Partition" dataDxfId="96"/>
    <tableColumn id="2" xr3:uid="{EACBCE6C-F64E-4AA0-8C9B-70A8C4F1DBB4}" name="# Records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878A50C-972C-458F-9BD1-4552D71FA77E}" name="Table27" displayName="Table27" ref="C36:I176" totalsRowShown="0" dataDxfId="95">
  <autoFilter ref="C36:I176" xr:uid="{7878A50C-972C-458F-9BD1-4552D71FA77E}"/>
  <tableColumns count="7">
    <tableColumn id="1" xr3:uid="{7BFD60A6-B1AC-40E3-B757-9AAE13F2C660}" name="Record ID" dataDxfId="94"/>
    <tableColumn id="2" xr3:uid="{51141503-70AE-4BC7-B798-547A7D1F7F5E}" name="Outcome class type" dataDxfId="93"/>
    <tableColumn id="3" xr3:uid="{1B5770AD-5233-4F36-AF75-CFCDE78353EE}" name="Treated_Var2" dataDxfId="92"/>
    <tableColumn id="4" xr3:uid="{2EEF4FCB-BF2C-4717-8A1A-2CF6933E9069}" name="Treated_Var3" dataDxfId="91"/>
    <tableColumn id="5" xr3:uid="{C625F99B-5D97-4F36-A2AA-C2279BEEAAD1}" name="Treated_Var4" dataDxfId="90"/>
    <tableColumn id="6" xr3:uid="{F00F6409-3A78-4FDC-B708-C3579F4CCAFF}" name="Treated_Var5" dataDxfId="89"/>
    <tableColumn id="7" xr3:uid="{9A361C44-FB78-4389-B45C-B7AA443272EA}" name="Treated_Var6" dataDxfId="88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96ACF85-A37D-4577-A125-9D0AEB8765A2}" name="Table31" displayName="Table31" ref="C13:E15" totalsRowShown="0" tableBorderDxfId="87">
  <autoFilter ref="C13:E15" xr:uid="{396ACF85-A37D-4577-A125-9D0AEB8765A2}"/>
  <tableColumns count="3">
    <tableColumn id="1" xr3:uid="{B7C25557-CC0F-4E12-ACA3-907A5E2F1361}" name="Actual\Predicted" dataDxfId="86"/>
    <tableColumn id="2" xr3:uid="{ADD273E4-8511-4C55-A451-05E64F24C168}" name="0" dataDxfId="85"/>
    <tableColumn id="3" xr3:uid="{4EB7346E-E802-467F-94B4-66CD7E310095}" name="1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61A7A39-C7D3-4F7A-9735-93A216E4AC4A}" name="Table32" displayName="Table32" ref="C18:F21" totalsRowShown="0" tableBorderDxfId="84">
  <autoFilter ref="C18:F21" xr:uid="{B61A7A39-C7D3-4F7A-9735-93A216E4AC4A}"/>
  <tableColumns count="4">
    <tableColumn id="1" xr3:uid="{2701FC0A-887D-4FE9-BD6F-9E3C85C5EA10}" name="Class" dataDxfId="83"/>
    <tableColumn id="2" xr3:uid="{95E54319-124E-4C63-ADA6-8D1A84D9C144}" name="# Cases"/>
    <tableColumn id="3" xr3:uid="{DFB741EF-5FA5-42F9-A994-F12E4BCEEE49}" name="# Errors"/>
    <tableColumn id="4" xr3:uid="{C4AB6CA5-E979-44CB-8D7C-59F21BA05746}" name="% Error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F128426-A813-418B-A13B-87820B6210D7}" name="Table33" displayName="Table33" ref="C24:D32" totalsRowShown="0" tableBorderDxfId="82">
  <autoFilter ref="C24:D32" xr:uid="{5F128426-A813-418B-A13B-87820B6210D7}"/>
  <tableColumns count="2">
    <tableColumn id="1" xr3:uid="{DD19C96D-31D2-436C-B570-AD569F0B50AC}" name="Metric"/>
    <tableColumn id="2" xr3:uid="{55C080B4-DCE7-41FD-8470-34377CE273C6}" name="Value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68D1BC5-72D5-4FA4-985B-B41CC57764BA}" name="Table28" displayName="Table28" ref="C13:E15" totalsRowShown="0" tableBorderDxfId="81">
  <autoFilter ref="C13:E15" xr:uid="{968D1BC5-72D5-4FA4-985B-B41CC57764BA}"/>
  <tableColumns count="3">
    <tableColumn id="1" xr3:uid="{5046F26E-CF65-4170-8F38-DCAF433AA725}" name="Actual\Predicted" dataDxfId="80"/>
    <tableColumn id="2" xr3:uid="{6E99FEBC-00A0-4A3E-8EFD-042A8CEB413C}" name="0" dataDxfId="79"/>
    <tableColumn id="3" xr3:uid="{C5908DA5-A78C-4388-A587-C95B2614F4DA}" name="1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A217CE-6EAC-4DFF-85EF-885B9E4ECF77}" name="Table29" displayName="Table29" ref="C18:F21" totalsRowShown="0" tableBorderDxfId="78">
  <autoFilter ref="C18:F21" xr:uid="{68A217CE-6EAC-4DFF-85EF-885B9E4ECF77}"/>
  <tableColumns count="4">
    <tableColumn id="1" xr3:uid="{ACC3F13A-7052-4704-8887-EF793FE39EAA}" name="Class" dataDxfId="77"/>
    <tableColumn id="2" xr3:uid="{3FE65B55-DF78-4546-91D7-EE483ABED451}" name="# Cases"/>
    <tableColumn id="3" xr3:uid="{B80C8ECE-81D7-4295-9750-825E7BDAD609}" name="# Errors"/>
    <tableColumn id="4" xr3:uid="{14CA99F6-7E3C-4075-A1A3-E40D6C1563FF}" name="% Error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EB7A4A-D1FC-400F-9FBA-D9329FF96C03}" name="Table30" displayName="Table30" ref="C24:D32" totalsRowShown="0" tableBorderDxfId="76">
  <autoFilter ref="C24:D32" xr:uid="{70EB7A4A-D1FC-400F-9FBA-D9329FF96C03}"/>
  <tableColumns count="2">
    <tableColumn id="1" xr3:uid="{93CAF1BA-65B3-46A9-9B96-B99A82D93381}" name="Metric"/>
    <tableColumn id="2" xr3:uid="{C7643FF7-BFCD-47F9-A20C-CCB164AD47E9}" name="Value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1AB3C6B-2BC6-4DF9-B362-F164BCEBF203}" name="Table18" displayName="Table18" ref="C30:D32" totalsRowShown="0">
  <autoFilter ref="C30:D32" xr:uid="{01AB3C6B-2BC6-4DF9-B362-F164BCEBF203}"/>
  <tableColumns count="2">
    <tableColumn id="1" xr3:uid="{7E2AB98F-DC96-4F4D-B9B0-B8490E3D1066}" name="Partition" dataDxfId="75"/>
    <tableColumn id="2" xr3:uid="{9B4545BF-0985-49DE-AF55-432CF237A7F4}" name="# Records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0C8638-C490-4FE7-97B7-DC3313FDF808}" name="Table19" displayName="Table19" ref="C36:I176" totalsRowShown="0" dataDxfId="74">
  <autoFilter ref="C36:I176" xr:uid="{B20C8638-C490-4FE7-97B7-DC3313FDF808}"/>
  <tableColumns count="7">
    <tableColumn id="1" xr3:uid="{2A1AF5ED-F0E0-45DB-B17A-0FFE00B5C36A}" name="Record ID" dataDxfId="73"/>
    <tableColumn id="2" xr3:uid="{C94F6C2A-8216-4CE5-8780-EA6A360247C6}" name="Outcome class type" dataDxfId="72"/>
    <tableColumn id="3" xr3:uid="{2F9A6F38-2D26-479B-AC81-9CE006A47772}" name="Treated_Var2" dataDxfId="71"/>
    <tableColumn id="4" xr3:uid="{01569265-0FD5-48BB-A59C-D3B624DE3B74}" name="Treated_Var3" dataDxfId="70"/>
    <tableColumn id="5" xr3:uid="{FA99E0CF-A280-42BB-B08A-1522AEDBE5B8}" name="Treated_Var4" dataDxfId="69"/>
    <tableColumn id="6" xr3:uid="{00231895-753A-4679-A7C7-5278CC8A6606}" name="Treated_Var5" dataDxfId="68"/>
    <tableColumn id="7" xr3:uid="{1BC334BB-6529-49C4-A5F5-D8A641795A02}" name="Treated_Var6" dataDxfId="67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E1074F-4C50-469C-8DCA-C121EAC579D6}" name="Table23" displayName="Table23" ref="C13:E15" totalsRowShown="0" tableBorderDxfId="66">
  <autoFilter ref="C13:E15" xr:uid="{00E1074F-4C50-469C-8DCA-C121EAC579D6}"/>
  <tableColumns count="3">
    <tableColumn id="1" xr3:uid="{7000CEA1-39C8-41EE-B568-6AAA9F07C628}" name="Actual\Predicted" dataDxfId="65"/>
    <tableColumn id="2" xr3:uid="{4A83516C-1901-400F-B457-957745F9B6FF}" name="0" dataDxfId="64"/>
    <tableColumn id="3" xr3:uid="{FD5533AA-EEF2-40AB-9E7B-C25C617D7E06}" name="1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AEAE8A7-AE64-441E-B653-BBE5CD509753}" name="Table24" displayName="Table24" ref="C18:F21" totalsRowShown="0" tableBorderDxfId="63">
  <autoFilter ref="C18:F21" xr:uid="{FAEAE8A7-AE64-441E-B653-BBE5CD509753}"/>
  <tableColumns count="4">
    <tableColumn id="1" xr3:uid="{5126963C-BA98-48DC-B41F-99E1BDF68C31}" name="Class" dataDxfId="62"/>
    <tableColumn id="2" xr3:uid="{46BE4585-DE18-440B-9D62-A266F23F0DD6}" name="# Cases"/>
    <tableColumn id="3" xr3:uid="{F8A3F4BC-F196-4F26-842D-31230F68D6C1}" name="# Errors"/>
    <tableColumn id="4" xr3:uid="{1B4538AF-B097-4A79-8A5C-D7B0480A94DB}" name="% Error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FB24756-6694-4766-9E5F-C1A85F4B8028}" name="Table25" displayName="Table25" ref="C24:D32" totalsRowShown="0" tableBorderDxfId="61">
  <autoFilter ref="C24:D32" xr:uid="{9FB24756-6694-4766-9E5F-C1A85F4B8028}"/>
  <tableColumns count="2">
    <tableColumn id="1" xr3:uid="{6864EAA3-C29E-4B0D-96E0-6D8990DB9722}" name="Metric"/>
    <tableColumn id="2" xr3:uid="{00890B6E-DA60-4836-BA42-8B6C15B952D1}" name="Value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67A2CE-A794-4FB3-AF32-CADF459CEF0C}" name="Table20" displayName="Table20" ref="C13:E15" totalsRowShown="0" tableBorderDxfId="60">
  <autoFilter ref="C13:E15" xr:uid="{2C67A2CE-A794-4FB3-AF32-CADF459CEF0C}"/>
  <tableColumns count="3">
    <tableColumn id="1" xr3:uid="{5C8D7F01-B083-4F86-A1A6-4D7F3682C787}" name="Actual\Predicted" dataDxfId="59"/>
    <tableColumn id="2" xr3:uid="{726E4D85-0F56-4543-9FF6-54DDC3591DFA}" name="0" dataDxfId="58"/>
    <tableColumn id="3" xr3:uid="{D6B579BB-1734-4C4C-968E-2B5DC1ACB2B6}" name="1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0BF3E2-FEED-4666-95BE-02FF4C0BF107}" name="Table21" displayName="Table21" ref="C18:F21" totalsRowShown="0" tableBorderDxfId="57">
  <autoFilter ref="C18:F21" xr:uid="{250BF3E2-FEED-4666-95BE-02FF4C0BF107}"/>
  <tableColumns count="4">
    <tableColumn id="1" xr3:uid="{36E4EAC9-A527-4755-A1B2-BA48AC6BBDEC}" name="Class" dataDxfId="56"/>
    <tableColumn id="2" xr3:uid="{31555FD0-9428-4908-8F32-8D1606E28B5D}" name="# Cases"/>
    <tableColumn id="3" xr3:uid="{FCBAD989-9C0C-4596-9B42-2D36463332D7}" name="# Errors"/>
    <tableColumn id="4" xr3:uid="{B31CE0D9-FF6E-4012-8647-BA959CD61580}" name="% Error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DC93125-C0B0-4802-A047-8C45F5B96B37}" name="Table22" displayName="Table22" ref="C24:D32" totalsRowShown="0" tableBorderDxfId="55">
  <autoFilter ref="C24:D32" xr:uid="{2DC93125-C0B0-4802-A047-8C45F5B96B37}"/>
  <tableColumns count="2">
    <tableColumn id="1" xr3:uid="{233E1E49-544F-4E8D-885F-6B4FC8199020}" name="Metric"/>
    <tableColumn id="2" xr3:uid="{4561CC89-030C-4588-88A1-1F63C4944354}" name="Value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705B36-E87E-40A0-A7CF-81650B81F44C}" name="Table10" displayName="Table10" ref="C30:D32" totalsRowShown="0">
  <autoFilter ref="C30:D32" xr:uid="{23705B36-E87E-40A0-A7CF-81650B81F44C}"/>
  <tableColumns count="2">
    <tableColumn id="1" xr3:uid="{CA8855FA-2819-4FFB-A30A-426B6ED748EF}" name="Partition" dataDxfId="54"/>
    <tableColumn id="2" xr3:uid="{651FADB0-8EC2-4C0C-8789-B31FC9DCA6A9}" name="# Records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155B5-D30A-47C5-ACBB-7CA98DCE7D97}" name="Table11" displayName="Table11" ref="C36:I176" totalsRowShown="0" dataDxfId="53">
  <autoFilter ref="C36:I176" xr:uid="{307155B5-D30A-47C5-ACBB-7CA98DCE7D97}"/>
  <tableColumns count="7">
    <tableColumn id="1" xr3:uid="{9713B386-DD1B-45A1-83E5-E7398BF80A5F}" name="Record ID" dataDxfId="52"/>
    <tableColumn id="2" xr3:uid="{1E281FF7-7337-4F49-823E-0B70E0E2892E}" name="Outcome class type" dataDxfId="51"/>
    <tableColumn id="3" xr3:uid="{6C0434D5-0146-4EAB-9EF2-C28AD16059C8}" name="Treated_Var2" dataDxfId="50"/>
    <tableColumn id="4" xr3:uid="{3F6D99C1-4141-414B-916E-F49ECF765FBC}" name="Treated_Var3" dataDxfId="49"/>
    <tableColumn id="5" xr3:uid="{E612CE5F-FF45-4C7B-8E91-526C04681B08}" name="Treated_Var4" dataDxfId="48"/>
    <tableColumn id="6" xr3:uid="{892F30A4-6256-4947-A3DE-B0524DB2C454}" name="Treated_Var5" dataDxfId="47"/>
    <tableColumn id="7" xr3:uid="{F3110C21-D0E2-48A1-BA75-C07FD9E588C4}" name="Treated_Var6" dataDxfId="46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FE115B-7B09-46AD-80BB-FC79BDB95BC7}" name="Table15" displayName="Table15" ref="C13:E15" totalsRowShown="0" tableBorderDxfId="45">
  <autoFilter ref="C13:E15" xr:uid="{71FE115B-7B09-46AD-80BB-FC79BDB95BC7}"/>
  <tableColumns count="3">
    <tableColumn id="1" xr3:uid="{679D745D-21A6-4240-8E57-325CB12A066D}" name="Actual\Predicted" dataDxfId="44"/>
    <tableColumn id="2" xr3:uid="{A33FF3CE-C3B0-4D36-A866-DB42FEB83522}" name="0" dataDxfId="43"/>
    <tableColumn id="3" xr3:uid="{A3302A15-E6EF-469B-9C10-8EFC9464047A}" name="1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B3A745-18F7-42BE-8944-FC7EB51A6C04}" name="Table16" displayName="Table16" ref="C18:F21" totalsRowShown="0" tableBorderDxfId="42">
  <autoFilter ref="C18:F21" xr:uid="{B0B3A745-18F7-42BE-8944-FC7EB51A6C04}"/>
  <tableColumns count="4">
    <tableColumn id="1" xr3:uid="{74F98F58-06E2-4A95-8127-2537FDFEBE2A}" name="Class" dataDxfId="41"/>
    <tableColumn id="2" xr3:uid="{129DB71A-732B-4692-9BE4-B9757D925581}" name="# Cases"/>
    <tableColumn id="3" xr3:uid="{3E5FCFE0-543D-43AF-9F6F-9B00FA2D6BDB}" name="# Errors"/>
    <tableColumn id="4" xr3:uid="{6B6BC34E-6552-4279-836E-D94C27C3891D}" name="% Error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258A13-BE3D-4B88-B152-D5FF68F3AA0B}" name="Table17" displayName="Table17" ref="C24:D32" totalsRowShown="0" tableBorderDxfId="40">
  <autoFilter ref="C24:D32" xr:uid="{27258A13-BE3D-4B88-B152-D5FF68F3AA0B}"/>
  <tableColumns count="2">
    <tableColumn id="1" xr3:uid="{7AA8FC19-C0DC-4E0B-85D9-C29F28A2F354}" name="Metric"/>
    <tableColumn id="2" xr3:uid="{D63307D1-E2C0-4619-B51F-75C91400F186}" name="Value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CF6364-83F2-471E-B88C-DDE2A9E35F58}" name="Table12" displayName="Table12" ref="C13:E15" totalsRowShown="0" tableBorderDxfId="39">
  <autoFilter ref="C13:E15" xr:uid="{3BCF6364-83F2-471E-B88C-DDE2A9E35F58}"/>
  <tableColumns count="3">
    <tableColumn id="1" xr3:uid="{B316192C-A810-4A67-88BF-9872722D1E0A}" name="Actual\Predicted" dataDxfId="38"/>
    <tableColumn id="2" xr3:uid="{D7487523-E9E8-4479-83A1-596AD0369EA6}" name="0" dataDxfId="37"/>
    <tableColumn id="3" xr3:uid="{8F14ECAF-E80A-4A3A-8A9D-B89670DBC948}" name="1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15D2810-F584-4547-8A3D-3E5EF14E9F34}" name="Table13" displayName="Table13" ref="C18:F21" totalsRowShown="0" tableBorderDxfId="36">
  <autoFilter ref="C18:F21" xr:uid="{E15D2810-F584-4547-8A3D-3E5EF14E9F34}"/>
  <tableColumns count="4">
    <tableColumn id="1" xr3:uid="{4C0BD5ED-4878-4F5E-81C9-E1E61B45B335}" name="Class" dataDxfId="35"/>
    <tableColumn id="2" xr3:uid="{0C9EBE82-E890-48C9-A7C0-94BDFECCAE8F}" name="# Cases"/>
    <tableColumn id="3" xr3:uid="{FA70F00E-7CCB-48A6-B904-AD97CA7E6090}" name="# Errors"/>
    <tableColumn id="4" xr3:uid="{EFF3291E-990A-4E31-BD40-6E10F51A5C61}" name="% Error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30DC04-3568-4BBF-AA9C-3436BD7585D9}" name="Table14" displayName="Table14" ref="C24:D32" totalsRowShown="0" tableBorderDxfId="34">
  <autoFilter ref="C24:D32" xr:uid="{9F30DC04-3568-4BBF-AA9C-3436BD7585D9}"/>
  <tableColumns count="2">
    <tableColumn id="1" xr3:uid="{92EE04CD-5F5F-4BB7-BCD0-57698451205F}" name="Metric"/>
    <tableColumn id="2" xr3:uid="{D40059F0-02B1-4D09-885C-6BAA22663354}" name="Value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23BC2-0A4D-4425-AD4A-1546E30C3B12}" name="Table2" displayName="Table2" ref="C30:D32" totalsRowShown="0">
  <autoFilter ref="C30:D32" xr:uid="{3BF23BC2-0A4D-4425-AD4A-1546E30C3B12}"/>
  <tableColumns count="2">
    <tableColumn id="1" xr3:uid="{C34DDDF2-871A-497B-B257-BA893D53BCB6}" name="Partition" dataDxfId="33"/>
    <tableColumn id="2" xr3:uid="{B3F2FCEF-5C17-48DC-ABE2-8B6D9F4257E8}" name="# Records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CE5FD-B393-4B5E-9A8E-5016A767037C}" name="Table3" displayName="Table3" ref="C36:I176" totalsRowShown="0" dataDxfId="32">
  <autoFilter ref="C36:I176" xr:uid="{F7BCE5FD-B393-4B5E-9A8E-5016A767037C}"/>
  <tableColumns count="7">
    <tableColumn id="1" xr3:uid="{734217B3-00BC-4B59-9D75-0A5085E1B563}" name="Record ID" dataDxfId="31"/>
    <tableColumn id="2" xr3:uid="{FD2ED787-9EDF-4456-BDE8-A87B6E583FAA}" name="Outcome class type" dataDxfId="30"/>
    <tableColumn id="3" xr3:uid="{E8A2DEBB-6B73-4AFB-8060-DA38CEC16103}" name="Treated_Var2" dataDxfId="29"/>
    <tableColumn id="4" xr3:uid="{1FAEBF73-BB32-4A31-8448-A10A3E009512}" name="Treated_Var3" dataDxfId="28"/>
    <tableColumn id="5" xr3:uid="{948E06B4-CF36-40C8-BA3C-04A20CA17791}" name="Treated_Var4" dataDxfId="27"/>
    <tableColumn id="6" xr3:uid="{F013E890-54B5-4431-869B-1D2234D4E25B}" name="Treated_Var5" dataDxfId="26"/>
    <tableColumn id="7" xr3:uid="{B120E52D-B9D4-44AE-B6C0-2B58035C20D9}" name="Treated_Var6" dataDxfId="25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3B6E2A-374C-4941-9183-E5116A858B99}" name="Table7" displayName="Table7" ref="C13:E15" totalsRowShown="0" tableBorderDxfId="24">
  <autoFilter ref="C13:E15" xr:uid="{4B3B6E2A-374C-4941-9183-E5116A858B99}"/>
  <tableColumns count="3">
    <tableColumn id="1" xr3:uid="{F16CCBF2-8CB4-45C0-A9CA-65DDD0CA1590}" name="Actual\Predicted" dataDxfId="23"/>
    <tableColumn id="2" xr3:uid="{5F76DB4F-F268-45E9-97D0-55A421EE1D88}" name="0" dataDxfId="22"/>
    <tableColumn id="3" xr3:uid="{CD33E66F-D050-4C65-B8CC-2FF61C4F4898}" name="1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8443A4-3C1D-4866-9EB8-4C6141324B71}" name="Table8" displayName="Table8" ref="C18:F21" totalsRowShown="0" tableBorderDxfId="21">
  <autoFilter ref="C18:F21" xr:uid="{D88443A4-3C1D-4866-9EB8-4C6141324B71}"/>
  <tableColumns count="4">
    <tableColumn id="1" xr3:uid="{B435B6D0-DD52-4E68-9272-006B215F3118}" name="Class" dataDxfId="20"/>
    <tableColumn id="2" xr3:uid="{F0272235-6D01-42D8-B460-D181254DF367}" name="# Cases"/>
    <tableColumn id="3" xr3:uid="{917CB46E-88C9-4C32-A4ED-92EFC6AB4A11}" name="# Errors"/>
    <tableColumn id="4" xr3:uid="{B85E4313-1350-4BC3-85F0-C74B3F8743DB}" name="% Error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5F7E15-C836-493D-BED5-5004D464FEA6}" name="Table9" displayName="Table9" ref="C24:D32" totalsRowShown="0" tableBorderDxfId="19">
  <autoFilter ref="C24:D32" xr:uid="{EF5F7E15-C836-493D-BED5-5004D464FEA6}"/>
  <tableColumns count="2">
    <tableColumn id="1" xr3:uid="{FCD7D27B-99A4-4CA9-BE57-22046668CB62}" name="Metric"/>
    <tableColumn id="2" xr3:uid="{B9D81C00-285A-41A9-9F71-DE89BC6334FA}" name="Value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480FA-7A48-4DDC-B429-A9FFEAC2D8BC}" name="Table4" displayName="Table4" ref="C13:E15" totalsRowShown="0" tableBorderDxfId="18">
  <autoFilter ref="C13:E15" xr:uid="{5C3480FA-7A48-4DDC-B429-A9FFEAC2D8BC}"/>
  <tableColumns count="3">
    <tableColumn id="1" xr3:uid="{4323B932-EB84-4CF1-BA62-2A3DA572F42E}" name="Actual\Predicted" dataDxfId="17"/>
    <tableColumn id="2" xr3:uid="{AAFE2105-EC0B-42FC-8279-B78E5DAB5D53}" name="0" dataDxfId="16"/>
    <tableColumn id="3" xr3:uid="{21B4E2AC-6A28-49BE-8B49-CED63DB6CB06}" name="1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D5B480-FADE-446E-B208-91B1CA7DE87C}" name="Table5" displayName="Table5" ref="C18:F21" totalsRowShown="0" tableBorderDxfId="15">
  <autoFilter ref="C18:F21" xr:uid="{60D5B480-FADE-446E-B208-91B1CA7DE87C}"/>
  <tableColumns count="4">
    <tableColumn id="1" xr3:uid="{5E425AD1-7F26-4782-B7B9-6BFBD114AB10}" name="Class" dataDxfId="14"/>
    <tableColumn id="2" xr3:uid="{9B08978E-07B1-42C4-9285-DF49B7E64E7D}" name="# Cases"/>
    <tableColumn id="3" xr3:uid="{06253850-73C1-4E95-A390-28E5DB9FE9BF}" name="# Errors"/>
    <tableColumn id="4" xr3:uid="{6FCAC21D-81F3-4069-9C47-EEEEB03D079C}" name="% Error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5A479-0E32-4860-84A9-8F60682E44D4}" name="Table6" displayName="Table6" ref="C24:D32" totalsRowShown="0" tableBorderDxfId="13">
  <autoFilter ref="C24:D32" xr:uid="{5EA5A479-0E32-4860-84A9-8F60682E44D4}"/>
  <tableColumns count="2">
    <tableColumn id="1" xr3:uid="{9FBF839F-C66E-47DF-A28D-CAD19C15BB25}" name="Metric"/>
    <tableColumn id="2" xr3:uid="{15BCC6E7-0EFF-4E4F-AB74-83B60A75AFCB}" name="Value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EF8179-B396-4CB1-A483-08F24350DB33}" name="Table42" displayName="Table42" ref="C33:J47" totalsRowShown="0" headerRowDxfId="12" dataDxfId="11">
  <autoFilter ref="C33:J47" xr:uid="{43EF8179-B396-4CB1-A483-08F24350DB33}"/>
  <tableColumns count="8">
    <tableColumn id="1" xr3:uid="{457E1E79-CDBB-4949-8B1C-201F6BEAFCC6}" name="Record ID" dataDxfId="10"/>
    <tableColumn id="2" xr3:uid="{BDD84DEB-5033-4997-8F5B-BE9B1A852DBE}" name="Obs" dataDxfId="9"/>
    <tableColumn id="3" xr3:uid="{06D43DBB-A02E-49BB-A9E2-B0FFF0D3BF35}" name="Treated_Var2" dataDxfId="8"/>
    <tableColumn id="4" xr3:uid="{679FD5A6-D646-4925-A3D2-ECFA9DC4C671}" name="Treated_Var3" dataDxfId="7"/>
    <tableColumn id="5" xr3:uid="{E67D399B-FE1A-4252-A90E-A8E2F576F743}" name="Treated_Var4" dataDxfId="6"/>
    <tableColumn id="6" xr3:uid="{BDE18C7E-01FC-45FB-A2C6-D2BFAC09C7CF}" name="Treated_Var5" dataDxfId="5"/>
    <tableColumn id="7" xr3:uid="{42F834D8-9265-4280-B7DC-B859B2C0A05C}" name="Treated_Var6" dataDxfId="4"/>
    <tableColumn id="8" xr3:uid="{C8085E38-5FE3-4105-9EB1-50D70AA8F35B}" name="Outcome class type" dataDxfId="3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A5CAEB4-B31E-4414-AC8C-5C08705BFDFD}" name="Table43" displayName="Table43" ref="C25:F39" totalsRowShown="0">
  <autoFilter ref="C25:F39" xr:uid="{EA5CAEB4-B31E-4414-AC8C-5C08705BFDFD}"/>
  <tableColumns count="4">
    <tableColumn id="1" xr3:uid="{043D93FD-E53C-4993-AE76-0F7236B7D25F}" name="Record ID" dataDxfId="2"/>
    <tableColumn id="2" xr3:uid="{2CCBFD4D-816E-48C2-9BDB-E7958D9D4A55}" name="Prediction: Outcome class type" dataDxfId="1"/>
    <tableColumn id="3" xr3:uid="{46EF9E4E-B9BA-453D-ACAC-DE05354D4961}" name="PostProb: 0" dataDxfId="0"/>
    <tableColumn id="4" xr3:uid="{E0FAC42D-3C3B-48DD-9B40-897B9F8768AD}" name="PostProb: 1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E5960A-19E1-453D-A15C-15F7E0436036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K8"/>
  <sheetViews>
    <sheetView showGridLines="0" workbookViewId="0">
      <selection activeCell="B2" sqref="B2"/>
    </sheetView>
  </sheetViews>
  <sheetFormatPr defaultColWidth="7.109375" defaultRowHeight="15.6" x14ac:dyDescent="0.3"/>
  <cols>
    <col min="1" max="1" width="7.109375" style="2" customWidth="1"/>
    <col min="2" max="2" width="7.109375" style="2" bestFit="1" customWidth="1"/>
    <col min="3" max="10" width="7.109375" style="2" customWidth="1"/>
    <col min="11" max="11" width="8.33203125" style="2" customWidth="1"/>
    <col min="12" max="12" width="8.109375" style="2" customWidth="1"/>
    <col min="13" max="16384" width="7.109375" style="2"/>
  </cols>
  <sheetData>
    <row r="2" spans="2:11" x14ac:dyDescent="0.3">
      <c r="B2" s="4" t="s">
        <v>170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3">
      <c r="B3" s="4" t="s">
        <v>10</v>
      </c>
      <c r="C3" s="4"/>
      <c r="D3" s="4"/>
      <c r="E3" s="4"/>
      <c r="F3" s="4"/>
      <c r="G3" s="4"/>
      <c r="H3" s="4"/>
      <c r="I3" s="4"/>
      <c r="J3" s="4"/>
      <c r="K3" s="4"/>
    </row>
    <row r="4" spans="2:11" x14ac:dyDescent="0.3">
      <c r="B4" s="4" t="s">
        <v>6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4"/>
      <c r="C5" s="4"/>
      <c r="D5" s="4"/>
      <c r="E5" s="4"/>
      <c r="F5" s="4"/>
      <c r="G5" s="4"/>
      <c r="H5" s="4"/>
      <c r="I5" s="4"/>
      <c r="J5" s="4"/>
      <c r="K5" s="4"/>
    </row>
    <row r="6" spans="2:11" x14ac:dyDescent="0.3">
      <c r="B6" s="4" t="s">
        <v>7</v>
      </c>
      <c r="C6" s="2" t="s">
        <v>67</v>
      </c>
    </row>
    <row r="7" spans="2:11" x14ac:dyDescent="0.3">
      <c r="B7" s="4" t="s">
        <v>8</v>
      </c>
    </row>
    <row r="8" spans="2:11" x14ac:dyDescent="0.3">
      <c r="B8" s="4" t="s">
        <v>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41"/>
  <sheetViews>
    <sheetView workbookViewId="0">
      <pane ySplit="1" topLeftCell="A2" activePane="bottomLeft" state="frozen"/>
      <selection pane="bottomLeft" activeCell="E14" sqref="E14"/>
    </sheetView>
  </sheetViews>
  <sheetFormatPr defaultColWidth="7.109375" defaultRowHeight="15.6" x14ac:dyDescent="0.3"/>
  <cols>
    <col min="1" max="1" width="7.109375" style="2" customWidth="1"/>
    <col min="2" max="2" width="20.21875" style="2" customWidth="1"/>
    <col min="3" max="3" width="11.33203125" style="2" customWidth="1"/>
    <col min="4" max="4" width="10.109375" style="2" customWidth="1"/>
    <col min="5" max="6" width="7.109375" style="2" customWidth="1"/>
    <col min="7" max="7" width="10.109375" style="2" customWidth="1"/>
    <col min="8" max="16384" width="7.109375" style="2"/>
  </cols>
  <sheetData>
    <row r="1" spans="1:8" s="1" customFormat="1" ht="15.75" customHeight="1" x14ac:dyDescent="0.3">
      <c r="A1" s="7" t="s">
        <v>68</v>
      </c>
      <c r="B1" s="3" t="s">
        <v>0</v>
      </c>
      <c r="C1" s="3" t="s">
        <v>51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">
      <c r="A2" s="2">
        <v>1</v>
      </c>
      <c r="B2" s="2" t="s">
        <v>11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1</v>
      </c>
    </row>
    <row r="3" spans="1:8" x14ac:dyDescent="0.3">
      <c r="A3" s="2">
        <v>2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 s="2">
        <v>3</v>
      </c>
      <c r="B4" s="2" t="s">
        <v>13</v>
      </c>
      <c r="C4" s="2">
        <v>0</v>
      </c>
      <c r="D4" s="2">
        <v>2</v>
      </c>
      <c r="E4" s="2">
        <v>1</v>
      </c>
      <c r="F4" s="2">
        <v>1</v>
      </c>
      <c r="G4" s="2">
        <v>1</v>
      </c>
      <c r="H4" s="2">
        <v>1</v>
      </c>
    </row>
    <row r="5" spans="1:8" x14ac:dyDescent="0.3">
      <c r="A5" s="2">
        <v>4</v>
      </c>
      <c r="B5" s="2" t="s">
        <v>14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1</v>
      </c>
    </row>
    <row r="6" spans="1:8" x14ac:dyDescent="0.3">
      <c r="A6" s="2">
        <v>5</v>
      </c>
      <c r="B6" s="2" t="s">
        <v>15</v>
      </c>
      <c r="C6" s="2">
        <v>0</v>
      </c>
      <c r="D6" s="2">
        <v>2</v>
      </c>
      <c r="E6" s="2">
        <v>1</v>
      </c>
      <c r="F6" s="2">
        <v>0</v>
      </c>
      <c r="G6" s="2">
        <v>0</v>
      </c>
      <c r="H6" s="2">
        <v>0</v>
      </c>
    </row>
    <row r="7" spans="1:8" x14ac:dyDescent="0.3">
      <c r="A7" s="2">
        <v>6</v>
      </c>
      <c r="B7" s="2" t="s">
        <v>16</v>
      </c>
      <c r="C7" s="2">
        <v>0</v>
      </c>
      <c r="D7" s="2">
        <v>0</v>
      </c>
      <c r="E7" s="2">
        <v>1</v>
      </c>
      <c r="F7" s="2">
        <v>0</v>
      </c>
      <c r="G7" s="2">
        <v>1</v>
      </c>
      <c r="H7" s="2">
        <v>1</v>
      </c>
    </row>
    <row r="8" spans="1:8" x14ac:dyDescent="0.3">
      <c r="A8" s="2">
        <v>7</v>
      </c>
      <c r="B8" s="2" t="s">
        <v>17</v>
      </c>
      <c r="C8" s="2">
        <v>0</v>
      </c>
      <c r="D8" s="2">
        <v>1</v>
      </c>
      <c r="E8" s="2">
        <v>1</v>
      </c>
      <c r="F8" s="2">
        <v>0</v>
      </c>
      <c r="G8" s="2">
        <v>1</v>
      </c>
      <c r="H8" s="2">
        <v>1</v>
      </c>
    </row>
    <row r="9" spans="1:8" x14ac:dyDescent="0.3">
      <c r="A9" s="2">
        <v>8</v>
      </c>
      <c r="B9" s="2" t="s">
        <v>18</v>
      </c>
      <c r="C9" s="2">
        <v>0</v>
      </c>
      <c r="D9" s="2">
        <v>2</v>
      </c>
      <c r="E9" s="2">
        <v>2</v>
      </c>
      <c r="F9" s="2">
        <v>1</v>
      </c>
      <c r="G9" s="2">
        <v>1</v>
      </c>
      <c r="H9" s="2">
        <v>1</v>
      </c>
    </row>
    <row r="10" spans="1:8" x14ac:dyDescent="0.3">
      <c r="A10" s="2">
        <v>9</v>
      </c>
      <c r="B10" s="2" t="s">
        <v>19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8" x14ac:dyDescent="0.3">
      <c r="A11" s="2">
        <v>10</v>
      </c>
      <c r="B11" s="2" t="s">
        <v>20</v>
      </c>
      <c r="C11" s="2">
        <v>0</v>
      </c>
      <c r="D11" s="2">
        <v>1</v>
      </c>
      <c r="E11" s="2">
        <v>1</v>
      </c>
      <c r="F11" s="2">
        <v>0</v>
      </c>
      <c r="G11" s="2">
        <v>0</v>
      </c>
      <c r="H11" s="2">
        <v>1</v>
      </c>
    </row>
    <row r="12" spans="1:8" x14ac:dyDescent="0.3">
      <c r="A12" s="2">
        <v>11</v>
      </c>
      <c r="B12" s="2" t="s">
        <v>21</v>
      </c>
      <c r="C12" s="2">
        <v>0</v>
      </c>
      <c r="D12" s="2">
        <v>1</v>
      </c>
      <c r="E12" s="2">
        <v>3</v>
      </c>
      <c r="F12" s="2">
        <v>1</v>
      </c>
      <c r="G12" s="2">
        <v>0</v>
      </c>
      <c r="H12" s="2">
        <v>1</v>
      </c>
    </row>
    <row r="13" spans="1:8" x14ac:dyDescent="0.3">
      <c r="A13" s="2">
        <v>12</v>
      </c>
      <c r="B13" s="2" t="s">
        <v>22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x14ac:dyDescent="0.3">
      <c r="A14" s="2">
        <v>13</v>
      </c>
      <c r="B14" s="2" t="s">
        <v>23</v>
      </c>
      <c r="C14" s="2">
        <v>0</v>
      </c>
      <c r="D14" s="2">
        <v>1</v>
      </c>
      <c r="E14" s="2">
        <v>3</v>
      </c>
      <c r="F14" s="2">
        <v>0</v>
      </c>
      <c r="G14" s="2">
        <v>2</v>
      </c>
      <c r="H14" s="2">
        <v>0</v>
      </c>
    </row>
    <row r="15" spans="1:8" x14ac:dyDescent="0.3">
      <c r="A15" s="2">
        <v>14</v>
      </c>
      <c r="B15" s="2" t="s">
        <v>24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</row>
    <row r="16" spans="1:8" x14ac:dyDescent="0.3">
      <c r="A16" s="2">
        <v>15</v>
      </c>
      <c r="B16" s="2" t="s">
        <v>25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</row>
    <row r="17" spans="1:8" x14ac:dyDescent="0.3">
      <c r="A17" s="2">
        <v>16</v>
      </c>
      <c r="B17" s="2" t="s">
        <v>26</v>
      </c>
      <c r="C17" s="2">
        <v>0</v>
      </c>
      <c r="D17" s="2">
        <v>1</v>
      </c>
      <c r="E17" s="2">
        <v>1</v>
      </c>
      <c r="F17" s="2">
        <v>0</v>
      </c>
      <c r="G17" s="2">
        <v>1</v>
      </c>
      <c r="H17" s="2">
        <v>0</v>
      </c>
    </row>
    <row r="18" spans="1:8" x14ac:dyDescent="0.3">
      <c r="A18" s="2">
        <v>17</v>
      </c>
      <c r="B18" s="2" t="s">
        <v>27</v>
      </c>
      <c r="C18" s="2">
        <v>0</v>
      </c>
      <c r="D18" s="2">
        <v>1</v>
      </c>
      <c r="E18" s="2">
        <v>1</v>
      </c>
      <c r="F18" s="2">
        <v>0</v>
      </c>
      <c r="G18" s="2">
        <v>0</v>
      </c>
      <c r="H18" s="2">
        <v>1</v>
      </c>
    </row>
    <row r="19" spans="1:8" x14ac:dyDescent="0.3">
      <c r="A19" s="2">
        <v>18</v>
      </c>
      <c r="B19" s="2" t="s">
        <v>28</v>
      </c>
      <c r="C19" s="2">
        <v>0</v>
      </c>
      <c r="D19" s="2">
        <v>1</v>
      </c>
      <c r="E19" s="2">
        <v>1</v>
      </c>
      <c r="F19" s="2">
        <v>0</v>
      </c>
      <c r="G19" s="2">
        <v>1</v>
      </c>
      <c r="H19" s="2">
        <v>1</v>
      </c>
    </row>
    <row r="20" spans="1:8" x14ac:dyDescent="0.3">
      <c r="A20" s="2">
        <v>19</v>
      </c>
      <c r="B20" s="2" t="s">
        <v>29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>
        <v>0</v>
      </c>
    </row>
    <row r="21" spans="1:8" x14ac:dyDescent="0.3">
      <c r="A21" s="2">
        <v>20</v>
      </c>
      <c r="B21" s="2" t="s">
        <v>30</v>
      </c>
      <c r="C21" s="2">
        <v>0</v>
      </c>
      <c r="D21" s="2">
        <v>0</v>
      </c>
      <c r="E21" s="2">
        <v>1</v>
      </c>
      <c r="F21" s="2">
        <v>2</v>
      </c>
      <c r="G21" s="2">
        <v>1</v>
      </c>
      <c r="H21" s="2">
        <v>1</v>
      </c>
    </row>
    <row r="22" spans="1:8" x14ac:dyDescent="0.3">
      <c r="A22" s="2">
        <v>21</v>
      </c>
      <c r="B22" s="2" t="s">
        <v>31</v>
      </c>
      <c r="C22" s="2">
        <v>1</v>
      </c>
      <c r="D22" s="2">
        <v>1</v>
      </c>
      <c r="E22" s="2">
        <v>0</v>
      </c>
      <c r="F22" s="2">
        <v>0</v>
      </c>
      <c r="G22" s="2">
        <v>2</v>
      </c>
      <c r="H22" s="2">
        <v>1</v>
      </c>
    </row>
    <row r="23" spans="1:8" x14ac:dyDescent="0.3">
      <c r="A23" s="2">
        <v>22</v>
      </c>
      <c r="B23" s="2" t="s">
        <v>32</v>
      </c>
      <c r="C23" s="2">
        <v>1</v>
      </c>
      <c r="D23" s="2">
        <v>1</v>
      </c>
      <c r="E23" s="2">
        <v>1</v>
      </c>
      <c r="F23" s="2">
        <v>0</v>
      </c>
      <c r="G23" s="2">
        <v>1</v>
      </c>
      <c r="H23" s="2">
        <v>1</v>
      </c>
    </row>
    <row r="24" spans="1:8" x14ac:dyDescent="0.3">
      <c r="A24" s="2">
        <v>23</v>
      </c>
      <c r="B24" s="2" t="s">
        <v>33</v>
      </c>
      <c r="C24" s="2">
        <v>1</v>
      </c>
      <c r="D24" s="2">
        <v>1</v>
      </c>
      <c r="E24" s="2">
        <v>1</v>
      </c>
      <c r="F24" s="2">
        <v>2</v>
      </c>
      <c r="G24" s="2">
        <v>2</v>
      </c>
      <c r="H24" s="2">
        <v>1</v>
      </c>
    </row>
    <row r="25" spans="1:8" x14ac:dyDescent="0.3">
      <c r="A25" s="2">
        <v>24</v>
      </c>
      <c r="B25" s="2" t="s">
        <v>34</v>
      </c>
      <c r="C25" s="2">
        <v>1</v>
      </c>
      <c r="D25" s="2">
        <v>1</v>
      </c>
      <c r="E25" s="2">
        <v>0</v>
      </c>
      <c r="F25" s="2">
        <v>0</v>
      </c>
      <c r="G25" s="2">
        <v>1</v>
      </c>
      <c r="H25" s="2">
        <v>1</v>
      </c>
    </row>
    <row r="26" spans="1:8" x14ac:dyDescent="0.3">
      <c r="A26" s="2">
        <v>25</v>
      </c>
      <c r="B26" s="2" t="s">
        <v>35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1</v>
      </c>
    </row>
    <row r="27" spans="1:8" x14ac:dyDescent="0.3">
      <c r="A27" s="2">
        <v>26</v>
      </c>
      <c r="B27" s="2" t="s">
        <v>36</v>
      </c>
      <c r="C27" s="2">
        <v>1</v>
      </c>
      <c r="D27" s="2">
        <v>0</v>
      </c>
      <c r="E27" s="2">
        <v>0</v>
      </c>
      <c r="F27" s="2">
        <v>3</v>
      </c>
      <c r="G27" s="2">
        <v>1</v>
      </c>
      <c r="H27" s="2">
        <v>0</v>
      </c>
    </row>
    <row r="28" spans="1:8" x14ac:dyDescent="0.3">
      <c r="A28" s="2">
        <v>27</v>
      </c>
      <c r="B28" s="2" t="s">
        <v>37</v>
      </c>
      <c r="C28" s="2">
        <v>1</v>
      </c>
      <c r="D28" s="2">
        <v>1</v>
      </c>
      <c r="E28" s="2">
        <v>1</v>
      </c>
      <c r="F28" s="2">
        <v>3</v>
      </c>
      <c r="G28" s="2">
        <v>1</v>
      </c>
      <c r="H28" s="2">
        <v>0</v>
      </c>
    </row>
    <row r="29" spans="1:8" x14ac:dyDescent="0.3">
      <c r="A29" s="2">
        <v>28</v>
      </c>
      <c r="B29" s="2" t="s">
        <v>38</v>
      </c>
      <c r="C29" s="2">
        <v>1</v>
      </c>
      <c r="D29" s="2">
        <v>1</v>
      </c>
      <c r="E29" s="2">
        <v>0</v>
      </c>
      <c r="F29" s="2">
        <v>1</v>
      </c>
      <c r="G29" s="2">
        <v>1</v>
      </c>
      <c r="H29" s="2">
        <v>1</v>
      </c>
    </row>
    <row r="30" spans="1:8" x14ac:dyDescent="0.3">
      <c r="A30" s="2">
        <v>29</v>
      </c>
      <c r="B30" s="2" t="s">
        <v>39</v>
      </c>
      <c r="C30" s="2">
        <v>1</v>
      </c>
      <c r="D30" s="2">
        <v>1</v>
      </c>
      <c r="E30" s="2">
        <v>0</v>
      </c>
      <c r="F30" s="2">
        <v>1</v>
      </c>
      <c r="G30" s="2">
        <v>2</v>
      </c>
      <c r="H30" s="2">
        <v>1</v>
      </c>
    </row>
    <row r="31" spans="1:8" x14ac:dyDescent="0.3">
      <c r="A31" s="2">
        <v>30</v>
      </c>
      <c r="B31" s="2" t="s">
        <v>40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0</v>
      </c>
    </row>
    <row r="32" spans="1:8" x14ac:dyDescent="0.3">
      <c r="A32" s="2">
        <v>31</v>
      </c>
      <c r="B32" s="2" t="s">
        <v>41</v>
      </c>
      <c r="C32" s="2">
        <v>1</v>
      </c>
      <c r="D32" s="2">
        <v>1</v>
      </c>
      <c r="E32" s="2">
        <v>1</v>
      </c>
      <c r="F32" s="2">
        <v>0</v>
      </c>
      <c r="G32" s="2">
        <v>1</v>
      </c>
      <c r="H32" s="2">
        <v>1</v>
      </c>
    </row>
    <row r="33" spans="1:8" x14ac:dyDescent="0.3">
      <c r="A33" s="2">
        <v>32</v>
      </c>
      <c r="B33" s="2" t="s">
        <v>42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0</v>
      </c>
    </row>
    <row r="34" spans="1:8" x14ac:dyDescent="0.3">
      <c r="A34" s="2">
        <v>33</v>
      </c>
      <c r="B34" s="2" t="s">
        <v>43</v>
      </c>
      <c r="C34" s="2">
        <v>1</v>
      </c>
      <c r="D34" s="2">
        <v>0</v>
      </c>
      <c r="E34" s="2">
        <v>1</v>
      </c>
      <c r="F34" s="2">
        <v>1</v>
      </c>
      <c r="G34" s="2">
        <v>2</v>
      </c>
      <c r="H34" s="2">
        <v>1</v>
      </c>
    </row>
    <row r="35" spans="1:8" x14ac:dyDescent="0.3">
      <c r="A35" s="2">
        <v>34</v>
      </c>
      <c r="B35" s="2" t="s">
        <v>44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0</v>
      </c>
    </row>
    <row r="36" spans="1:8" x14ac:dyDescent="0.3">
      <c r="A36" s="2">
        <v>35</v>
      </c>
      <c r="B36" s="2" t="s">
        <v>45</v>
      </c>
      <c r="C36" s="2">
        <v>1</v>
      </c>
      <c r="D36" s="2">
        <v>1</v>
      </c>
      <c r="E36" s="2">
        <v>1</v>
      </c>
      <c r="F36" s="2">
        <v>0</v>
      </c>
      <c r="G36" s="2">
        <v>3</v>
      </c>
      <c r="H36" s="2">
        <v>1</v>
      </c>
    </row>
    <row r="37" spans="1:8" x14ac:dyDescent="0.3">
      <c r="A37" s="2">
        <v>36</v>
      </c>
      <c r="B37" s="2" t="s">
        <v>46</v>
      </c>
      <c r="C37" s="2">
        <v>1</v>
      </c>
      <c r="D37" s="2">
        <v>1</v>
      </c>
      <c r="E37" s="2">
        <v>0</v>
      </c>
      <c r="F37" s="2">
        <v>1</v>
      </c>
      <c r="G37" s="2">
        <v>1</v>
      </c>
      <c r="H37" s="2">
        <v>1</v>
      </c>
    </row>
    <row r="38" spans="1:8" x14ac:dyDescent="0.3">
      <c r="A38" s="2">
        <v>37</v>
      </c>
      <c r="B38" s="2" t="s">
        <v>47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</row>
    <row r="39" spans="1:8" x14ac:dyDescent="0.3">
      <c r="A39" s="2">
        <v>38</v>
      </c>
      <c r="B39" s="2" t="s">
        <v>48</v>
      </c>
      <c r="C39" s="2">
        <v>1</v>
      </c>
      <c r="D39" s="2">
        <v>0</v>
      </c>
      <c r="E39" s="2">
        <v>1</v>
      </c>
      <c r="F39" s="2">
        <v>1</v>
      </c>
      <c r="G39" s="2">
        <v>1</v>
      </c>
      <c r="H39" s="2">
        <v>0</v>
      </c>
    </row>
    <row r="40" spans="1:8" x14ac:dyDescent="0.3">
      <c r="A40" s="2">
        <v>39</v>
      </c>
      <c r="B40" s="2" t="s">
        <v>49</v>
      </c>
      <c r="C40" s="2">
        <v>1</v>
      </c>
      <c r="D40" s="2">
        <v>1</v>
      </c>
      <c r="E40" s="2">
        <v>1</v>
      </c>
      <c r="F40" s="2">
        <v>1</v>
      </c>
      <c r="G40" s="2">
        <v>3</v>
      </c>
      <c r="H40" s="2">
        <v>2</v>
      </c>
    </row>
    <row r="41" spans="1:8" x14ac:dyDescent="0.3">
      <c r="A41" s="2">
        <v>40</v>
      </c>
      <c r="B41" s="2" t="s">
        <v>50</v>
      </c>
      <c r="C41" s="2">
        <v>1</v>
      </c>
      <c r="D41" s="2">
        <v>1</v>
      </c>
      <c r="E41" s="2">
        <v>1</v>
      </c>
      <c r="F41" s="2">
        <v>0</v>
      </c>
      <c r="G41" s="2">
        <v>1</v>
      </c>
      <c r="H41" s="2">
        <v>0</v>
      </c>
    </row>
    <row r="42" spans="1:8" x14ac:dyDescent="0.3">
      <c r="A42" s="2">
        <v>41</v>
      </c>
      <c r="B42" s="2" t="s">
        <v>52</v>
      </c>
      <c r="C42" s="2">
        <v>0</v>
      </c>
      <c r="D42" s="2">
        <v>0</v>
      </c>
      <c r="E42" s="2">
        <v>1</v>
      </c>
      <c r="F42" s="2">
        <v>0</v>
      </c>
      <c r="G42" s="2">
        <v>1</v>
      </c>
      <c r="H42" s="2">
        <v>1</v>
      </c>
    </row>
    <row r="43" spans="1:8" x14ac:dyDescent="0.3">
      <c r="A43" s="2">
        <v>42</v>
      </c>
      <c r="B43" s="2" t="s">
        <v>54</v>
      </c>
      <c r="C43" s="2">
        <v>0</v>
      </c>
      <c r="D43" s="2">
        <v>1</v>
      </c>
      <c r="E43" s="2">
        <v>1</v>
      </c>
      <c r="F43" s="2">
        <v>0</v>
      </c>
      <c r="G43" s="2">
        <v>1</v>
      </c>
      <c r="H43" s="2">
        <v>1</v>
      </c>
    </row>
    <row r="44" spans="1:8" x14ac:dyDescent="0.3">
      <c r="A44" s="2">
        <v>43</v>
      </c>
      <c r="B44" s="2" t="s">
        <v>55</v>
      </c>
      <c r="C44" s="2">
        <v>0</v>
      </c>
      <c r="D44" s="2">
        <v>2</v>
      </c>
      <c r="E44" s="2">
        <v>2</v>
      </c>
      <c r="F44" s="2">
        <v>1</v>
      </c>
      <c r="G44" s="2">
        <v>1</v>
      </c>
      <c r="H44" s="2">
        <v>1</v>
      </c>
    </row>
    <row r="45" spans="1:8" x14ac:dyDescent="0.3">
      <c r="A45" s="2">
        <v>44</v>
      </c>
      <c r="B45" s="2" t="s">
        <v>56</v>
      </c>
      <c r="C45" s="2">
        <v>0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</row>
    <row r="46" spans="1:8" x14ac:dyDescent="0.3">
      <c r="A46" s="2">
        <v>45</v>
      </c>
      <c r="B46" s="2" t="s">
        <v>57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1</v>
      </c>
    </row>
    <row r="47" spans="1:8" x14ac:dyDescent="0.3">
      <c r="A47" s="2">
        <v>46</v>
      </c>
      <c r="B47" s="2" t="s">
        <v>58</v>
      </c>
      <c r="C47" s="2">
        <v>0</v>
      </c>
      <c r="D47" s="2">
        <v>1</v>
      </c>
      <c r="E47" s="2">
        <v>3</v>
      </c>
      <c r="F47" s="2">
        <v>1</v>
      </c>
      <c r="G47" s="2">
        <v>0</v>
      </c>
      <c r="H47" s="2">
        <v>1</v>
      </c>
    </row>
    <row r="48" spans="1:8" x14ac:dyDescent="0.3">
      <c r="A48" s="2">
        <v>47</v>
      </c>
      <c r="B48" s="2" t="s">
        <v>59</v>
      </c>
      <c r="C48" s="2">
        <v>0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</row>
    <row r="49" spans="1:8" x14ac:dyDescent="0.3">
      <c r="A49" s="2">
        <v>48</v>
      </c>
      <c r="B49" s="2" t="s">
        <v>60</v>
      </c>
      <c r="C49" s="2">
        <v>0</v>
      </c>
      <c r="D49" s="2">
        <v>1</v>
      </c>
      <c r="E49" s="2">
        <v>3</v>
      </c>
      <c r="F49" s="2">
        <v>0</v>
      </c>
      <c r="G49" s="2">
        <v>2</v>
      </c>
      <c r="H49" s="2">
        <v>0</v>
      </c>
    </row>
    <row r="50" spans="1:8" x14ac:dyDescent="0.3">
      <c r="A50" s="2">
        <v>49</v>
      </c>
      <c r="B50" s="2" t="s">
        <v>61</v>
      </c>
      <c r="C50" s="2">
        <v>0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</row>
    <row r="51" spans="1:8" x14ac:dyDescent="0.3">
      <c r="A51" s="2">
        <v>50</v>
      </c>
      <c r="B51" s="2" t="s">
        <v>62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1</v>
      </c>
    </row>
    <row r="52" spans="1:8" x14ac:dyDescent="0.3">
      <c r="A52" s="2">
        <v>51</v>
      </c>
      <c r="B52" s="2" t="s">
        <v>63</v>
      </c>
      <c r="C52" s="2">
        <v>0</v>
      </c>
      <c r="D52" s="2">
        <v>1</v>
      </c>
      <c r="E52" s="2">
        <v>1</v>
      </c>
      <c r="F52" s="2">
        <v>0</v>
      </c>
      <c r="G52" s="2">
        <v>1</v>
      </c>
      <c r="H52" s="2">
        <v>0</v>
      </c>
    </row>
    <row r="53" spans="1:8" x14ac:dyDescent="0.3">
      <c r="A53" s="2">
        <v>52</v>
      </c>
      <c r="B53" s="2" t="s">
        <v>64</v>
      </c>
      <c r="C53" s="2">
        <v>0</v>
      </c>
      <c r="D53" s="2">
        <v>1</v>
      </c>
      <c r="E53" s="2">
        <v>1</v>
      </c>
      <c r="F53" s="2">
        <v>0</v>
      </c>
      <c r="G53" s="2">
        <v>0</v>
      </c>
      <c r="H53" s="2">
        <v>1</v>
      </c>
    </row>
    <row r="54" spans="1:8" x14ac:dyDescent="0.3">
      <c r="A54" s="2">
        <v>53</v>
      </c>
      <c r="B54" s="2" t="s">
        <v>65</v>
      </c>
      <c r="C54" s="2">
        <v>1</v>
      </c>
      <c r="D54" s="2">
        <v>0</v>
      </c>
      <c r="E54" s="2">
        <v>0</v>
      </c>
      <c r="F54" s="2">
        <v>1</v>
      </c>
      <c r="G54" s="2">
        <v>2</v>
      </c>
      <c r="H54" s="2">
        <v>1</v>
      </c>
    </row>
    <row r="55" spans="1:8" x14ac:dyDescent="0.3">
      <c r="A55" s="2">
        <v>54</v>
      </c>
      <c r="B55" s="2" t="s">
        <v>66</v>
      </c>
      <c r="C55" s="2">
        <v>1</v>
      </c>
      <c r="D55" s="2">
        <v>0</v>
      </c>
      <c r="E55" s="2">
        <v>0</v>
      </c>
      <c r="F55" s="2">
        <v>3</v>
      </c>
      <c r="G55" s="2">
        <v>1</v>
      </c>
      <c r="H55" s="2">
        <v>0</v>
      </c>
    </row>
    <row r="56" spans="1:8" x14ac:dyDescent="0.3">
      <c r="A56" s="2">
        <v>55</v>
      </c>
      <c r="B56" s="2" t="s">
        <v>69</v>
      </c>
      <c r="C56" s="2">
        <v>1</v>
      </c>
      <c r="D56" s="2">
        <v>1</v>
      </c>
      <c r="E56" s="2">
        <v>1</v>
      </c>
      <c r="F56" s="2">
        <v>3</v>
      </c>
      <c r="G56" s="2">
        <v>1</v>
      </c>
      <c r="H56" s="2">
        <v>0</v>
      </c>
    </row>
    <row r="57" spans="1:8" x14ac:dyDescent="0.3">
      <c r="A57" s="2">
        <v>56</v>
      </c>
      <c r="B57" s="2" t="s">
        <v>70</v>
      </c>
      <c r="C57" s="2">
        <v>1</v>
      </c>
      <c r="D57" s="2">
        <v>1</v>
      </c>
      <c r="E57" s="2">
        <v>0</v>
      </c>
      <c r="F57" s="2">
        <v>1</v>
      </c>
      <c r="G57" s="2">
        <v>1</v>
      </c>
      <c r="H57" s="2">
        <v>1</v>
      </c>
    </row>
    <row r="58" spans="1:8" x14ac:dyDescent="0.3">
      <c r="A58" s="2">
        <v>57</v>
      </c>
      <c r="B58" s="2" t="s">
        <v>71</v>
      </c>
      <c r="C58" s="2">
        <v>1</v>
      </c>
      <c r="D58" s="2">
        <v>1</v>
      </c>
      <c r="E58" s="2">
        <v>0</v>
      </c>
      <c r="F58" s="2">
        <v>1</v>
      </c>
      <c r="G58" s="2">
        <v>2</v>
      </c>
      <c r="H58" s="2">
        <v>1</v>
      </c>
    </row>
    <row r="59" spans="1:8" x14ac:dyDescent="0.3">
      <c r="A59" s="2">
        <v>58</v>
      </c>
      <c r="B59" s="2" t="s">
        <v>72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</row>
    <row r="60" spans="1:8" x14ac:dyDescent="0.3">
      <c r="A60" s="2">
        <v>59</v>
      </c>
      <c r="B60" s="2" t="s">
        <v>73</v>
      </c>
      <c r="C60" s="2">
        <v>1</v>
      </c>
      <c r="D60" s="2">
        <v>1</v>
      </c>
      <c r="E60" s="2">
        <v>1</v>
      </c>
      <c r="F60" s="2">
        <v>0</v>
      </c>
      <c r="G60" s="2">
        <v>1</v>
      </c>
      <c r="H60" s="2">
        <v>1</v>
      </c>
    </row>
    <row r="61" spans="1:8" x14ac:dyDescent="0.3">
      <c r="A61" s="2">
        <v>60</v>
      </c>
      <c r="B61" s="2" t="s">
        <v>74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</row>
    <row r="62" spans="1:8" x14ac:dyDescent="0.3">
      <c r="A62" s="2">
        <v>61</v>
      </c>
      <c r="B62" s="2" t="s">
        <v>75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1</v>
      </c>
    </row>
    <row r="63" spans="1:8" x14ac:dyDescent="0.3">
      <c r="A63" s="2">
        <v>62</v>
      </c>
      <c r="B63" s="2" t="s">
        <v>76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</row>
    <row r="64" spans="1:8" x14ac:dyDescent="0.3">
      <c r="A64" s="2">
        <v>63</v>
      </c>
      <c r="B64" s="2" t="s">
        <v>77</v>
      </c>
      <c r="C64" s="2">
        <v>1</v>
      </c>
      <c r="D64" s="2">
        <v>1</v>
      </c>
      <c r="E64" s="2">
        <v>1</v>
      </c>
      <c r="F64" s="2">
        <v>0</v>
      </c>
      <c r="G64" s="2">
        <v>3</v>
      </c>
      <c r="H64" s="2">
        <v>1</v>
      </c>
    </row>
    <row r="65" spans="1:8" x14ac:dyDescent="0.3">
      <c r="A65" s="2">
        <v>64</v>
      </c>
      <c r="B65" s="2" t="s">
        <v>78</v>
      </c>
      <c r="C65" s="2">
        <v>1</v>
      </c>
      <c r="D65" s="2">
        <v>1</v>
      </c>
      <c r="E65" s="2">
        <v>0</v>
      </c>
      <c r="F65" s="2">
        <v>1</v>
      </c>
      <c r="G65" s="2">
        <v>1</v>
      </c>
      <c r="H65" s="2">
        <v>1</v>
      </c>
    </row>
    <row r="66" spans="1:8" x14ac:dyDescent="0.3">
      <c r="A66" s="2">
        <v>65</v>
      </c>
      <c r="B66" s="2" t="s">
        <v>79</v>
      </c>
      <c r="C66" s="2">
        <v>0</v>
      </c>
      <c r="D66" s="2">
        <v>1</v>
      </c>
      <c r="E66" s="2">
        <v>1</v>
      </c>
      <c r="F66" s="2">
        <v>0</v>
      </c>
      <c r="G66" s="2">
        <v>1</v>
      </c>
      <c r="H66" s="2">
        <v>1</v>
      </c>
    </row>
    <row r="67" spans="1:8" x14ac:dyDescent="0.3">
      <c r="A67" s="2">
        <v>66</v>
      </c>
      <c r="B67" s="2" t="s">
        <v>80</v>
      </c>
      <c r="C67" s="2">
        <v>0</v>
      </c>
      <c r="D67" s="2">
        <v>2</v>
      </c>
      <c r="E67" s="2">
        <v>2</v>
      </c>
      <c r="F67" s="2">
        <v>1</v>
      </c>
      <c r="G67" s="2">
        <v>1</v>
      </c>
      <c r="H67" s="2">
        <v>1</v>
      </c>
    </row>
    <row r="68" spans="1:8" x14ac:dyDescent="0.3">
      <c r="A68" s="2">
        <v>67</v>
      </c>
      <c r="B68" s="2" t="s">
        <v>81</v>
      </c>
      <c r="C68" s="2">
        <v>0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</row>
    <row r="69" spans="1:8" x14ac:dyDescent="0.3">
      <c r="A69" s="2">
        <v>68</v>
      </c>
      <c r="B69" s="2" t="s">
        <v>82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1</v>
      </c>
    </row>
    <row r="70" spans="1:8" x14ac:dyDescent="0.3">
      <c r="A70" s="2">
        <v>69</v>
      </c>
      <c r="B70" s="2" t="s">
        <v>83</v>
      </c>
      <c r="C70" s="2">
        <v>0</v>
      </c>
      <c r="D70" s="2">
        <v>1</v>
      </c>
      <c r="E70" s="2">
        <v>3</v>
      </c>
      <c r="F70" s="2">
        <v>1</v>
      </c>
      <c r="G70" s="2">
        <v>0</v>
      </c>
      <c r="H70" s="2">
        <v>1</v>
      </c>
    </row>
    <row r="71" spans="1:8" x14ac:dyDescent="0.3">
      <c r="A71" s="2">
        <v>70</v>
      </c>
      <c r="B71" s="2" t="s">
        <v>84</v>
      </c>
      <c r="C71" s="2">
        <v>0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</row>
    <row r="72" spans="1:8" x14ac:dyDescent="0.3">
      <c r="A72" s="2">
        <v>71</v>
      </c>
      <c r="B72" s="2" t="s">
        <v>85</v>
      </c>
      <c r="C72" s="2">
        <v>0</v>
      </c>
      <c r="D72" s="2">
        <v>1</v>
      </c>
      <c r="E72" s="2">
        <v>3</v>
      </c>
      <c r="F72" s="2">
        <v>0</v>
      </c>
      <c r="G72" s="2">
        <v>2</v>
      </c>
      <c r="H72" s="2">
        <v>0</v>
      </c>
    </row>
    <row r="73" spans="1:8" x14ac:dyDescent="0.3">
      <c r="A73" s="2">
        <v>72</v>
      </c>
      <c r="B73" s="2" t="s">
        <v>86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</row>
    <row r="74" spans="1:8" x14ac:dyDescent="0.3">
      <c r="A74" s="2">
        <v>73</v>
      </c>
      <c r="B74" s="2" t="s">
        <v>87</v>
      </c>
      <c r="C74" s="2">
        <v>0</v>
      </c>
      <c r="D74" s="2">
        <v>1</v>
      </c>
      <c r="E74" s="2">
        <v>0</v>
      </c>
      <c r="F74" s="2">
        <v>1</v>
      </c>
      <c r="G74" s="2">
        <v>0</v>
      </c>
      <c r="H74" s="2">
        <v>1</v>
      </c>
    </row>
    <row r="75" spans="1:8" x14ac:dyDescent="0.3">
      <c r="A75" s="2">
        <v>74</v>
      </c>
      <c r="B75" s="2" t="s">
        <v>88</v>
      </c>
      <c r="C75" s="2">
        <v>0</v>
      </c>
      <c r="D75" s="2">
        <v>1</v>
      </c>
      <c r="E75" s="2">
        <v>1</v>
      </c>
      <c r="F75" s="2">
        <v>0</v>
      </c>
      <c r="G75" s="2">
        <v>1</v>
      </c>
      <c r="H75" s="2">
        <v>0</v>
      </c>
    </row>
    <row r="76" spans="1:8" x14ac:dyDescent="0.3">
      <c r="A76" s="2">
        <v>75</v>
      </c>
      <c r="B76" s="2" t="s">
        <v>89</v>
      </c>
      <c r="C76" s="2">
        <v>0</v>
      </c>
      <c r="D76" s="2">
        <v>1</v>
      </c>
      <c r="E76" s="2">
        <v>1</v>
      </c>
      <c r="F76" s="2">
        <v>0</v>
      </c>
      <c r="G76" s="2">
        <v>0</v>
      </c>
      <c r="H76" s="2">
        <v>1</v>
      </c>
    </row>
    <row r="77" spans="1:8" x14ac:dyDescent="0.3">
      <c r="A77" s="2">
        <v>76</v>
      </c>
      <c r="B77" s="2" t="s">
        <v>90</v>
      </c>
      <c r="C77" s="2">
        <v>0</v>
      </c>
      <c r="D77" s="2">
        <v>1</v>
      </c>
      <c r="E77" s="2">
        <v>1</v>
      </c>
      <c r="F77" s="2">
        <v>0</v>
      </c>
      <c r="G77" s="2">
        <v>1</v>
      </c>
      <c r="H77" s="2">
        <v>1</v>
      </c>
    </row>
    <row r="78" spans="1:8" x14ac:dyDescent="0.3">
      <c r="A78" s="2">
        <v>77</v>
      </c>
      <c r="B78" s="2" t="s">
        <v>91</v>
      </c>
      <c r="C78" s="2">
        <v>1</v>
      </c>
      <c r="D78" s="2">
        <v>1</v>
      </c>
      <c r="E78" s="2">
        <v>0</v>
      </c>
      <c r="F78" s="2">
        <v>1</v>
      </c>
      <c r="G78" s="2">
        <v>1</v>
      </c>
      <c r="H78" s="2">
        <v>1</v>
      </c>
    </row>
    <row r="79" spans="1:8" x14ac:dyDescent="0.3">
      <c r="A79" s="2">
        <v>78</v>
      </c>
      <c r="B79" s="2" t="s">
        <v>92</v>
      </c>
      <c r="C79" s="2">
        <v>1</v>
      </c>
      <c r="D79" s="2">
        <v>1</v>
      </c>
      <c r="E79" s="2">
        <v>0</v>
      </c>
      <c r="F79" s="2">
        <v>1</v>
      </c>
      <c r="G79" s="2">
        <v>2</v>
      </c>
      <c r="H79" s="2">
        <v>1</v>
      </c>
    </row>
    <row r="80" spans="1:8" x14ac:dyDescent="0.3">
      <c r="A80" s="2">
        <v>79</v>
      </c>
      <c r="B80" s="2" t="s">
        <v>93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0</v>
      </c>
    </row>
    <row r="81" spans="1:8" x14ac:dyDescent="0.3">
      <c r="A81" s="2">
        <v>80</v>
      </c>
      <c r="B81" s="2" t="s">
        <v>94</v>
      </c>
      <c r="C81" s="2">
        <v>1</v>
      </c>
      <c r="D81" s="2">
        <v>1</v>
      </c>
      <c r="E81" s="2">
        <v>1</v>
      </c>
      <c r="F81" s="2">
        <v>0</v>
      </c>
      <c r="G81" s="2">
        <v>1</v>
      </c>
      <c r="H81" s="2">
        <v>1</v>
      </c>
    </row>
    <row r="82" spans="1:8" x14ac:dyDescent="0.3">
      <c r="A82" s="2">
        <v>81</v>
      </c>
      <c r="B82" s="2" t="s">
        <v>95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0</v>
      </c>
    </row>
    <row r="83" spans="1:8" x14ac:dyDescent="0.3">
      <c r="A83" s="2">
        <v>82</v>
      </c>
      <c r="B83" s="2" t="s">
        <v>96</v>
      </c>
      <c r="C83" s="2">
        <v>1</v>
      </c>
      <c r="D83" s="2">
        <v>0</v>
      </c>
      <c r="E83" s="2">
        <v>1</v>
      </c>
      <c r="F83" s="2">
        <v>1</v>
      </c>
      <c r="G83" s="2">
        <v>2</v>
      </c>
      <c r="H83" s="2">
        <v>1</v>
      </c>
    </row>
    <row r="84" spans="1:8" x14ac:dyDescent="0.3">
      <c r="A84" s="2">
        <v>83</v>
      </c>
      <c r="B84" s="2" t="s">
        <v>97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0</v>
      </c>
    </row>
    <row r="85" spans="1:8" x14ac:dyDescent="0.3">
      <c r="A85" s="2">
        <v>84</v>
      </c>
      <c r="B85" s="2" t="s">
        <v>98</v>
      </c>
      <c r="C85" s="2">
        <v>1</v>
      </c>
      <c r="D85" s="2">
        <v>1</v>
      </c>
      <c r="E85" s="2">
        <v>1</v>
      </c>
      <c r="F85" s="2">
        <v>0</v>
      </c>
      <c r="G85" s="2">
        <v>3</v>
      </c>
      <c r="H85" s="2">
        <v>1</v>
      </c>
    </row>
    <row r="86" spans="1:8" x14ac:dyDescent="0.3">
      <c r="A86" s="2">
        <v>85</v>
      </c>
      <c r="B86" s="2" t="s">
        <v>99</v>
      </c>
      <c r="C86" s="2">
        <v>1</v>
      </c>
      <c r="D86" s="2">
        <v>1</v>
      </c>
      <c r="E86" s="2">
        <v>0</v>
      </c>
      <c r="F86" s="2">
        <v>1</v>
      </c>
      <c r="G86" s="2">
        <v>1</v>
      </c>
      <c r="H86" s="2">
        <v>1</v>
      </c>
    </row>
    <row r="87" spans="1:8" x14ac:dyDescent="0.3">
      <c r="A87" s="2">
        <v>86</v>
      </c>
      <c r="B87" s="2" t="s">
        <v>100</v>
      </c>
      <c r="C87" s="2">
        <v>0</v>
      </c>
      <c r="D87" s="2">
        <v>1</v>
      </c>
      <c r="E87" s="2">
        <v>1</v>
      </c>
      <c r="F87" s="2">
        <v>0</v>
      </c>
      <c r="G87" s="2">
        <v>1</v>
      </c>
      <c r="H87" s="2">
        <v>1</v>
      </c>
    </row>
    <row r="88" spans="1:8" x14ac:dyDescent="0.3">
      <c r="A88" s="2">
        <v>87</v>
      </c>
      <c r="B88" s="2" t="s">
        <v>101</v>
      </c>
      <c r="C88" s="2">
        <v>0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</row>
    <row r="89" spans="1:8" x14ac:dyDescent="0.3">
      <c r="A89" s="2">
        <v>88</v>
      </c>
      <c r="B89" s="2" t="s">
        <v>102</v>
      </c>
      <c r="C89" s="2">
        <v>0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</row>
    <row r="90" spans="1:8" x14ac:dyDescent="0.3">
      <c r="A90" s="2">
        <v>89</v>
      </c>
      <c r="B90" s="2" t="s">
        <v>103</v>
      </c>
      <c r="C90" s="2">
        <v>0</v>
      </c>
      <c r="D90" s="2">
        <v>1</v>
      </c>
      <c r="E90" s="2">
        <v>1</v>
      </c>
      <c r="F90" s="2">
        <v>0</v>
      </c>
      <c r="G90" s="2">
        <v>0</v>
      </c>
      <c r="H90" s="2">
        <v>1</v>
      </c>
    </row>
    <row r="91" spans="1:8" x14ac:dyDescent="0.3">
      <c r="A91" s="2">
        <v>90</v>
      </c>
      <c r="B91" s="2" t="s">
        <v>104</v>
      </c>
      <c r="C91" s="2">
        <v>0</v>
      </c>
      <c r="D91" s="2">
        <v>1</v>
      </c>
      <c r="E91" s="2">
        <v>3</v>
      </c>
      <c r="F91" s="2">
        <v>1</v>
      </c>
      <c r="G91" s="2">
        <v>0</v>
      </c>
      <c r="H91" s="2">
        <v>1</v>
      </c>
    </row>
    <row r="92" spans="1:8" x14ac:dyDescent="0.3">
      <c r="A92" s="2">
        <v>91</v>
      </c>
      <c r="B92" s="2" t="s">
        <v>105</v>
      </c>
      <c r="C92" s="2">
        <v>0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</row>
    <row r="93" spans="1:8" x14ac:dyDescent="0.3">
      <c r="A93" s="2">
        <v>92</v>
      </c>
      <c r="B93" s="2" t="s">
        <v>106</v>
      </c>
      <c r="C93" s="2">
        <v>0</v>
      </c>
      <c r="D93" s="2">
        <v>1</v>
      </c>
      <c r="E93" s="2">
        <v>3</v>
      </c>
      <c r="F93" s="2">
        <v>0</v>
      </c>
      <c r="G93" s="2">
        <v>2</v>
      </c>
      <c r="H93" s="2">
        <v>0</v>
      </c>
    </row>
    <row r="94" spans="1:8" x14ac:dyDescent="0.3">
      <c r="A94" s="2">
        <v>93</v>
      </c>
      <c r="B94" s="2" t="s">
        <v>107</v>
      </c>
      <c r="C94" s="2">
        <v>0</v>
      </c>
      <c r="D94" s="2">
        <v>1</v>
      </c>
      <c r="E94" s="2">
        <v>1</v>
      </c>
      <c r="F94" s="2">
        <v>0</v>
      </c>
      <c r="G94" s="2">
        <v>0</v>
      </c>
      <c r="H94" s="2">
        <v>0</v>
      </c>
    </row>
    <row r="95" spans="1:8" x14ac:dyDescent="0.3">
      <c r="A95" s="2">
        <v>94</v>
      </c>
      <c r="B95" s="2" t="s">
        <v>108</v>
      </c>
      <c r="C95" s="2">
        <v>0</v>
      </c>
      <c r="D95" s="2">
        <v>1</v>
      </c>
      <c r="E95" s="2">
        <v>0</v>
      </c>
      <c r="F95" s="2">
        <v>1</v>
      </c>
      <c r="G95" s="2">
        <v>0</v>
      </c>
      <c r="H95" s="2">
        <v>1</v>
      </c>
    </row>
    <row r="96" spans="1:8" x14ac:dyDescent="0.3">
      <c r="A96" s="2">
        <v>95</v>
      </c>
      <c r="B96" s="2" t="s">
        <v>109</v>
      </c>
      <c r="C96" s="2">
        <v>0</v>
      </c>
      <c r="D96" s="2">
        <v>1</v>
      </c>
      <c r="E96" s="2">
        <v>1</v>
      </c>
      <c r="F96" s="2">
        <v>0</v>
      </c>
      <c r="G96" s="2">
        <v>1</v>
      </c>
      <c r="H96" s="2">
        <v>0</v>
      </c>
    </row>
    <row r="97" spans="1:8" x14ac:dyDescent="0.3">
      <c r="A97" s="2">
        <v>96</v>
      </c>
      <c r="B97" s="2" t="s">
        <v>110</v>
      </c>
      <c r="C97" s="2">
        <v>0</v>
      </c>
      <c r="D97" s="2">
        <v>1</v>
      </c>
      <c r="E97" s="2">
        <v>1</v>
      </c>
      <c r="F97" s="2">
        <v>0</v>
      </c>
      <c r="G97" s="2">
        <v>0</v>
      </c>
      <c r="H97" s="2">
        <v>1</v>
      </c>
    </row>
    <row r="98" spans="1:8" x14ac:dyDescent="0.3">
      <c r="A98" s="2">
        <v>97</v>
      </c>
      <c r="B98" s="2" t="s">
        <v>111</v>
      </c>
      <c r="C98" s="2">
        <v>0</v>
      </c>
      <c r="D98" s="2">
        <v>1</v>
      </c>
      <c r="E98" s="2">
        <v>1</v>
      </c>
      <c r="F98" s="2">
        <v>0</v>
      </c>
      <c r="G98" s="2">
        <v>1</v>
      </c>
      <c r="H98" s="2">
        <v>1</v>
      </c>
    </row>
    <row r="99" spans="1:8" x14ac:dyDescent="0.3">
      <c r="A99" s="2">
        <v>98</v>
      </c>
      <c r="B99" s="2" t="s">
        <v>112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1</v>
      </c>
    </row>
    <row r="100" spans="1:8" x14ac:dyDescent="0.3">
      <c r="A100" s="2">
        <v>99</v>
      </c>
      <c r="B100" s="2" t="s">
        <v>113</v>
      </c>
      <c r="C100" s="2">
        <v>0</v>
      </c>
      <c r="D100" s="2">
        <v>2</v>
      </c>
      <c r="E100" s="2">
        <v>2</v>
      </c>
      <c r="F100" s="2">
        <v>1</v>
      </c>
      <c r="G100" s="2">
        <v>1</v>
      </c>
      <c r="H100" s="2">
        <v>1</v>
      </c>
    </row>
    <row r="101" spans="1:8" x14ac:dyDescent="0.3">
      <c r="A101" s="2">
        <v>100</v>
      </c>
      <c r="B101" s="2" t="s">
        <v>114</v>
      </c>
      <c r="C101" s="2">
        <v>0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</row>
    <row r="102" spans="1:8" x14ac:dyDescent="0.3">
      <c r="A102" s="2">
        <v>101</v>
      </c>
      <c r="B102" s="2" t="s">
        <v>115</v>
      </c>
      <c r="C102" s="2">
        <v>0</v>
      </c>
      <c r="D102" s="2">
        <v>1</v>
      </c>
      <c r="E102" s="2">
        <v>1</v>
      </c>
      <c r="F102" s="2">
        <v>0</v>
      </c>
      <c r="G102" s="2">
        <v>0</v>
      </c>
      <c r="H102" s="2">
        <v>1</v>
      </c>
    </row>
    <row r="103" spans="1:8" x14ac:dyDescent="0.3">
      <c r="A103" s="2">
        <v>102</v>
      </c>
      <c r="B103" s="2" t="s">
        <v>116</v>
      </c>
      <c r="C103" s="2">
        <v>0</v>
      </c>
      <c r="D103" s="2">
        <v>1</v>
      </c>
      <c r="E103" s="2">
        <v>3</v>
      </c>
      <c r="F103" s="2">
        <v>1</v>
      </c>
      <c r="G103" s="2">
        <v>0</v>
      </c>
      <c r="H103" s="2">
        <v>1</v>
      </c>
    </row>
    <row r="104" spans="1:8" x14ac:dyDescent="0.3">
      <c r="A104" s="2">
        <v>103</v>
      </c>
      <c r="B104" s="2" t="s">
        <v>117</v>
      </c>
      <c r="C104" s="2">
        <v>0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</row>
    <row r="105" spans="1:8" x14ac:dyDescent="0.3">
      <c r="A105" s="2">
        <v>104</v>
      </c>
      <c r="B105" s="2" t="s">
        <v>118</v>
      </c>
      <c r="C105" s="2">
        <v>0</v>
      </c>
      <c r="D105" s="2">
        <v>1</v>
      </c>
      <c r="E105" s="2">
        <v>3</v>
      </c>
      <c r="F105" s="2">
        <v>0</v>
      </c>
      <c r="G105" s="2">
        <v>2</v>
      </c>
      <c r="H105" s="2">
        <v>0</v>
      </c>
    </row>
    <row r="106" spans="1:8" x14ac:dyDescent="0.3">
      <c r="A106" s="2">
        <v>105</v>
      </c>
      <c r="B106" s="2" t="s">
        <v>119</v>
      </c>
      <c r="C106" s="2">
        <v>0</v>
      </c>
      <c r="D106" s="2">
        <v>1</v>
      </c>
      <c r="E106" s="2">
        <v>1</v>
      </c>
      <c r="F106" s="2">
        <v>0</v>
      </c>
      <c r="G106" s="2">
        <v>0</v>
      </c>
      <c r="H106" s="2">
        <v>0</v>
      </c>
    </row>
    <row r="107" spans="1:8" x14ac:dyDescent="0.3">
      <c r="A107" s="2">
        <v>106</v>
      </c>
      <c r="B107" s="2" t="s">
        <v>120</v>
      </c>
      <c r="C107" s="2">
        <v>0</v>
      </c>
      <c r="D107" s="2">
        <v>1</v>
      </c>
      <c r="E107" s="2">
        <v>0</v>
      </c>
      <c r="F107" s="2">
        <v>1</v>
      </c>
      <c r="G107" s="2">
        <v>0</v>
      </c>
      <c r="H107" s="2">
        <v>1</v>
      </c>
    </row>
    <row r="108" spans="1:8" x14ac:dyDescent="0.3">
      <c r="A108" s="2">
        <v>107</v>
      </c>
      <c r="B108" s="2" t="s">
        <v>121</v>
      </c>
      <c r="C108" s="2">
        <v>0</v>
      </c>
      <c r="D108" s="2">
        <v>1</v>
      </c>
      <c r="E108" s="2">
        <v>1</v>
      </c>
      <c r="F108" s="2">
        <v>0</v>
      </c>
      <c r="G108" s="2">
        <v>1</v>
      </c>
      <c r="H108" s="2">
        <v>0</v>
      </c>
    </row>
    <row r="109" spans="1:8" x14ac:dyDescent="0.3">
      <c r="A109" s="2">
        <v>108</v>
      </c>
      <c r="B109" s="2" t="s">
        <v>122</v>
      </c>
      <c r="C109" s="2">
        <v>0</v>
      </c>
      <c r="D109" s="2">
        <v>1</v>
      </c>
      <c r="E109" s="2">
        <v>1</v>
      </c>
      <c r="F109" s="2">
        <v>0</v>
      </c>
      <c r="G109" s="2">
        <v>0</v>
      </c>
      <c r="H109" s="2">
        <v>1</v>
      </c>
    </row>
    <row r="110" spans="1:8" x14ac:dyDescent="0.3">
      <c r="A110" s="2">
        <v>109</v>
      </c>
      <c r="B110" s="2" t="s">
        <v>123</v>
      </c>
      <c r="C110" s="2">
        <v>0</v>
      </c>
      <c r="D110" s="2">
        <v>1</v>
      </c>
      <c r="E110" s="2">
        <v>1</v>
      </c>
      <c r="F110" s="2">
        <v>0</v>
      </c>
      <c r="G110" s="2">
        <v>1</v>
      </c>
      <c r="H110" s="2">
        <v>1</v>
      </c>
    </row>
    <row r="111" spans="1:8" x14ac:dyDescent="0.3">
      <c r="A111" s="2">
        <v>110</v>
      </c>
      <c r="B111" s="2" t="s">
        <v>124</v>
      </c>
      <c r="C111" s="2">
        <v>0</v>
      </c>
      <c r="D111" s="2">
        <v>1</v>
      </c>
      <c r="E111" s="2">
        <v>1</v>
      </c>
      <c r="F111" s="2">
        <v>0</v>
      </c>
      <c r="G111" s="2">
        <v>1</v>
      </c>
      <c r="H111" s="2">
        <v>1</v>
      </c>
    </row>
    <row r="112" spans="1:8" x14ac:dyDescent="0.3">
      <c r="A112" s="2">
        <v>111</v>
      </c>
      <c r="B112" s="2" t="s">
        <v>125</v>
      </c>
      <c r="C112" s="2">
        <v>0</v>
      </c>
      <c r="D112" s="2">
        <v>2</v>
      </c>
      <c r="E112" s="2">
        <v>2</v>
      </c>
      <c r="F112" s="2">
        <v>1</v>
      </c>
      <c r="G112" s="2">
        <v>1</v>
      </c>
      <c r="H112" s="2">
        <v>1</v>
      </c>
    </row>
    <row r="113" spans="1:8" x14ac:dyDescent="0.3">
      <c r="A113" s="2">
        <v>112</v>
      </c>
      <c r="B113" s="2" t="s">
        <v>126</v>
      </c>
      <c r="C113" s="2">
        <v>0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</row>
    <row r="114" spans="1:8" x14ac:dyDescent="0.3">
      <c r="A114" s="2">
        <v>113</v>
      </c>
      <c r="B114" s="2" t="s">
        <v>127</v>
      </c>
      <c r="C114" s="2">
        <v>0</v>
      </c>
      <c r="D114" s="2">
        <v>1</v>
      </c>
      <c r="E114" s="2">
        <v>1</v>
      </c>
      <c r="F114" s="2">
        <v>0</v>
      </c>
      <c r="G114" s="2">
        <v>0</v>
      </c>
      <c r="H114" s="2">
        <v>1</v>
      </c>
    </row>
    <row r="115" spans="1:8" x14ac:dyDescent="0.3">
      <c r="A115" s="2">
        <v>114</v>
      </c>
      <c r="B115" s="2" t="s">
        <v>128</v>
      </c>
      <c r="C115" s="2">
        <v>0</v>
      </c>
      <c r="D115" s="2">
        <v>1</v>
      </c>
      <c r="E115" s="2">
        <v>3</v>
      </c>
      <c r="F115" s="2">
        <v>1</v>
      </c>
      <c r="G115" s="2">
        <v>0</v>
      </c>
      <c r="H115" s="2">
        <v>1</v>
      </c>
    </row>
    <row r="116" spans="1:8" x14ac:dyDescent="0.3">
      <c r="A116" s="2">
        <v>115</v>
      </c>
      <c r="B116" s="2" t="s">
        <v>129</v>
      </c>
      <c r="C116" s="2">
        <v>0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</row>
    <row r="117" spans="1:8" x14ac:dyDescent="0.3">
      <c r="A117" s="2">
        <v>116</v>
      </c>
      <c r="B117" s="2" t="s">
        <v>130</v>
      </c>
      <c r="C117" s="2">
        <v>0</v>
      </c>
      <c r="D117" s="2">
        <v>1</v>
      </c>
      <c r="E117" s="2">
        <v>3</v>
      </c>
      <c r="F117" s="2">
        <v>0</v>
      </c>
      <c r="G117" s="2">
        <v>2</v>
      </c>
      <c r="H117" s="2">
        <v>0</v>
      </c>
    </row>
    <row r="118" spans="1:8" x14ac:dyDescent="0.3">
      <c r="A118" s="2">
        <v>117</v>
      </c>
      <c r="B118" s="2" t="s">
        <v>131</v>
      </c>
      <c r="C118" s="2">
        <v>0</v>
      </c>
      <c r="D118" s="2">
        <v>1</v>
      </c>
      <c r="E118" s="2">
        <v>1</v>
      </c>
      <c r="F118" s="2">
        <v>0</v>
      </c>
      <c r="G118" s="2">
        <v>0</v>
      </c>
      <c r="H118" s="2">
        <v>0</v>
      </c>
    </row>
    <row r="119" spans="1:8" x14ac:dyDescent="0.3">
      <c r="A119" s="2">
        <v>118</v>
      </c>
      <c r="B119" s="2" t="s">
        <v>132</v>
      </c>
      <c r="C119" s="2">
        <v>0</v>
      </c>
      <c r="D119" s="2">
        <v>1</v>
      </c>
      <c r="E119" s="2">
        <v>0</v>
      </c>
      <c r="F119" s="2">
        <v>1</v>
      </c>
      <c r="G119" s="2">
        <v>0</v>
      </c>
      <c r="H119" s="2">
        <v>1</v>
      </c>
    </row>
    <row r="120" spans="1:8" x14ac:dyDescent="0.3">
      <c r="A120" s="2">
        <v>119</v>
      </c>
      <c r="B120" s="2" t="s">
        <v>133</v>
      </c>
      <c r="C120" s="2">
        <v>0</v>
      </c>
      <c r="D120" s="2">
        <v>1</v>
      </c>
      <c r="E120" s="2">
        <v>1</v>
      </c>
      <c r="F120" s="2">
        <v>0</v>
      </c>
      <c r="G120" s="2">
        <v>1</v>
      </c>
      <c r="H120" s="2">
        <v>0</v>
      </c>
    </row>
    <row r="121" spans="1:8" x14ac:dyDescent="0.3">
      <c r="A121" s="2">
        <v>120</v>
      </c>
      <c r="B121" s="2" t="s">
        <v>134</v>
      </c>
      <c r="C121" s="2">
        <v>0</v>
      </c>
      <c r="D121" s="2">
        <v>1</v>
      </c>
      <c r="E121" s="2">
        <v>1</v>
      </c>
      <c r="F121" s="2">
        <v>0</v>
      </c>
      <c r="G121" s="2">
        <v>0</v>
      </c>
      <c r="H121" s="2">
        <v>1</v>
      </c>
    </row>
    <row r="122" spans="1:8" x14ac:dyDescent="0.3">
      <c r="A122" s="2">
        <v>121</v>
      </c>
      <c r="B122" s="2" t="s">
        <v>135</v>
      </c>
      <c r="C122" s="2">
        <v>0</v>
      </c>
      <c r="D122" s="2">
        <v>1</v>
      </c>
      <c r="E122" s="2">
        <v>1</v>
      </c>
      <c r="F122" s="2">
        <v>0</v>
      </c>
      <c r="G122" s="2">
        <v>1</v>
      </c>
      <c r="H122" s="2">
        <v>1</v>
      </c>
    </row>
    <row r="123" spans="1:8" x14ac:dyDescent="0.3">
      <c r="A123" s="2">
        <v>122</v>
      </c>
      <c r="B123" s="2" t="s">
        <v>136</v>
      </c>
      <c r="C123" s="2">
        <v>0</v>
      </c>
      <c r="D123" s="2">
        <v>1</v>
      </c>
      <c r="E123" s="2">
        <v>1</v>
      </c>
      <c r="F123" s="2">
        <v>0</v>
      </c>
      <c r="G123" s="2">
        <v>1</v>
      </c>
      <c r="H123" s="2">
        <v>1</v>
      </c>
    </row>
    <row r="124" spans="1:8" x14ac:dyDescent="0.3">
      <c r="A124" s="2">
        <v>123</v>
      </c>
      <c r="B124" s="2" t="s">
        <v>137</v>
      </c>
      <c r="C124" s="2">
        <v>0</v>
      </c>
      <c r="D124" s="2">
        <v>2</v>
      </c>
      <c r="E124" s="2">
        <v>2</v>
      </c>
      <c r="F124" s="2">
        <v>1</v>
      </c>
      <c r="G124" s="2">
        <v>1</v>
      </c>
      <c r="H124" s="2">
        <v>1</v>
      </c>
    </row>
    <row r="125" spans="1:8" x14ac:dyDescent="0.3">
      <c r="A125" s="2">
        <v>124</v>
      </c>
      <c r="B125" s="2" t="s">
        <v>138</v>
      </c>
      <c r="C125" s="2">
        <v>0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</row>
    <row r="126" spans="1:8" x14ac:dyDescent="0.3">
      <c r="A126" s="2">
        <v>125</v>
      </c>
      <c r="B126" s="2" t="s">
        <v>139</v>
      </c>
      <c r="C126" s="2">
        <v>0</v>
      </c>
      <c r="D126" s="2">
        <v>1</v>
      </c>
      <c r="E126" s="2">
        <v>1</v>
      </c>
      <c r="F126" s="2">
        <v>0</v>
      </c>
      <c r="G126" s="2">
        <v>0</v>
      </c>
      <c r="H126" s="2">
        <v>1</v>
      </c>
    </row>
    <row r="127" spans="1:8" x14ac:dyDescent="0.3">
      <c r="A127" s="2">
        <v>126</v>
      </c>
      <c r="B127" s="2" t="s">
        <v>140</v>
      </c>
      <c r="C127" s="2">
        <v>0</v>
      </c>
      <c r="D127" s="2" t="e">
        <f>1/0</f>
        <v>#DIV/0!</v>
      </c>
      <c r="E127" s="2">
        <v>3</v>
      </c>
      <c r="F127" s="2">
        <v>1</v>
      </c>
      <c r="G127" s="2">
        <v>0</v>
      </c>
      <c r="H127" s="2">
        <v>1</v>
      </c>
    </row>
    <row r="128" spans="1:8" x14ac:dyDescent="0.3">
      <c r="A128" s="2">
        <v>127</v>
      </c>
      <c r="B128" s="2" t="s">
        <v>141</v>
      </c>
      <c r="C128" s="2">
        <v>0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</row>
    <row r="129" spans="1:8" x14ac:dyDescent="0.3">
      <c r="A129" s="2">
        <v>128</v>
      </c>
      <c r="B129" s="2" t="s">
        <v>142</v>
      </c>
      <c r="C129" s="2">
        <v>0</v>
      </c>
      <c r="D129" s="2">
        <v>1</v>
      </c>
      <c r="E129" s="2">
        <v>3</v>
      </c>
      <c r="F129" s="2">
        <v>0</v>
      </c>
      <c r="G129" s="2">
        <v>2</v>
      </c>
      <c r="H129" s="2">
        <v>0</v>
      </c>
    </row>
    <row r="130" spans="1:8" x14ac:dyDescent="0.3">
      <c r="A130" s="2">
        <v>129</v>
      </c>
      <c r="B130" s="2" t="s">
        <v>143</v>
      </c>
      <c r="C130" s="2">
        <v>0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</row>
    <row r="131" spans="1:8" x14ac:dyDescent="0.3">
      <c r="A131" s="2">
        <v>130</v>
      </c>
      <c r="B131" s="2" t="s">
        <v>144</v>
      </c>
      <c r="C131" s="2">
        <v>0</v>
      </c>
      <c r="D131" s="2">
        <v>1</v>
      </c>
      <c r="E131" s="2">
        <v>0</v>
      </c>
      <c r="F131" s="2">
        <v>1</v>
      </c>
      <c r="G131" s="2">
        <v>0</v>
      </c>
      <c r="H131" s="2">
        <v>1</v>
      </c>
    </row>
    <row r="132" spans="1:8" x14ac:dyDescent="0.3">
      <c r="A132" s="2">
        <v>131</v>
      </c>
      <c r="B132" s="2" t="s">
        <v>145</v>
      </c>
      <c r="C132" s="2">
        <v>0</v>
      </c>
      <c r="D132" s="2">
        <v>1</v>
      </c>
      <c r="E132" s="2">
        <v>1</v>
      </c>
      <c r="F132" s="2">
        <v>0</v>
      </c>
      <c r="G132" s="2">
        <v>1</v>
      </c>
      <c r="H132" s="2">
        <v>0</v>
      </c>
    </row>
    <row r="133" spans="1:8" x14ac:dyDescent="0.3">
      <c r="A133" s="2">
        <v>132</v>
      </c>
      <c r="B133" s="2" t="s">
        <v>146</v>
      </c>
      <c r="C133" s="2">
        <v>0</v>
      </c>
      <c r="D133" s="2">
        <v>1</v>
      </c>
      <c r="E133" s="2">
        <v>1</v>
      </c>
      <c r="F133" s="2">
        <v>0</v>
      </c>
      <c r="G133" s="2">
        <v>0</v>
      </c>
      <c r="H133" s="2">
        <v>1</v>
      </c>
    </row>
    <row r="134" spans="1:8" x14ac:dyDescent="0.3">
      <c r="A134" s="2">
        <v>133</v>
      </c>
      <c r="B134" s="2" t="s">
        <v>147</v>
      </c>
      <c r="C134" s="2">
        <v>0</v>
      </c>
      <c r="D134" s="2">
        <v>1</v>
      </c>
      <c r="E134" s="2">
        <v>1</v>
      </c>
      <c r="F134" s="2">
        <v>0</v>
      </c>
      <c r="G134" s="2">
        <v>1</v>
      </c>
      <c r="H134" s="2">
        <v>1</v>
      </c>
    </row>
    <row r="135" spans="1:8" x14ac:dyDescent="0.3">
      <c r="A135" s="2">
        <v>134</v>
      </c>
      <c r="B135" s="2" t="s">
        <v>148</v>
      </c>
      <c r="C135" s="2">
        <v>1</v>
      </c>
      <c r="D135" s="2">
        <v>0</v>
      </c>
      <c r="E135" s="2">
        <v>1</v>
      </c>
      <c r="F135" s="2">
        <v>1</v>
      </c>
      <c r="G135" s="2">
        <v>2</v>
      </c>
      <c r="H135" s="2">
        <v>1</v>
      </c>
    </row>
    <row r="136" spans="1:8" x14ac:dyDescent="0.3">
      <c r="A136" s="2">
        <v>135</v>
      </c>
      <c r="B136" s="2" t="s">
        <v>149</v>
      </c>
      <c r="C136" s="2">
        <v>1</v>
      </c>
      <c r="D136" s="2">
        <v>1</v>
      </c>
      <c r="E136" s="2">
        <v>1</v>
      </c>
      <c r="F136" s="2">
        <v>1</v>
      </c>
      <c r="G136" s="2" t="e">
        <f>1/0</f>
        <v>#DIV/0!</v>
      </c>
      <c r="H136" s="2">
        <v>0</v>
      </c>
    </row>
    <row r="137" spans="1:8" x14ac:dyDescent="0.3">
      <c r="A137" s="2">
        <v>136</v>
      </c>
      <c r="B137" s="2" t="s">
        <v>150</v>
      </c>
      <c r="C137" s="2">
        <v>1</v>
      </c>
      <c r="D137" s="2">
        <v>1</v>
      </c>
      <c r="E137" s="2">
        <v>1</v>
      </c>
      <c r="F137" s="2">
        <v>0</v>
      </c>
      <c r="H137" s="2">
        <v>1</v>
      </c>
    </row>
    <row r="138" spans="1:8" x14ac:dyDescent="0.3">
      <c r="A138" s="2">
        <v>137</v>
      </c>
      <c r="B138" s="2" t="s">
        <v>151</v>
      </c>
      <c r="C138" s="2">
        <v>1</v>
      </c>
      <c r="D138" s="2">
        <v>1</v>
      </c>
      <c r="E138" s="2">
        <v>0</v>
      </c>
      <c r="F138" s="2">
        <v>1</v>
      </c>
      <c r="G138" s="2">
        <v>1</v>
      </c>
      <c r="H138" s="2">
        <v>1</v>
      </c>
    </row>
    <row r="139" spans="1:8" x14ac:dyDescent="0.3">
      <c r="A139" s="2">
        <v>138</v>
      </c>
      <c r="B139" s="2" t="s">
        <v>152</v>
      </c>
      <c r="C139" s="2">
        <v>1</v>
      </c>
      <c r="D139" s="2">
        <v>1</v>
      </c>
      <c r="E139" s="2">
        <v>0</v>
      </c>
      <c r="F139" s="2">
        <v>1</v>
      </c>
      <c r="G139" s="2">
        <v>1</v>
      </c>
      <c r="H139" s="2">
        <v>1</v>
      </c>
    </row>
    <row r="140" spans="1:8" x14ac:dyDescent="0.3">
      <c r="A140" s="2">
        <v>139</v>
      </c>
      <c r="B140" s="2" t="s">
        <v>153</v>
      </c>
      <c r="C140" s="2">
        <v>1</v>
      </c>
      <c r="D140" s="2">
        <v>1</v>
      </c>
      <c r="E140" s="2">
        <v>0</v>
      </c>
      <c r="F140" s="2">
        <v>1</v>
      </c>
      <c r="G140" s="2">
        <v>1</v>
      </c>
      <c r="H140" s="2">
        <v>1</v>
      </c>
    </row>
    <row r="141" spans="1:8" x14ac:dyDescent="0.3">
      <c r="A141" s="2">
        <v>140</v>
      </c>
      <c r="B141" s="2" t="s">
        <v>154</v>
      </c>
      <c r="C141" s="2">
        <v>1</v>
      </c>
      <c r="D141" s="2">
        <v>1</v>
      </c>
      <c r="E141" s="2" t="s">
        <v>155</v>
      </c>
      <c r="F141" s="2">
        <v>1</v>
      </c>
      <c r="G141" s="2">
        <v>1</v>
      </c>
      <c r="H141" s="2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8042-C2A1-4526-80CB-BEE89290E1E3}">
  <dimension ref="B1:CV173"/>
  <sheetViews>
    <sheetView showGridLines="0" topLeftCell="A14" workbookViewId="0">
      <selection activeCell="F47" sqref="F47"/>
    </sheetView>
  </sheetViews>
  <sheetFormatPr defaultRowHeight="13.2" x14ac:dyDescent="0.25"/>
  <cols>
    <col min="3" max="3" width="11.5546875" customWidth="1"/>
    <col min="6" max="6" width="20.109375" customWidth="1"/>
    <col min="7" max="9" width="14.5546875" customWidth="1"/>
    <col min="10" max="10" width="29.109375" bestFit="1" customWidth="1"/>
    <col min="11" max="11" width="14.5546875" customWidth="1"/>
  </cols>
  <sheetData>
    <row r="1" spans="2:100" ht="18" x14ac:dyDescent="0.35">
      <c r="B1" s="8" t="s">
        <v>171</v>
      </c>
      <c r="N1" t="s">
        <v>200</v>
      </c>
      <c r="CV1" s="14" t="s">
        <v>201</v>
      </c>
    </row>
    <row r="3" spans="2:100" ht="15.6" x14ac:dyDescent="0.3">
      <c r="B3" s="22" t="s">
        <v>172</v>
      </c>
      <c r="C3" s="23"/>
      <c r="D3" s="23"/>
      <c r="E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174</v>
      </c>
      <c r="E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91</v>
      </c>
      <c r="K5" s="11">
        <v>15</v>
      </c>
      <c r="L5" s="11">
        <v>3</v>
      </c>
      <c r="M5" s="11">
        <v>109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175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191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140</v>
      </c>
      <c r="G16" s="17"/>
      <c r="H16" s="17"/>
      <c r="I16" s="17"/>
    </row>
    <row r="18" spans="2:13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2:13" ht="13.8" x14ac:dyDescent="0.3">
      <c r="C19" s="18" t="s">
        <v>181</v>
      </c>
      <c r="D19" s="18"/>
      <c r="E19" s="19"/>
      <c r="F19" s="17">
        <v>8</v>
      </c>
      <c r="G19" s="17"/>
      <c r="H19" s="17"/>
      <c r="I19" s="17"/>
      <c r="J19" s="17"/>
      <c r="K19" s="17"/>
      <c r="L19" s="17"/>
      <c r="M19" s="17"/>
    </row>
    <row r="20" spans="2:13" ht="13.8" x14ac:dyDescent="0.3">
      <c r="C20" s="18" t="s">
        <v>182</v>
      </c>
      <c r="D20" s="18"/>
      <c r="E20" s="19"/>
      <c r="F20" s="11" t="s">
        <v>68</v>
      </c>
      <c r="G20" s="11" t="s">
        <v>0</v>
      </c>
      <c r="H20" s="11" t="s">
        <v>51</v>
      </c>
      <c r="I20" s="11" t="s">
        <v>1</v>
      </c>
      <c r="J20" s="11" t="s">
        <v>2</v>
      </c>
      <c r="K20" s="11" t="s">
        <v>3</v>
      </c>
      <c r="L20" s="11" t="s">
        <v>4</v>
      </c>
      <c r="M20" s="11" t="s">
        <v>5</v>
      </c>
    </row>
    <row r="22" spans="2:13" ht="15.6" x14ac:dyDescent="0.3">
      <c r="C22" s="25" t="s">
        <v>183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2:13" ht="13.8" x14ac:dyDescent="0.3">
      <c r="C23" s="18" t="s">
        <v>184</v>
      </c>
      <c r="D23" s="18"/>
      <c r="E23" s="19"/>
      <c r="F23" s="12" t="s">
        <v>68</v>
      </c>
      <c r="G23" s="12" t="s">
        <v>0</v>
      </c>
      <c r="H23" s="12" t="s">
        <v>51</v>
      </c>
      <c r="I23" s="12" t="s">
        <v>1</v>
      </c>
      <c r="J23" s="12" t="s">
        <v>2</v>
      </c>
      <c r="K23" s="12" t="s">
        <v>3</v>
      </c>
      <c r="L23" s="12" t="s">
        <v>4</v>
      </c>
      <c r="M23" s="12" t="s">
        <v>5</v>
      </c>
    </row>
    <row r="24" spans="2:13" ht="13.8" x14ac:dyDescent="0.3">
      <c r="C24" s="18" t="s">
        <v>185</v>
      </c>
      <c r="D24" s="18"/>
      <c r="E24" s="19"/>
      <c r="F24" s="12" t="s">
        <v>192</v>
      </c>
      <c r="G24" s="12" t="s">
        <v>192</v>
      </c>
      <c r="H24" s="12" t="s">
        <v>193</v>
      </c>
      <c r="I24" s="12" t="s">
        <v>194</v>
      </c>
      <c r="J24" s="12" t="s">
        <v>194</v>
      </c>
      <c r="K24" s="12" t="s">
        <v>194</v>
      </c>
      <c r="L24" s="12" t="s">
        <v>194</v>
      </c>
      <c r="M24" s="12" t="s">
        <v>194</v>
      </c>
    </row>
    <row r="25" spans="2:13" ht="13.8" x14ac:dyDescent="0.3">
      <c r="C25" s="18" t="s">
        <v>186</v>
      </c>
      <c r="D25" s="18"/>
      <c r="E25" s="19"/>
      <c r="F25" s="12">
        <v>0</v>
      </c>
      <c r="G25" s="12">
        <v>0</v>
      </c>
      <c r="H25" s="12">
        <v>0</v>
      </c>
      <c r="I25" s="12">
        <v>1</v>
      </c>
      <c r="J25" s="12">
        <v>1</v>
      </c>
      <c r="K25" s="12">
        <v>0</v>
      </c>
      <c r="L25" s="12">
        <v>2</v>
      </c>
      <c r="M25" s="12">
        <v>0</v>
      </c>
    </row>
    <row r="26" spans="2:13" ht="13.8" x14ac:dyDescent="0.3">
      <c r="C26" s="18" t="s">
        <v>187</v>
      </c>
      <c r="D26" s="18"/>
      <c r="E26" s="19"/>
      <c r="F26" s="20"/>
      <c r="G26" s="20"/>
      <c r="H26" s="20"/>
      <c r="I26" s="20"/>
      <c r="J26" s="20"/>
      <c r="K26" s="20"/>
      <c r="L26" s="20"/>
      <c r="M26" s="20"/>
    </row>
    <row r="27" spans="2:13" ht="13.8" x14ac:dyDescent="0.3">
      <c r="C27" s="18" t="s">
        <v>188</v>
      </c>
      <c r="D27" s="18"/>
      <c r="E27" s="19"/>
      <c r="F27" s="17">
        <v>140</v>
      </c>
      <c r="G27" s="17"/>
      <c r="H27" s="17"/>
      <c r="I27" s="17"/>
      <c r="J27" s="17"/>
      <c r="K27" s="17"/>
      <c r="L27" s="17"/>
      <c r="M27" s="17"/>
    </row>
    <row r="28" spans="2:13" ht="13.8" x14ac:dyDescent="0.3">
      <c r="C28" s="18" t="s">
        <v>189</v>
      </c>
      <c r="D28" s="18"/>
      <c r="E28" s="19"/>
      <c r="F28" s="17">
        <v>0</v>
      </c>
      <c r="G28" s="17"/>
      <c r="H28" s="17"/>
      <c r="I28" s="17"/>
      <c r="J28" s="17"/>
      <c r="K28" s="17"/>
      <c r="L28" s="17"/>
      <c r="M28" s="17"/>
    </row>
    <row r="31" spans="2:13" ht="18" x14ac:dyDescent="0.35">
      <c r="B31" s="9" t="s">
        <v>174</v>
      </c>
    </row>
    <row r="33" spans="3:11" x14ac:dyDescent="0.25">
      <c r="C33" s="10" t="s">
        <v>202</v>
      </c>
      <c r="D33" t="s">
        <v>68</v>
      </c>
      <c r="E33" t="s">
        <v>0</v>
      </c>
      <c r="F33" t="s">
        <v>51</v>
      </c>
      <c r="G33" t="s">
        <v>203</v>
      </c>
      <c r="H33" t="s">
        <v>204</v>
      </c>
      <c r="I33" t="s">
        <v>205</v>
      </c>
      <c r="J33" t="s">
        <v>206</v>
      </c>
      <c r="K33" t="s">
        <v>207</v>
      </c>
    </row>
    <row r="34" spans="3:11" x14ac:dyDescent="0.25">
      <c r="C34" s="10" t="s">
        <v>208</v>
      </c>
      <c r="D34" s="15">
        <v>1</v>
      </c>
      <c r="E34" s="15" t="s">
        <v>11</v>
      </c>
      <c r="F34" s="15">
        <v>0</v>
      </c>
      <c r="G34" s="15">
        <v>1</v>
      </c>
      <c r="H34" s="15">
        <v>0</v>
      </c>
      <c r="I34" s="15">
        <v>0</v>
      </c>
      <c r="J34" s="15">
        <v>1</v>
      </c>
      <c r="K34">
        <v>1</v>
      </c>
    </row>
    <row r="35" spans="3:11" x14ac:dyDescent="0.25">
      <c r="C35" s="10" t="s">
        <v>209</v>
      </c>
      <c r="D35" s="15">
        <v>2</v>
      </c>
      <c r="E35" s="15" t="s">
        <v>12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>
        <v>0</v>
      </c>
    </row>
    <row r="36" spans="3:11" x14ac:dyDescent="0.25">
      <c r="C36" s="10" t="s">
        <v>210</v>
      </c>
      <c r="D36" s="15">
        <v>3</v>
      </c>
      <c r="E36" s="15" t="s">
        <v>13</v>
      </c>
      <c r="F36" s="15">
        <v>0</v>
      </c>
      <c r="G36" s="15">
        <v>2</v>
      </c>
      <c r="H36" s="15">
        <v>1</v>
      </c>
      <c r="I36" s="15">
        <v>1</v>
      </c>
      <c r="J36" s="15">
        <v>1</v>
      </c>
      <c r="K36">
        <v>1</v>
      </c>
    </row>
    <row r="37" spans="3:11" x14ac:dyDescent="0.25">
      <c r="C37" s="10" t="s">
        <v>211</v>
      </c>
      <c r="D37" s="15">
        <v>4</v>
      </c>
      <c r="E37" s="15" t="s">
        <v>14</v>
      </c>
      <c r="F37" s="15">
        <v>0</v>
      </c>
      <c r="G37" s="15">
        <v>0</v>
      </c>
      <c r="H37" s="15">
        <v>1</v>
      </c>
      <c r="I37" s="15">
        <v>0</v>
      </c>
      <c r="J37" s="15">
        <v>0</v>
      </c>
      <c r="K37">
        <v>1</v>
      </c>
    </row>
    <row r="38" spans="3:11" x14ac:dyDescent="0.25">
      <c r="C38" s="10" t="s">
        <v>212</v>
      </c>
      <c r="D38" s="15">
        <v>5</v>
      </c>
      <c r="E38" s="15" t="s">
        <v>15</v>
      </c>
      <c r="F38" s="15">
        <v>0</v>
      </c>
      <c r="G38" s="15">
        <v>2</v>
      </c>
      <c r="H38" s="15">
        <v>1</v>
      </c>
      <c r="I38" s="15">
        <v>0</v>
      </c>
      <c r="J38" s="15">
        <v>0</v>
      </c>
      <c r="K38">
        <v>0</v>
      </c>
    </row>
    <row r="39" spans="3:11" x14ac:dyDescent="0.25">
      <c r="C39" s="10" t="s">
        <v>213</v>
      </c>
      <c r="D39" s="15">
        <v>6</v>
      </c>
      <c r="E39" s="15" t="s">
        <v>16</v>
      </c>
      <c r="F39" s="15">
        <v>0</v>
      </c>
      <c r="G39" s="15">
        <v>0</v>
      </c>
      <c r="H39" s="15">
        <v>1</v>
      </c>
      <c r="I39" s="15">
        <v>0</v>
      </c>
      <c r="J39" s="15">
        <v>1</v>
      </c>
      <c r="K39">
        <v>1</v>
      </c>
    </row>
    <row r="40" spans="3:11" x14ac:dyDescent="0.25">
      <c r="C40" s="10" t="s">
        <v>214</v>
      </c>
      <c r="D40" s="15">
        <v>7</v>
      </c>
      <c r="E40" s="15" t="s">
        <v>17</v>
      </c>
      <c r="F40" s="15">
        <v>0</v>
      </c>
      <c r="G40" s="15">
        <v>1</v>
      </c>
      <c r="H40" s="15">
        <v>1</v>
      </c>
      <c r="I40" s="15">
        <v>0</v>
      </c>
      <c r="J40" s="15">
        <v>1</v>
      </c>
      <c r="K40">
        <v>1</v>
      </c>
    </row>
    <row r="41" spans="3:11" x14ac:dyDescent="0.25">
      <c r="C41" s="10" t="s">
        <v>215</v>
      </c>
      <c r="D41" s="15">
        <v>8</v>
      </c>
      <c r="E41" s="15" t="s">
        <v>18</v>
      </c>
      <c r="F41" s="15">
        <v>0</v>
      </c>
      <c r="G41" s="15">
        <v>2</v>
      </c>
      <c r="H41" s="15">
        <v>2</v>
      </c>
      <c r="I41" s="15">
        <v>1</v>
      </c>
      <c r="J41" s="15">
        <v>1</v>
      </c>
      <c r="K41">
        <v>1</v>
      </c>
    </row>
    <row r="42" spans="3:11" x14ac:dyDescent="0.25">
      <c r="C42" s="10" t="s">
        <v>216</v>
      </c>
      <c r="D42" s="15">
        <v>9</v>
      </c>
      <c r="E42" s="15" t="s">
        <v>19</v>
      </c>
      <c r="F42" s="15">
        <v>0</v>
      </c>
      <c r="G42" s="15">
        <v>1</v>
      </c>
      <c r="H42" s="15">
        <v>1</v>
      </c>
      <c r="I42" s="15">
        <v>1</v>
      </c>
      <c r="J42" s="15">
        <v>1</v>
      </c>
      <c r="K42">
        <v>1</v>
      </c>
    </row>
    <row r="43" spans="3:11" x14ac:dyDescent="0.25">
      <c r="C43" s="10" t="s">
        <v>217</v>
      </c>
      <c r="D43" s="15">
        <v>10</v>
      </c>
      <c r="E43" s="15" t="s">
        <v>20</v>
      </c>
      <c r="F43" s="15">
        <v>0</v>
      </c>
      <c r="G43" s="15">
        <v>1</v>
      </c>
      <c r="H43" s="15">
        <v>1</v>
      </c>
      <c r="I43" s="15">
        <v>0</v>
      </c>
      <c r="J43" s="15">
        <v>0</v>
      </c>
      <c r="K43">
        <v>1</v>
      </c>
    </row>
    <row r="44" spans="3:11" x14ac:dyDescent="0.25">
      <c r="C44" s="10" t="s">
        <v>218</v>
      </c>
      <c r="D44" s="15">
        <v>11</v>
      </c>
      <c r="E44" s="15" t="s">
        <v>21</v>
      </c>
      <c r="F44" s="15">
        <v>0</v>
      </c>
      <c r="G44" s="15">
        <v>1</v>
      </c>
      <c r="H44" s="15">
        <v>3</v>
      </c>
      <c r="I44" s="15">
        <v>1</v>
      </c>
      <c r="J44" s="15">
        <v>0</v>
      </c>
      <c r="K44">
        <v>1</v>
      </c>
    </row>
    <row r="45" spans="3:11" x14ac:dyDescent="0.25">
      <c r="C45" s="10" t="s">
        <v>219</v>
      </c>
      <c r="D45" s="15">
        <v>12</v>
      </c>
      <c r="E45" s="15" t="s">
        <v>22</v>
      </c>
      <c r="F45" s="15">
        <v>0</v>
      </c>
      <c r="G45" s="15">
        <v>1</v>
      </c>
      <c r="H45" s="15">
        <v>1</v>
      </c>
      <c r="I45" s="15">
        <v>1</v>
      </c>
      <c r="J45" s="15">
        <v>1</v>
      </c>
      <c r="K45">
        <v>1</v>
      </c>
    </row>
    <row r="46" spans="3:11" x14ac:dyDescent="0.25">
      <c r="C46" s="10" t="s">
        <v>220</v>
      </c>
      <c r="D46" s="15">
        <v>13</v>
      </c>
      <c r="E46" s="15" t="s">
        <v>23</v>
      </c>
      <c r="F46" s="15">
        <v>0</v>
      </c>
      <c r="G46" s="15">
        <v>1</v>
      </c>
      <c r="H46" s="15">
        <v>3</v>
      </c>
      <c r="I46" s="15">
        <v>0</v>
      </c>
      <c r="J46" s="15">
        <v>2</v>
      </c>
      <c r="K46">
        <v>0</v>
      </c>
    </row>
    <row r="47" spans="3:11" x14ac:dyDescent="0.25">
      <c r="C47" s="10" t="s">
        <v>221</v>
      </c>
      <c r="D47" s="15">
        <v>14</v>
      </c>
      <c r="E47" s="15" t="s">
        <v>24</v>
      </c>
      <c r="F47" s="15">
        <v>0</v>
      </c>
      <c r="G47" s="15">
        <v>1</v>
      </c>
      <c r="H47" s="15">
        <v>1</v>
      </c>
      <c r="I47" s="15">
        <v>0</v>
      </c>
      <c r="J47" s="15">
        <v>0</v>
      </c>
      <c r="K47">
        <v>0</v>
      </c>
    </row>
    <row r="48" spans="3:11" x14ac:dyDescent="0.25">
      <c r="C48" s="10" t="s">
        <v>222</v>
      </c>
      <c r="D48" s="15">
        <v>15</v>
      </c>
      <c r="E48" s="15" t="s">
        <v>25</v>
      </c>
      <c r="F48" s="15">
        <v>0</v>
      </c>
      <c r="G48" s="15">
        <v>1</v>
      </c>
      <c r="H48" s="15">
        <v>0</v>
      </c>
      <c r="I48" s="15">
        <v>1</v>
      </c>
      <c r="J48" s="15">
        <v>0</v>
      </c>
      <c r="K48">
        <v>1</v>
      </c>
    </row>
    <row r="49" spans="3:11" x14ac:dyDescent="0.25">
      <c r="C49" s="10" t="s">
        <v>223</v>
      </c>
      <c r="D49" s="15">
        <v>16</v>
      </c>
      <c r="E49" s="15" t="s">
        <v>26</v>
      </c>
      <c r="F49" s="15">
        <v>0</v>
      </c>
      <c r="G49" s="15">
        <v>1</v>
      </c>
      <c r="H49" s="15">
        <v>1</v>
      </c>
      <c r="I49" s="15">
        <v>0</v>
      </c>
      <c r="J49" s="15">
        <v>1</v>
      </c>
      <c r="K49">
        <v>0</v>
      </c>
    </row>
    <row r="50" spans="3:11" x14ac:dyDescent="0.25">
      <c r="C50" s="10" t="s">
        <v>224</v>
      </c>
      <c r="D50" s="15">
        <v>17</v>
      </c>
      <c r="E50" s="15" t="s">
        <v>27</v>
      </c>
      <c r="F50" s="15">
        <v>0</v>
      </c>
      <c r="G50" s="15">
        <v>1</v>
      </c>
      <c r="H50" s="15">
        <v>1</v>
      </c>
      <c r="I50" s="15">
        <v>0</v>
      </c>
      <c r="J50" s="15">
        <v>0</v>
      </c>
      <c r="K50">
        <v>1</v>
      </c>
    </row>
    <row r="51" spans="3:11" x14ac:dyDescent="0.25">
      <c r="C51" s="10" t="s">
        <v>225</v>
      </c>
      <c r="D51" s="15">
        <v>18</v>
      </c>
      <c r="E51" s="15" t="s">
        <v>28</v>
      </c>
      <c r="F51" s="15">
        <v>0</v>
      </c>
      <c r="G51" s="15">
        <v>1</v>
      </c>
      <c r="H51" s="15">
        <v>1</v>
      </c>
      <c r="I51" s="15">
        <v>0</v>
      </c>
      <c r="J51" s="15">
        <v>1</v>
      </c>
      <c r="K51">
        <v>1</v>
      </c>
    </row>
    <row r="52" spans="3:11" x14ac:dyDescent="0.25">
      <c r="C52" s="10" t="s">
        <v>226</v>
      </c>
      <c r="D52" s="15">
        <v>19</v>
      </c>
      <c r="E52" s="15" t="s">
        <v>29</v>
      </c>
      <c r="F52" s="15">
        <v>0</v>
      </c>
      <c r="G52" s="15">
        <v>0</v>
      </c>
      <c r="H52" s="15">
        <v>1</v>
      </c>
      <c r="I52" s="15">
        <v>1</v>
      </c>
      <c r="J52" s="15">
        <v>0</v>
      </c>
      <c r="K52">
        <v>0</v>
      </c>
    </row>
    <row r="53" spans="3:11" x14ac:dyDescent="0.25">
      <c r="C53" s="10" t="s">
        <v>227</v>
      </c>
      <c r="D53" s="15">
        <v>20</v>
      </c>
      <c r="E53" s="15" t="s">
        <v>30</v>
      </c>
      <c r="F53" s="15">
        <v>0</v>
      </c>
      <c r="G53" s="15">
        <v>0</v>
      </c>
      <c r="H53" s="15">
        <v>1</v>
      </c>
      <c r="I53" s="15">
        <v>2</v>
      </c>
      <c r="J53" s="15">
        <v>1</v>
      </c>
      <c r="K53">
        <v>1</v>
      </c>
    </row>
    <row r="54" spans="3:11" x14ac:dyDescent="0.25">
      <c r="C54" s="10" t="s">
        <v>228</v>
      </c>
      <c r="D54" s="15">
        <v>21</v>
      </c>
      <c r="E54" s="15" t="s">
        <v>31</v>
      </c>
      <c r="F54" s="15">
        <v>1</v>
      </c>
      <c r="G54" s="15">
        <v>1</v>
      </c>
      <c r="H54" s="15">
        <v>0</v>
      </c>
      <c r="I54" s="15">
        <v>0</v>
      </c>
      <c r="J54" s="15">
        <v>2</v>
      </c>
      <c r="K54">
        <v>1</v>
      </c>
    </row>
    <row r="55" spans="3:11" x14ac:dyDescent="0.25">
      <c r="C55" s="10" t="s">
        <v>229</v>
      </c>
      <c r="D55" s="15">
        <v>22</v>
      </c>
      <c r="E55" s="15" t="s">
        <v>32</v>
      </c>
      <c r="F55" s="15">
        <v>1</v>
      </c>
      <c r="G55" s="15">
        <v>1</v>
      </c>
      <c r="H55" s="15">
        <v>1</v>
      </c>
      <c r="I55" s="15">
        <v>0</v>
      </c>
      <c r="J55" s="15">
        <v>1</v>
      </c>
      <c r="K55">
        <v>1</v>
      </c>
    </row>
    <row r="56" spans="3:11" x14ac:dyDescent="0.25">
      <c r="C56" s="10" t="s">
        <v>230</v>
      </c>
      <c r="D56" s="15">
        <v>23</v>
      </c>
      <c r="E56" s="15" t="s">
        <v>33</v>
      </c>
      <c r="F56" s="15">
        <v>1</v>
      </c>
      <c r="G56" s="15">
        <v>1</v>
      </c>
      <c r="H56" s="15">
        <v>1</v>
      </c>
      <c r="I56" s="15">
        <v>2</v>
      </c>
      <c r="J56" s="15">
        <v>2</v>
      </c>
      <c r="K56">
        <v>1</v>
      </c>
    </row>
    <row r="57" spans="3:11" x14ac:dyDescent="0.25">
      <c r="C57" s="10" t="s">
        <v>231</v>
      </c>
      <c r="D57" s="15">
        <v>24</v>
      </c>
      <c r="E57" s="15" t="s">
        <v>34</v>
      </c>
      <c r="F57" s="15">
        <v>1</v>
      </c>
      <c r="G57" s="15">
        <v>1</v>
      </c>
      <c r="H57" s="15">
        <v>0</v>
      </c>
      <c r="I57" s="15">
        <v>0</v>
      </c>
      <c r="J57" s="15">
        <v>1</v>
      </c>
      <c r="K57">
        <v>1</v>
      </c>
    </row>
    <row r="58" spans="3:11" x14ac:dyDescent="0.25">
      <c r="C58" s="10" t="s">
        <v>232</v>
      </c>
      <c r="D58" s="15">
        <v>25</v>
      </c>
      <c r="E58" s="15" t="s">
        <v>35</v>
      </c>
      <c r="F58" s="15">
        <v>1</v>
      </c>
      <c r="G58" s="15">
        <v>0</v>
      </c>
      <c r="H58" s="15">
        <v>0</v>
      </c>
      <c r="I58" s="15">
        <v>1</v>
      </c>
      <c r="J58" s="15">
        <v>2</v>
      </c>
      <c r="K58">
        <v>1</v>
      </c>
    </row>
    <row r="59" spans="3:11" x14ac:dyDescent="0.25">
      <c r="C59" s="10" t="s">
        <v>233</v>
      </c>
      <c r="D59" s="15">
        <v>26</v>
      </c>
      <c r="E59" s="15" t="s">
        <v>36</v>
      </c>
      <c r="F59" s="15">
        <v>1</v>
      </c>
      <c r="G59" s="15">
        <v>0</v>
      </c>
      <c r="H59" s="15">
        <v>0</v>
      </c>
      <c r="I59" s="15">
        <v>3</v>
      </c>
      <c r="J59" s="15">
        <v>1</v>
      </c>
      <c r="K59">
        <v>0</v>
      </c>
    </row>
    <row r="60" spans="3:11" x14ac:dyDescent="0.25">
      <c r="C60" s="10" t="s">
        <v>234</v>
      </c>
      <c r="D60" s="15">
        <v>27</v>
      </c>
      <c r="E60" s="15" t="s">
        <v>37</v>
      </c>
      <c r="F60" s="15">
        <v>1</v>
      </c>
      <c r="G60" s="15">
        <v>1</v>
      </c>
      <c r="H60" s="15">
        <v>1</v>
      </c>
      <c r="I60" s="15">
        <v>3</v>
      </c>
      <c r="J60" s="15">
        <v>1</v>
      </c>
      <c r="K60">
        <v>0</v>
      </c>
    </row>
    <row r="61" spans="3:11" x14ac:dyDescent="0.25">
      <c r="C61" s="10" t="s">
        <v>235</v>
      </c>
      <c r="D61" s="15">
        <v>28</v>
      </c>
      <c r="E61" s="15" t="s">
        <v>38</v>
      </c>
      <c r="F61" s="15">
        <v>1</v>
      </c>
      <c r="G61" s="15">
        <v>1</v>
      </c>
      <c r="H61" s="15">
        <v>0</v>
      </c>
      <c r="I61" s="15">
        <v>1</v>
      </c>
      <c r="J61" s="15">
        <v>1</v>
      </c>
      <c r="K61">
        <v>1</v>
      </c>
    </row>
    <row r="62" spans="3:11" x14ac:dyDescent="0.25">
      <c r="C62" s="10" t="s">
        <v>236</v>
      </c>
      <c r="D62" s="15">
        <v>29</v>
      </c>
      <c r="E62" s="15" t="s">
        <v>39</v>
      </c>
      <c r="F62" s="15">
        <v>1</v>
      </c>
      <c r="G62" s="15">
        <v>1</v>
      </c>
      <c r="H62" s="15">
        <v>0</v>
      </c>
      <c r="I62" s="15">
        <v>1</v>
      </c>
      <c r="J62" s="15">
        <v>2</v>
      </c>
      <c r="K62">
        <v>1</v>
      </c>
    </row>
    <row r="63" spans="3:11" x14ac:dyDescent="0.25">
      <c r="C63" s="10" t="s">
        <v>237</v>
      </c>
      <c r="D63" s="15">
        <v>30</v>
      </c>
      <c r="E63" s="15" t="s">
        <v>40</v>
      </c>
      <c r="F63" s="15">
        <v>1</v>
      </c>
      <c r="G63" s="15">
        <v>1</v>
      </c>
      <c r="H63" s="15">
        <v>1</v>
      </c>
      <c r="I63" s="15">
        <v>1</v>
      </c>
      <c r="J63" s="15">
        <v>1</v>
      </c>
      <c r="K63">
        <v>0</v>
      </c>
    </row>
    <row r="64" spans="3:11" x14ac:dyDescent="0.25">
      <c r="C64" s="10" t="s">
        <v>238</v>
      </c>
      <c r="D64" s="15">
        <v>31</v>
      </c>
      <c r="E64" s="15" t="s">
        <v>41</v>
      </c>
      <c r="F64" s="15">
        <v>1</v>
      </c>
      <c r="G64" s="15">
        <v>1</v>
      </c>
      <c r="H64" s="15">
        <v>1</v>
      </c>
      <c r="I64" s="15">
        <v>0</v>
      </c>
      <c r="J64" s="15">
        <v>1</v>
      </c>
      <c r="K64">
        <v>1</v>
      </c>
    </row>
    <row r="65" spans="3:11" x14ac:dyDescent="0.25">
      <c r="C65" s="10" t="s">
        <v>239</v>
      </c>
      <c r="D65" s="15">
        <v>32</v>
      </c>
      <c r="E65" s="15" t="s">
        <v>42</v>
      </c>
      <c r="F65" s="15">
        <v>1</v>
      </c>
      <c r="G65" s="15">
        <v>1</v>
      </c>
      <c r="H65" s="15">
        <v>1</v>
      </c>
      <c r="I65" s="15">
        <v>1</v>
      </c>
      <c r="J65" s="15">
        <v>1</v>
      </c>
      <c r="K65">
        <v>0</v>
      </c>
    </row>
    <row r="66" spans="3:11" x14ac:dyDescent="0.25">
      <c r="C66" s="10" t="s">
        <v>240</v>
      </c>
      <c r="D66" s="15">
        <v>33</v>
      </c>
      <c r="E66" s="15" t="s">
        <v>43</v>
      </c>
      <c r="F66" s="15">
        <v>1</v>
      </c>
      <c r="G66" s="15">
        <v>0</v>
      </c>
      <c r="H66" s="15">
        <v>1</v>
      </c>
      <c r="I66" s="15">
        <v>1</v>
      </c>
      <c r="J66" s="15">
        <v>2</v>
      </c>
      <c r="K66">
        <v>1</v>
      </c>
    </row>
    <row r="67" spans="3:11" x14ac:dyDescent="0.25">
      <c r="C67" s="10" t="s">
        <v>241</v>
      </c>
      <c r="D67" s="15">
        <v>34</v>
      </c>
      <c r="E67" s="15" t="s">
        <v>44</v>
      </c>
      <c r="F67" s="15">
        <v>1</v>
      </c>
      <c r="G67" s="15">
        <v>1</v>
      </c>
      <c r="H67" s="15">
        <v>1</v>
      </c>
      <c r="I67" s="15">
        <v>1</v>
      </c>
      <c r="J67" s="15">
        <v>1</v>
      </c>
      <c r="K67">
        <v>0</v>
      </c>
    </row>
    <row r="68" spans="3:11" x14ac:dyDescent="0.25">
      <c r="C68" s="10" t="s">
        <v>242</v>
      </c>
      <c r="D68" s="15">
        <v>35</v>
      </c>
      <c r="E68" s="15" t="s">
        <v>45</v>
      </c>
      <c r="F68" s="15">
        <v>1</v>
      </c>
      <c r="G68" s="15">
        <v>1</v>
      </c>
      <c r="H68" s="15">
        <v>1</v>
      </c>
      <c r="I68" s="15">
        <v>0</v>
      </c>
      <c r="J68" s="15">
        <v>3</v>
      </c>
      <c r="K68">
        <v>1</v>
      </c>
    </row>
    <row r="69" spans="3:11" x14ac:dyDescent="0.25">
      <c r="C69" s="10" t="s">
        <v>243</v>
      </c>
      <c r="D69" s="15">
        <v>36</v>
      </c>
      <c r="E69" s="15" t="s">
        <v>46</v>
      </c>
      <c r="F69" s="15">
        <v>1</v>
      </c>
      <c r="G69" s="15">
        <v>1</v>
      </c>
      <c r="H69" s="15">
        <v>0</v>
      </c>
      <c r="I69" s="15">
        <v>1</v>
      </c>
      <c r="J69" s="15">
        <v>1</v>
      </c>
      <c r="K69">
        <v>1</v>
      </c>
    </row>
    <row r="70" spans="3:11" x14ac:dyDescent="0.25">
      <c r="C70" s="10" t="s">
        <v>244</v>
      </c>
      <c r="D70" s="15">
        <v>37</v>
      </c>
      <c r="E70" s="15" t="s">
        <v>47</v>
      </c>
      <c r="F70" s="15">
        <v>1</v>
      </c>
      <c r="G70" s="15">
        <v>1</v>
      </c>
      <c r="H70" s="15">
        <v>1</v>
      </c>
      <c r="I70" s="15">
        <v>1</v>
      </c>
      <c r="J70" s="15">
        <v>1</v>
      </c>
      <c r="K70">
        <v>0</v>
      </c>
    </row>
    <row r="71" spans="3:11" x14ac:dyDescent="0.25">
      <c r="C71" s="10" t="s">
        <v>245</v>
      </c>
      <c r="D71" s="15">
        <v>38</v>
      </c>
      <c r="E71" s="15" t="s">
        <v>48</v>
      </c>
      <c r="F71" s="15">
        <v>1</v>
      </c>
      <c r="G71" s="15">
        <v>0</v>
      </c>
      <c r="H71" s="15">
        <v>1</v>
      </c>
      <c r="I71" s="15">
        <v>1</v>
      </c>
      <c r="J71" s="15">
        <v>1</v>
      </c>
      <c r="K71">
        <v>0</v>
      </c>
    </row>
    <row r="72" spans="3:11" x14ac:dyDescent="0.25">
      <c r="C72" s="10" t="s">
        <v>246</v>
      </c>
      <c r="D72" s="15">
        <v>39</v>
      </c>
      <c r="E72" s="15" t="s">
        <v>49</v>
      </c>
      <c r="F72" s="15">
        <v>1</v>
      </c>
      <c r="G72" s="15">
        <v>1</v>
      </c>
      <c r="H72" s="15">
        <v>1</v>
      </c>
      <c r="I72" s="15">
        <v>1</v>
      </c>
      <c r="J72" s="15">
        <v>3</v>
      </c>
      <c r="K72">
        <v>2</v>
      </c>
    </row>
    <row r="73" spans="3:11" x14ac:dyDescent="0.25">
      <c r="C73" s="10" t="s">
        <v>247</v>
      </c>
      <c r="D73" s="15">
        <v>40</v>
      </c>
      <c r="E73" s="15" t="s">
        <v>50</v>
      </c>
      <c r="F73" s="15">
        <v>1</v>
      </c>
      <c r="G73" s="15">
        <v>1</v>
      </c>
      <c r="H73" s="15">
        <v>1</v>
      </c>
      <c r="I73" s="15">
        <v>0</v>
      </c>
      <c r="J73" s="15">
        <v>1</v>
      </c>
      <c r="K73">
        <v>0</v>
      </c>
    </row>
    <row r="74" spans="3:11" x14ac:dyDescent="0.25">
      <c r="C74" s="10" t="s">
        <v>248</v>
      </c>
      <c r="D74" s="15">
        <v>41</v>
      </c>
      <c r="E74" s="15" t="s">
        <v>52</v>
      </c>
      <c r="F74" s="15">
        <v>0</v>
      </c>
      <c r="G74" s="15">
        <v>0</v>
      </c>
      <c r="H74" s="15">
        <v>1</v>
      </c>
      <c r="I74" s="15">
        <v>0</v>
      </c>
      <c r="J74" s="15">
        <v>1</v>
      </c>
      <c r="K74">
        <v>1</v>
      </c>
    </row>
    <row r="75" spans="3:11" x14ac:dyDescent="0.25">
      <c r="C75" s="10" t="s">
        <v>249</v>
      </c>
      <c r="D75" s="15">
        <v>42</v>
      </c>
      <c r="E75" s="15" t="s">
        <v>54</v>
      </c>
      <c r="F75" s="15">
        <v>0</v>
      </c>
      <c r="G75" s="15">
        <v>1</v>
      </c>
      <c r="H75" s="15">
        <v>1</v>
      </c>
      <c r="I75" s="15">
        <v>0</v>
      </c>
      <c r="J75" s="15">
        <v>1</v>
      </c>
      <c r="K75">
        <v>1</v>
      </c>
    </row>
    <row r="76" spans="3:11" x14ac:dyDescent="0.25">
      <c r="C76" s="10" t="s">
        <v>250</v>
      </c>
      <c r="D76" s="15">
        <v>43</v>
      </c>
      <c r="E76" s="15" t="s">
        <v>55</v>
      </c>
      <c r="F76" s="15">
        <v>0</v>
      </c>
      <c r="G76" s="15">
        <v>2</v>
      </c>
      <c r="H76" s="15">
        <v>2</v>
      </c>
      <c r="I76" s="15">
        <v>1</v>
      </c>
      <c r="J76" s="15">
        <v>1</v>
      </c>
      <c r="K76">
        <v>1</v>
      </c>
    </row>
    <row r="77" spans="3:11" x14ac:dyDescent="0.25">
      <c r="C77" s="10" t="s">
        <v>251</v>
      </c>
      <c r="D77" s="15">
        <v>44</v>
      </c>
      <c r="E77" s="15" t="s">
        <v>56</v>
      </c>
      <c r="F77" s="15">
        <v>0</v>
      </c>
      <c r="G77" s="15">
        <v>1</v>
      </c>
      <c r="H77" s="15">
        <v>1</v>
      </c>
      <c r="I77" s="15">
        <v>1</v>
      </c>
      <c r="J77" s="15">
        <v>1</v>
      </c>
      <c r="K77">
        <v>1</v>
      </c>
    </row>
    <row r="78" spans="3:11" x14ac:dyDescent="0.25">
      <c r="C78" s="10" t="s">
        <v>252</v>
      </c>
      <c r="D78" s="15">
        <v>45</v>
      </c>
      <c r="E78" s="15" t="s">
        <v>57</v>
      </c>
      <c r="F78" s="15">
        <v>0</v>
      </c>
      <c r="G78" s="15">
        <v>1</v>
      </c>
      <c r="H78" s="15">
        <v>1</v>
      </c>
      <c r="I78" s="15">
        <v>0</v>
      </c>
      <c r="J78" s="15">
        <v>0</v>
      </c>
      <c r="K78">
        <v>1</v>
      </c>
    </row>
    <row r="79" spans="3:11" x14ac:dyDescent="0.25">
      <c r="C79" s="10" t="s">
        <v>253</v>
      </c>
      <c r="D79" s="15">
        <v>46</v>
      </c>
      <c r="E79" s="15" t="s">
        <v>58</v>
      </c>
      <c r="F79" s="15">
        <v>0</v>
      </c>
      <c r="G79" s="15">
        <v>1</v>
      </c>
      <c r="H79" s="15">
        <v>3</v>
      </c>
      <c r="I79" s="15">
        <v>1</v>
      </c>
      <c r="J79" s="15">
        <v>0</v>
      </c>
      <c r="K79">
        <v>1</v>
      </c>
    </row>
    <row r="80" spans="3:11" x14ac:dyDescent="0.25">
      <c r="C80" s="10" t="s">
        <v>254</v>
      </c>
      <c r="D80" s="15">
        <v>47</v>
      </c>
      <c r="E80" s="15" t="s">
        <v>59</v>
      </c>
      <c r="F80" s="15">
        <v>0</v>
      </c>
      <c r="G80" s="15">
        <v>1</v>
      </c>
      <c r="H80" s="15">
        <v>1</v>
      </c>
      <c r="I80" s="15">
        <v>1</v>
      </c>
      <c r="J80" s="15">
        <v>1</v>
      </c>
      <c r="K80">
        <v>1</v>
      </c>
    </row>
    <row r="81" spans="3:11" x14ac:dyDescent="0.25">
      <c r="C81" s="10" t="s">
        <v>255</v>
      </c>
      <c r="D81" s="15">
        <v>48</v>
      </c>
      <c r="E81" s="15" t="s">
        <v>60</v>
      </c>
      <c r="F81" s="15">
        <v>0</v>
      </c>
      <c r="G81" s="15">
        <v>1</v>
      </c>
      <c r="H81" s="15">
        <v>3</v>
      </c>
      <c r="I81" s="15">
        <v>0</v>
      </c>
      <c r="J81" s="15">
        <v>2</v>
      </c>
      <c r="K81">
        <v>0</v>
      </c>
    </row>
    <row r="82" spans="3:11" x14ac:dyDescent="0.25">
      <c r="C82" s="10" t="s">
        <v>256</v>
      </c>
      <c r="D82" s="15">
        <v>49</v>
      </c>
      <c r="E82" s="15" t="s">
        <v>61</v>
      </c>
      <c r="F82" s="15">
        <v>0</v>
      </c>
      <c r="G82" s="15">
        <v>1</v>
      </c>
      <c r="H82" s="15">
        <v>1</v>
      </c>
      <c r="I82" s="15">
        <v>0</v>
      </c>
      <c r="J82" s="15">
        <v>0</v>
      </c>
      <c r="K82">
        <v>0</v>
      </c>
    </row>
    <row r="83" spans="3:11" x14ac:dyDescent="0.25">
      <c r="C83" s="10" t="s">
        <v>257</v>
      </c>
      <c r="D83" s="15">
        <v>50</v>
      </c>
      <c r="E83" s="15" t="s">
        <v>62</v>
      </c>
      <c r="F83" s="15">
        <v>0</v>
      </c>
      <c r="G83" s="15">
        <v>1</v>
      </c>
      <c r="H83" s="15">
        <v>0</v>
      </c>
      <c r="I83" s="15">
        <v>1</v>
      </c>
      <c r="J83" s="15">
        <v>0</v>
      </c>
      <c r="K83">
        <v>1</v>
      </c>
    </row>
    <row r="84" spans="3:11" x14ac:dyDescent="0.25">
      <c r="C84" s="10" t="s">
        <v>258</v>
      </c>
      <c r="D84" s="15">
        <v>51</v>
      </c>
      <c r="E84" s="15" t="s">
        <v>63</v>
      </c>
      <c r="F84" s="15">
        <v>0</v>
      </c>
      <c r="G84" s="15">
        <v>1</v>
      </c>
      <c r="H84" s="15">
        <v>1</v>
      </c>
      <c r="I84" s="15">
        <v>0</v>
      </c>
      <c r="J84" s="15">
        <v>1</v>
      </c>
      <c r="K84">
        <v>0</v>
      </c>
    </row>
    <row r="85" spans="3:11" x14ac:dyDescent="0.25">
      <c r="C85" s="10" t="s">
        <v>259</v>
      </c>
      <c r="D85" s="15">
        <v>52</v>
      </c>
      <c r="E85" s="15" t="s">
        <v>64</v>
      </c>
      <c r="F85" s="15">
        <v>0</v>
      </c>
      <c r="G85" s="15">
        <v>1</v>
      </c>
      <c r="H85" s="15">
        <v>1</v>
      </c>
      <c r="I85" s="15">
        <v>0</v>
      </c>
      <c r="J85" s="15">
        <v>0</v>
      </c>
      <c r="K85">
        <v>1</v>
      </c>
    </row>
    <row r="86" spans="3:11" x14ac:dyDescent="0.25">
      <c r="C86" s="10" t="s">
        <v>260</v>
      </c>
      <c r="D86" s="15">
        <v>53</v>
      </c>
      <c r="E86" s="15" t="s">
        <v>65</v>
      </c>
      <c r="F86" s="15">
        <v>1</v>
      </c>
      <c r="G86" s="15">
        <v>0</v>
      </c>
      <c r="H86" s="15">
        <v>0</v>
      </c>
      <c r="I86" s="15">
        <v>1</v>
      </c>
      <c r="J86" s="15">
        <v>2</v>
      </c>
      <c r="K86">
        <v>1</v>
      </c>
    </row>
    <row r="87" spans="3:11" x14ac:dyDescent="0.25">
      <c r="C87" s="10" t="s">
        <v>261</v>
      </c>
      <c r="D87" s="15">
        <v>54</v>
      </c>
      <c r="E87" s="15" t="s">
        <v>66</v>
      </c>
      <c r="F87" s="15">
        <v>1</v>
      </c>
      <c r="G87" s="15">
        <v>0</v>
      </c>
      <c r="H87" s="15">
        <v>0</v>
      </c>
      <c r="I87" s="15">
        <v>3</v>
      </c>
      <c r="J87" s="15">
        <v>1</v>
      </c>
      <c r="K87">
        <v>0</v>
      </c>
    </row>
    <row r="88" spans="3:11" x14ac:dyDescent="0.25">
      <c r="C88" s="10" t="s">
        <v>262</v>
      </c>
      <c r="D88" s="15">
        <v>55</v>
      </c>
      <c r="E88" s="15" t="s">
        <v>69</v>
      </c>
      <c r="F88" s="15">
        <v>1</v>
      </c>
      <c r="G88" s="15">
        <v>1</v>
      </c>
      <c r="H88" s="15">
        <v>1</v>
      </c>
      <c r="I88" s="15">
        <v>3</v>
      </c>
      <c r="J88" s="15">
        <v>1</v>
      </c>
      <c r="K88">
        <v>0</v>
      </c>
    </row>
    <row r="89" spans="3:11" x14ac:dyDescent="0.25">
      <c r="C89" s="10" t="s">
        <v>263</v>
      </c>
      <c r="D89" s="15">
        <v>56</v>
      </c>
      <c r="E89" s="15" t="s">
        <v>70</v>
      </c>
      <c r="F89" s="15">
        <v>1</v>
      </c>
      <c r="G89" s="15">
        <v>1</v>
      </c>
      <c r="H89" s="15">
        <v>0</v>
      </c>
      <c r="I89" s="15">
        <v>1</v>
      </c>
      <c r="J89" s="15">
        <v>1</v>
      </c>
      <c r="K89">
        <v>1</v>
      </c>
    </row>
    <row r="90" spans="3:11" x14ac:dyDescent="0.25">
      <c r="C90" s="10" t="s">
        <v>264</v>
      </c>
      <c r="D90" s="15">
        <v>57</v>
      </c>
      <c r="E90" s="15" t="s">
        <v>71</v>
      </c>
      <c r="F90" s="15">
        <v>1</v>
      </c>
      <c r="G90" s="15">
        <v>1</v>
      </c>
      <c r="H90" s="15">
        <v>0</v>
      </c>
      <c r="I90" s="15">
        <v>1</v>
      </c>
      <c r="J90" s="15">
        <v>2</v>
      </c>
      <c r="K90">
        <v>1</v>
      </c>
    </row>
    <row r="91" spans="3:11" x14ac:dyDescent="0.25">
      <c r="C91" s="10" t="s">
        <v>265</v>
      </c>
      <c r="D91" s="15">
        <v>58</v>
      </c>
      <c r="E91" s="15" t="s">
        <v>72</v>
      </c>
      <c r="F91" s="15">
        <v>1</v>
      </c>
      <c r="G91" s="15">
        <v>1</v>
      </c>
      <c r="H91" s="15">
        <v>1</v>
      </c>
      <c r="I91" s="15">
        <v>1</v>
      </c>
      <c r="J91" s="15">
        <v>1</v>
      </c>
      <c r="K91">
        <v>0</v>
      </c>
    </row>
    <row r="92" spans="3:11" x14ac:dyDescent="0.25">
      <c r="C92" s="10" t="s">
        <v>266</v>
      </c>
      <c r="D92" s="15">
        <v>59</v>
      </c>
      <c r="E92" s="15" t="s">
        <v>73</v>
      </c>
      <c r="F92" s="15">
        <v>1</v>
      </c>
      <c r="G92" s="15">
        <v>1</v>
      </c>
      <c r="H92" s="15">
        <v>1</v>
      </c>
      <c r="I92" s="15">
        <v>0</v>
      </c>
      <c r="J92" s="15">
        <v>1</v>
      </c>
      <c r="K92">
        <v>1</v>
      </c>
    </row>
    <row r="93" spans="3:11" x14ac:dyDescent="0.25">
      <c r="C93" s="10" t="s">
        <v>267</v>
      </c>
      <c r="D93" s="15">
        <v>60</v>
      </c>
      <c r="E93" s="15" t="s">
        <v>74</v>
      </c>
      <c r="F93" s="15">
        <v>1</v>
      </c>
      <c r="G93" s="15">
        <v>1</v>
      </c>
      <c r="H93" s="15">
        <v>1</v>
      </c>
      <c r="I93" s="15">
        <v>1</v>
      </c>
      <c r="J93" s="15">
        <v>1</v>
      </c>
      <c r="K93">
        <v>0</v>
      </c>
    </row>
    <row r="94" spans="3:11" x14ac:dyDescent="0.25">
      <c r="C94" s="10" t="s">
        <v>268</v>
      </c>
      <c r="D94" s="15">
        <v>61</v>
      </c>
      <c r="E94" s="15" t="s">
        <v>75</v>
      </c>
      <c r="F94" s="15">
        <v>1</v>
      </c>
      <c r="G94" s="15">
        <v>0</v>
      </c>
      <c r="H94" s="15">
        <v>1</v>
      </c>
      <c r="I94" s="15">
        <v>1</v>
      </c>
      <c r="J94" s="15">
        <v>2</v>
      </c>
      <c r="K94">
        <v>1</v>
      </c>
    </row>
    <row r="95" spans="3:11" x14ac:dyDescent="0.25">
      <c r="C95" s="10" t="s">
        <v>269</v>
      </c>
      <c r="D95" s="15">
        <v>62</v>
      </c>
      <c r="E95" s="15" t="s">
        <v>76</v>
      </c>
      <c r="F95" s="15">
        <v>1</v>
      </c>
      <c r="G95" s="15">
        <v>1</v>
      </c>
      <c r="H95" s="15">
        <v>1</v>
      </c>
      <c r="I95" s="15">
        <v>1</v>
      </c>
      <c r="J95" s="15">
        <v>1</v>
      </c>
      <c r="K95">
        <v>0</v>
      </c>
    </row>
    <row r="96" spans="3:11" x14ac:dyDescent="0.25">
      <c r="C96" s="10" t="s">
        <v>270</v>
      </c>
      <c r="D96" s="15">
        <v>63</v>
      </c>
      <c r="E96" s="15" t="s">
        <v>77</v>
      </c>
      <c r="F96" s="15">
        <v>1</v>
      </c>
      <c r="G96" s="15">
        <v>1</v>
      </c>
      <c r="H96" s="15">
        <v>1</v>
      </c>
      <c r="I96" s="15">
        <v>0</v>
      </c>
      <c r="J96" s="15">
        <v>3</v>
      </c>
      <c r="K96">
        <v>1</v>
      </c>
    </row>
    <row r="97" spans="3:11" x14ac:dyDescent="0.25">
      <c r="C97" s="10" t="s">
        <v>271</v>
      </c>
      <c r="D97" s="15">
        <v>64</v>
      </c>
      <c r="E97" s="15" t="s">
        <v>78</v>
      </c>
      <c r="F97" s="15">
        <v>1</v>
      </c>
      <c r="G97" s="15">
        <v>1</v>
      </c>
      <c r="H97" s="15">
        <v>0</v>
      </c>
      <c r="I97" s="15">
        <v>1</v>
      </c>
      <c r="J97" s="15">
        <v>1</v>
      </c>
      <c r="K97">
        <v>1</v>
      </c>
    </row>
    <row r="98" spans="3:11" x14ac:dyDescent="0.25">
      <c r="C98" s="10" t="s">
        <v>272</v>
      </c>
      <c r="D98" s="15">
        <v>65</v>
      </c>
      <c r="E98" s="15" t="s">
        <v>79</v>
      </c>
      <c r="F98" s="15">
        <v>0</v>
      </c>
      <c r="G98" s="15">
        <v>1</v>
      </c>
      <c r="H98" s="15">
        <v>1</v>
      </c>
      <c r="I98" s="15">
        <v>0</v>
      </c>
      <c r="J98" s="15">
        <v>1</v>
      </c>
      <c r="K98">
        <v>1</v>
      </c>
    </row>
    <row r="99" spans="3:11" x14ac:dyDescent="0.25">
      <c r="C99" s="10" t="s">
        <v>273</v>
      </c>
      <c r="D99" s="15">
        <v>66</v>
      </c>
      <c r="E99" s="15" t="s">
        <v>80</v>
      </c>
      <c r="F99" s="15">
        <v>0</v>
      </c>
      <c r="G99" s="15">
        <v>2</v>
      </c>
      <c r="H99" s="15">
        <v>2</v>
      </c>
      <c r="I99" s="15">
        <v>1</v>
      </c>
      <c r="J99" s="15">
        <v>1</v>
      </c>
      <c r="K99">
        <v>1</v>
      </c>
    </row>
    <row r="100" spans="3:11" x14ac:dyDescent="0.25">
      <c r="C100" s="10" t="s">
        <v>274</v>
      </c>
      <c r="D100" s="15">
        <v>67</v>
      </c>
      <c r="E100" s="15" t="s">
        <v>81</v>
      </c>
      <c r="F100" s="15">
        <v>0</v>
      </c>
      <c r="G100" s="15">
        <v>1</v>
      </c>
      <c r="H100" s="15">
        <v>1</v>
      </c>
      <c r="I100" s="15">
        <v>1</v>
      </c>
      <c r="J100" s="15">
        <v>1</v>
      </c>
      <c r="K100">
        <v>1</v>
      </c>
    </row>
    <row r="101" spans="3:11" x14ac:dyDescent="0.25">
      <c r="C101" s="10" t="s">
        <v>275</v>
      </c>
      <c r="D101" s="15">
        <v>68</v>
      </c>
      <c r="E101" s="15" t="s">
        <v>82</v>
      </c>
      <c r="F101" s="15">
        <v>0</v>
      </c>
      <c r="G101" s="15">
        <v>1</v>
      </c>
      <c r="H101" s="15">
        <v>1</v>
      </c>
      <c r="I101" s="15">
        <v>0</v>
      </c>
      <c r="J101" s="15">
        <v>0</v>
      </c>
      <c r="K101">
        <v>1</v>
      </c>
    </row>
    <row r="102" spans="3:11" x14ac:dyDescent="0.25">
      <c r="C102" s="10" t="s">
        <v>276</v>
      </c>
      <c r="D102" s="15">
        <v>69</v>
      </c>
      <c r="E102" s="15" t="s">
        <v>83</v>
      </c>
      <c r="F102" s="15">
        <v>0</v>
      </c>
      <c r="G102" s="15">
        <v>1</v>
      </c>
      <c r="H102" s="15">
        <v>3</v>
      </c>
      <c r="I102" s="15">
        <v>1</v>
      </c>
      <c r="J102" s="15">
        <v>0</v>
      </c>
      <c r="K102">
        <v>1</v>
      </c>
    </row>
    <row r="103" spans="3:11" x14ac:dyDescent="0.25">
      <c r="C103" s="10" t="s">
        <v>277</v>
      </c>
      <c r="D103" s="15">
        <v>70</v>
      </c>
      <c r="E103" s="15" t="s">
        <v>84</v>
      </c>
      <c r="F103" s="15">
        <v>0</v>
      </c>
      <c r="G103" s="15">
        <v>1</v>
      </c>
      <c r="H103" s="15">
        <v>1</v>
      </c>
      <c r="I103" s="15">
        <v>1</v>
      </c>
      <c r="J103" s="15">
        <v>1</v>
      </c>
      <c r="K103">
        <v>1</v>
      </c>
    </row>
    <row r="104" spans="3:11" x14ac:dyDescent="0.25">
      <c r="C104" s="10" t="s">
        <v>278</v>
      </c>
      <c r="D104" s="15">
        <v>71</v>
      </c>
      <c r="E104" s="15" t="s">
        <v>85</v>
      </c>
      <c r="F104" s="15">
        <v>0</v>
      </c>
      <c r="G104" s="15">
        <v>1</v>
      </c>
      <c r="H104" s="15">
        <v>3</v>
      </c>
      <c r="I104" s="15">
        <v>0</v>
      </c>
      <c r="J104" s="15">
        <v>2</v>
      </c>
      <c r="K104">
        <v>0</v>
      </c>
    </row>
    <row r="105" spans="3:11" x14ac:dyDescent="0.25">
      <c r="C105" s="10" t="s">
        <v>279</v>
      </c>
      <c r="D105" s="15">
        <v>72</v>
      </c>
      <c r="E105" s="15" t="s">
        <v>86</v>
      </c>
      <c r="F105" s="15">
        <v>0</v>
      </c>
      <c r="G105" s="15">
        <v>1</v>
      </c>
      <c r="H105" s="15">
        <v>1</v>
      </c>
      <c r="I105" s="15">
        <v>0</v>
      </c>
      <c r="J105" s="15">
        <v>0</v>
      </c>
      <c r="K105">
        <v>0</v>
      </c>
    </row>
    <row r="106" spans="3:11" x14ac:dyDescent="0.25">
      <c r="C106" s="10" t="s">
        <v>280</v>
      </c>
      <c r="D106" s="15">
        <v>73</v>
      </c>
      <c r="E106" s="15" t="s">
        <v>87</v>
      </c>
      <c r="F106" s="15">
        <v>0</v>
      </c>
      <c r="G106" s="15">
        <v>1</v>
      </c>
      <c r="H106" s="15">
        <v>0</v>
      </c>
      <c r="I106" s="15">
        <v>1</v>
      </c>
      <c r="J106" s="15">
        <v>0</v>
      </c>
      <c r="K106">
        <v>1</v>
      </c>
    </row>
    <row r="107" spans="3:11" x14ac:dyDescent="0.25">
      <c r="C107" s="10" t="s">
        <v>281</v>
      </c>
      <c r="D107" s="15">
        <v>74</v>
      </c>
      <c r="E107" s="15" t="s">
        <v>88</v>
      </c>
      <c r="F107" s="15">
        <v>0</v>
      </c>
      <c r="G107" s="15">
        <v>1</v>
      </c>
      <c r="H107" s="15">
        <v>1</v>
      </c>
      <c r="I107" s="15">
        <v>0</v>
      </c>
      <c r="J107" s="15">
        <v>1</v>
      </c>
      <c r="K107">
        <v>0</v>
      </c>
    </row>
    <row r="108" spans="3:11" x14ac:dyDescent="0.25">
      <c r="C108" s="10" t="s">
        <v>282</v>
      </c>
      <c r="D108" s="15">
        <v>75</v>
      </c>
      <c r="E108" s="15" t="s">
        <v>89</v>
      </c>
      <c r="F108" s="15">
        <v>0</v>
      </c>
      <c r="G108" s="15">
        <v>1</v>
      </c>
      <c r="H108" s="15">
        <v>1</v>
      </c>
      <c r="I108" s="15">
        <v>0</v>
      </c>
      <c r="J108" s="15">
        <v>0</v>
      </c>
      <c r="K108">
        <v>1</v>
      </c>
    </row>
    <row r="109" spans="3:11" x14ac:dyDescent="0.25">
      <c r="C109" s="10" t="s">
        <v>283</v>
      </c>
      <c r="D109" s="15">
        <v>76</v>
      </c>
      <c r="E109" s="15" t="s">
        <v>90</v>
      </c>
      <c r="F109" s="15">
        <v>0</v>
      </c>
      <c r="G109" s="15">
        <v>1</v>
      </c>
      <c r="H109" s="15">
        <v>1</v>
      </c>
      <c r="I109" s="15">
        <v>0</v>
      </c>
      <c r="J109" s="15">
        <v>1</v>
      </c>
      <c r="K109">
        <v>1</v>
      </c>
    </row>
    <row r="110" spans="3:11" x14ac:dyDescent="0.25">
      <c r="C110" s="10" t="s">
        <v>284</v>
      </c>
      <c r="D110" s="15">
        <v>77</v>
      </c>
      <c r="E110" s="15" t="s">
        <v>91</v>
      </c>
      <c r="F110" s="15">
        <v>1</v>
      </c>
      <c r="G110" s="15">
        <v>1</v>
      </c>
      <c r="H110" s="15">
        <v>0</v>
      </c>
      <c r="I110" s="15">
        <v>1</v>
      </c>
      <c r="J110" s="15">
        <v>1</v>
      </c>
      <c r="K110">
        <v>1</v>
      </c>
    </row>
    <row r="111" spans="3:11" x14ac:dyDescent="0.25">
      <c r="C111" s="10" t="s">
        <v>285</v>
      </c>
      <c r="D111" s="15">
        <v>78</v>
      </c>
      <c r="E111" s="15" t="s">
        <v>92</v>
      </c>
      <c r="F111" s="15">
        <v>1</v>
      </c>
      <c r="G111" s="15">
        <v>1</v>
      </c>
      <c r="H111" s="15">
        <v>0</v>
      </c>
      <c r="I111" s="15">
        <v>1</v>
      </c>
      <c r="J111" s="15">
        <v>2</v>
      </c>
      <c r="K111">
        <v>1</v>
      </c>
    </row>
    <row r="112" spans="3:11" x14ac:dyDescent="0.25">
      <c r="C112" s="10" t="s">
        <v>286</v>
      </c>
      <c r="D112" s="15">
        <v>79</v>
      </c>
      <c r="E112" s="15" t="s">
        <v>93</v>
      </c>
      <c r="F112" s="15">
        <v>1</v>
      </c>
      <c r="G112" s="15">
        <v>1</v>
      </c>
      <c r="H112" s="15">
        <v>1</v>
      </c>
      <c r="I112" s="15">
        <v>1</v>
      </c>
      <c r="J112" s="15">
        <v>1</v>
      </c>
      <c r="K112">
        <v>0</v>
      </c>
    </row>
    <row r="113" spans="3:11" x14ac:dyDescent="0.25">
      <c r="C113" s="10" t="s">
        <v>287</v>
      </c>
      <c r="D113" s="15">
        <v>80</v>
      </c>
      <c r="E113" s="15" t="s">
        <v>94</v>
      </c>
      <c r="F113" s="15">
        <v>1</v>
      </c>
      <c r="G113" s="15">
        <v>1</v>
      </c>
      <c r="H113" s="15">
        <v>1</v>
      </c>
      <c r="I113" s="15">
        <v>0</v>
      </c>
      <c r="J113" s="15">
        <v>1</v>
      </c>
      <c r="K113">
        <v>1</v>
      </c>
    </row>
    <row r="114" spans="3:11" x14ac:dyDescent="0.25">
      <c r="C114" s="10" t="s">
        <v>288</v>
      </c>
      <c r="D114" s="15">
        <v>81</v>
      </c>
      <c r="E114" s="15" t="s">
        <v>95</v>
      </c>
      <c r="F114" s="15">
        <v>1</v>
      </c>
      <c r="G114" s="15">
        <v>1</v>
      </c>
      <c r="H114" s="15">
        <v>1</v>
      </c>
      <c r="I114" s="15">
        <v>1</v>
      </c>
      <c r="J114" s="15">
        <v>1</v>
      </c>
      <c r="K114">
        <v>0</v>
      </c>
    </row>
    <row r="115" spans="3:11" x14ac:dyDescent="0.25">
      <c r="C115" s="10" t="s">
        <v>289</v>
      </c>
      <c r="D115" s="15">
        <v>82</v>
      </c>
      <c r="E115" s="15" t="s">
        <v>96</v>
      </c>
      <c r="F115" s="15">
        <v>1</v>
      </c>
      <c r="G115" s="15">
        <v>0</v>
      </c>
      <c r="H115" s="15">
        <v>1</v>
      </c>
      <c r="I115" s="15">
        <v>1</v>
      </c>
      <c r="J115" s="15">
        <v>2</v>
      </c>
      <c r="K115">
        <v>1</v>
      </c>
    </row>
    <row r="116" spans="3:11" x14ac:dyDescent="0.25">
      <c r="C116" s="10" t="s">
        <v>290</v>
      </c>
      <c r="D116" s="15">
        <v>83</v>
      </c>
      <c r="E116" s="15" t="s">
        <v>97</v>
      </c>
      <c r="F116" s="15">
        <v>1</v>
      </c>
      <c r="G116" s="15">
        <v>1</v>
      </c>
      <c r="H116" s="15">
        <v>1</v>
      </c>
      <c r="I116" s="15">
        <v>1</v>
      </c>
      <c r="J116" s="15">
        <v>1</v>
      </c>
      <c r="K116">
        <v>0</v>
      </c>
    </row>
    <row r="117" spans="3:11" x14ac:dyDescent="0.25">
      <c r="C117" s="10" t="s">
        <v>291</v>
      </c>
      <c r="D117" s="15">
        <v>84</v>
      </c>
      <c r="E117" s="15" t="s">
        <v>98</v>
      </c>
      <c r="F117" s="15">
        <v>1</v>
      </c>
      <c r="G117" s="15">
        <v>1</v>
      </c>
      <c r="H117" s="15">
        <v>1</v>
      </c>
      <c r="I117" s="15">
        <v>0</v>
      </c>
      <c r="J117" s="15">
        <v>3</v>
      </c>
      <c r="K117">
        <v>1</v>
      </c>
    </row>
    <row r="118" spans="3:11" x14ac:dyDescent="0.25">
      <c r="C118" s="10" t="s">
        <v>292</v>
      </c>
      <c r="D118" s="15">
        <v>85</v>
      </c>
      <c r="E118" s="15" t="s">
        <v>99</v>
      </c>
      <c r="F118" s="15">
        <v>1</v>
      </c>
      <c r="G118" s="15">
        <v>1</v>
      </c>
      <c r="H118" s="15">
        <v>0</v>
      </c>
      <c r="I118" s="15">
        <v>1</v>
      </c>
      <c r="J118" s="15">
        <v>1</v>
      </c>
      <c r="K118">
        <v>1</v>
      </c>
    </row>
    <row r="119" spans="3:11" x14ac:dyDescent="0.25">
      <c r="C119" s="10" t="s">
        <v>293</v>
      </c>
      <c r="D119" s="15">
        <v>86</v>
      </c>
      <c r="E119" s="15" t="s">
        <v>100</v>
      </c>
      <c r="F119" s="15">
        <v>0</v>
      </c>
      <c r="G119" s="15">
        <v>1</v>
      </c>
      <c r="H119" s="15">
        <v>1</v>
      </c>
      <c r="I119" s="15">
        <v>0</v>
      </c>
      <c r="J119" s="15">
        <v>1</v>
      </c>
      <c r="K119">
        <v>1</v>
      </c>
    </row>
    <row r="120" spans="3:11" x14ac:dyDescent="0.25">
      <c r="C120" s="10" t="s">
        <v>294</v>
      </c>
      <c r="D120" s="15">
        <v>87</v>
      </c>
      <c r="E120" s="15" t="s">
        <v>101</v>
      </c>
      <c r="F120" s="15">
        <v>0</v>
      </c>
      <c r="G120" s="15">
        <v>2</v>
      </c>
      <c r="H120" s="15">
        <v>2</v>
      </c>
      <c r="I120" s="15">
        <v>1</v>
      </c>
      <c r="J120" s="15">
        <v>1</v>
      </c>
      <c r="K120">
        <v>1</v>
      </c>
    </row>
    <row r="121" spans="3:11" x14ac:dyDescent="0.25">
      <c r="C121" s="10" t="s">
        <v>295</v>
      </c>
      <c r="D121" s="15">
        <v>88</v>
      </c>
      <c r="E121" s="15" t="s">
        <v>102</v>
      </c>
      <c r="F121" s="15">
        <v>0</v>
      </c>
      <c r="G121" s="15">
        <v>1</v>
      </c>
      <c r="H121" s="15">
        <v>1</v>
      </c>
      <c r="I121" s="15">
        <v>1</v>
      </c>
      <c r="J121" s="15">
        <v>1</v>
      </c>
      <c r="K121">
        <v>1</v>
      </c>
    </row>
    <row r="122" spans="3:11" x14ac:dyDescent="0.25">
      <c r="C122" s="10" t="s">
        <v>296</v>
      </c>
      <c r="D122" s="15">
        <v>89</v>
      </c>
      <c r="E122" s="15" t="s">
        <v>103</v>
      </c>
      <c r="F122" s="15">
        <v>0</v>
      </c>
      <c r="G122" s="15">
        <v>1</v>
      </c>
      <c r="H122" s="15">
        <v>1</v>
      </c>
      <c r="I122" s="15">
        <v>0</v>
      </c>
      <c r="J122" s="15">
        <v>0</v>
      </c>
      <c r="K122">
        <v>1</v>
      </c>
    </row>
    <row r="123" spans="3:11" x14ac:dyDescent="0.25">
      <c r="C123" s="10" t="s">
        <v>297</v>
      </c>
      <c r="D123" s="15">
        <v>90</v>
      </c>
      <c r="E123" s="15" t="s">
        <v>104</v>
      </c>
      <c r="F123" s="15">
        <v>0</v>
      </c>
      <c r="G123" s="15">
        <v>1</v>
      </c>
      <c r="H123" s="15">
        <v>3</v>
      </c>
      <c r="I123" s="15">
        <v>1</v>
      </c>
      <c r="J123" s="15">
        <v>0</v>
      </c>
      <c r="K123">
        <v>1</v>
      </c>
    </row>
    <row r="124" spans="3:11" x14ac:dyDescent="0.25">
      <c r="C124" s="10" t="s">
        <v>298</v>
      </c>
      <c r="D124" s="15">
        <v>91</v>
      </c>
      <c r="E124" s="15" t="s">
        <v>105</v>
      </c>
      <c r="F124" s="15">
        <v>0</v>
      </c>
      <c r="G124" s="15">
        <v>1</v>
      </c>
      <c r="H124" s="15">
        <v>1</v>
      </c>
      <c r="I124" s="15">
        <v>1</v>
      </c>
      <c r="J124" s="15">
        <v>1</v>
      </c>
      <c r="K124">
        <v>1</v>
      </c>
    </row>
    <row r="125" spans="3:11" x14ac:dyDescent="0.25">
      <c r="C125" s="10" t="s">
        <v>299</v>
      </c>
      <c r="D125" s="15">
        <v>92</v>
      </c>
      <c r="E125" s="15" t="s">
        <v>106</v>
      </c>
      <c r="F125" s="15">
        <v>0</v>
      </c>
      <c r="G125" s="15">
        <v>1</v>
      </c>
      <c r="H125" s="15">
        <v>3</v>
      </c>
      <c r="I125" s="15">
        <v>0</v>
      </c>
      <c r="J125" s="15">
        <v>2</v>
      </c>
      <c r="K125">
        <v>0</v>
      </c>
    </row>
    <row r="126" spans="3:11" x14ac:dyDescent="0.25">
      <c r="C126" s="10" t="s">
        <v>300</v>
      </c>
      <c r="D126" s="15">
        <v>93</v>
      </c>
      <c r="E126" s="15" t="s">
        <v>107</v>
      </c>
      <c r="F126" s="15">
        <v>0</v>
      </c>
      <c r="G126" s="15">
        <v>1</v>
      </c>
      <c r="H126" s="15">
        <v>1</v>
      </c>
      <c r="I126" s="15">
        <v>0</v>
      </c>
      <c r="J126" s="15">
        <v>0</v>
      </c>
      <c r="K126">
        <v>0</v>
      </c>
    </row>
    <row r="127" spans="3:11" x14ac:dyDescent="0.25">
      <c r="C127" s="10" t="s">
        <v>301</v>
      </c>
      <c r="D127" s="15">
        <v>94</v>
      </c>
      <c r="E127" s="15" t="s">
        <v>108</v>
      </c>
      <c r="F127" s="15">
        <v>0</v>
      </c>
      <c r="G127" s="15">
        <v>1</v>
      </c>
      <c r="H127" s="15">
        <v>0</v>
      </c>
      <c r="I127" s="15">
        <v>1</v>
      </c>
      <c r="J127" s="15">
        <v>0</v>
      </c>
      <c r="K127">
        <v>1</v>
      </c>
    </row>
    <row r="128" spans="3:11" x14ac:dyDescent="0.25">
      <c r="C128" s="10" t="s">
        <v>302</v>
      </c>
      <c r="D128" s="15">
        <v>95</v>
      </c>
      <c r="E128" s="15" t="s">
        <v>109</v>
      </c>
      <c r="F128" s="15">
        <v>0</v>
      </c>
      <c r="G128" s="15">
        <v>1</v>
      </c>
      <c r="H128" s="15">
        <v>1</v>
      </c>
      <c r="I128" s="15">
        <v>0</v>
      </c>
      <c r="J128" s="15">
        <v>1</v>
      </c>
      <c r="K128">
        <v>0</v>
      </c>
    </row>
    <row r="129" spans="3:11" x14ac:dyDescent="0.25">
      <c r="C129" s="10" t="s">
        <v>303</v>
      </c>
      <c r="D129" s="15">
        <v>96</v>
      </c>
      <c r="E129" s="15" t="s">
        <v>110</v>
      </c>
      <c r="F129" s="15">
        <v>0</v>
      </c>
      <c r="G129" s="15">
        <v>1</v>
      </c>
      <c r="H129" s="15">
        <v>1</v>
      </c>
      <c r="I129" s="15">
        <v>0</v>
      </c>
      <c r="J129" s="15">
        <v>0</v>
      </c>
      <c r="K129">
        <v>1</v>
      </c>
    </row>
    <row r="130" spans="3:11" x14ac:dyDescent="0.25">
      <c r="C130" s="10" t="s">
        <v>304</v>
      </c>
      <c r="D130" s="15">
        <v>97</v>
      </c>
      <c r="E130" s="15" t="s">
        <v>111</v>
      </c>
      <c r="F130" s="15">
        <v>0</v>
      </c>
      <c r="G130" s="15">
        <v>1</v>
      </c>
      <c r="H130" s="15">
        <v>1</v>
      </c>
      <c r="I130" s="15">
        <v>0</v>
      </c>
      <c r="J130" s="15">
        <v>1</v>
      </c>
      <c r="K130">
        <v>1</v>
      </c>
    </row>
    <row r="131" spans="3:11" x14ac:dyDescent="0.25">
      <c r="C131" s="10" t="s">
        <v>305</v>
      </c>
      <c r="D131" s="15">
        <v>98</v>
      </c>
      <c r="E131" s="15" t="s">
        <v>112</v>
      </c>
      <c r="F131" s="15">
        <v>0</v>
      </c>
      <c r="G131" s="15">
        <v>1</v>
      </c>
      <c r="H131" s="15">
        <v>1</v>
      </c>
      <c r="I131" s="15">
        <v>0</v>
      </c>
      <c r="J131" s="15">
        <v>1</v>
      </c>
      <c r="K131">
        <v>1</v>
      </c>
    </row>
    <row r="132" spans="3:11" x14ac:dyDescent="0.25">
      <c r="C132" s="10" t="s">
        <v>306</v>
      </c>
      <c r="D132" s="15">
        <v>99</v>
      </c>
      <c r="E132" s="15" t="s">
        <v>113</v>
      </c>
      <c r="F132" s="15">
        <v>0</v>
      </c>
      <c r="G132" s="15">
        <v>2</v>
      </c>
      <c r="H132" s="15">
        <v>2</v>
      </c>
      <c r="I132" s="15">
        <v>1</v>
      </c>
      <c r="J132" s="15">
        <v>1</v>
      </c>
      <c r="K132">
        <v>1</v>
      </c>
    </row>
    <row r="133" spans="3:11" x14ac:dyDescent="0.25">
      <c r="C133" s="10" t="s">
        <v>307</v>
      </c>
      <c r="D133" s="15">
        <v>100</v>
      </c>
      <c r="E133" s="15" t="s">
        <v>114</v>
      </c>
      <c r="F133" s="15">
        <v>0</v>
      </c>
      <c r="G133" s="15">
        <v>1</v>
      </c>
      <c r="H133" s="15">
        <v>1</v>
      </c>
      <c r="I133" s="15">
        <v>1</v>
      </c>
      <c r="J133" s="15">
        <v>1</v>
      </c>
      <c r="K133">
        <v>1</v>
      </c>
    </row>
    <row r="134" spans="3:11" x14ac:dyDescent="0.25">
      <c r="C134" s="10" t="s">
        <v>308</v>
      </c>
      <c r="D134" s="15">
        <v>101</v>
      </c>
      <c r="E134" s="15" t="s">
        <v>115</v>
      </c>
      <c r="F134" s="15">
        <v>0</v>
      </c>
      <c r="G134" s="15">
        <v>1</v>
      </c>
      <c r="H134" s="15">
        <v>1</v>
      </c>
      <c r="I134" s="15">
        <v>0</v>
      </c>
      <c r="J134" s="15">
        <v>0</v>
      </c>
      <c r="K134">
        <v>1</v>
      </c>
    </row>
    <row r="135" spans="3:11" x14ac:dyDescent="0.25">
      <c r="C135" s="10" t="s">
        <v>309</v>
      </c>
      <c r="D135" s="15">
        <v>102</v>
      </c>
      <c r="E135" s="15" t="s">
        <v>116</v>
      </c>
      <c r="F135" s="15">
        <v>0</v>
      </c>
      <c r="G135" s="15">
        <v>1</v>
      </c>
      <c r="H135" s="15">
        <v>3</v>
      </c>
      <c r="I135" s="15">
        <v>1</v>
      </c>
      <c r="J135" s="15">
        <v>0</v>
      </c>
      <c r="K135">
        <v>1</v>
      </c>
    </row>
    <row r="136" spans="3:11" x14ac:dyDescent="0.25">
      <c r="C136" s="10" t="s">
        <v>310</v>
      </c>
      <c r="D136" s="15">
        <v>103</v>
      </c>
      <c r="E136" s="15" t="s">
        <v>117</v>
      </c>
      <c r="F136" s="15">
        <v>0</v>
      </c>
      <c r="G136" s="15">
        <v>1</v>
      </c>
      <c r="H136" s="15">
        <v>1</v>
      </c>
      <c r="I136" s="15">
        <v>1</v>
      </c>
      <c r="J136" s="15">
        <v>1</v>
      </c>
      <c r="K136">
        <v>1</v>
      </c>
    </row>
    <row r="137" spans="3:11" x14ac:dyDescent="0.25">
      <c r="C137" s="10" t="s">
        <v>311</v>
      </c>
      <c r="D137" s="15">
        <v>104</v>
      </c>
      <c r="E137" s="15" t="s">
        <v>118</v>
      </c>
      <c r="F137" s="15">
        <v>0</v>
      </c>
      <c r="G137" s="15">
        <v>1</v>
      </c>
      <c r="H137" s="15">
        <v>3</v>
      </c>
      <c r="I137" s="15">
        <v>0</v>
      </c>
      <c r="J137" s="15">
        <v>2</v>
      </c>
      <c r="K137">
        <v>0</v>
      </c>
    </row>
    <row r="138" spans="3:11" x14ac:dyDescent="0.25">
      <c r="C138" s="10" t="s">
        <v>312</v>
      </c>
      <c r="D138" s="15">
        <v>105</v>
      </c>
      <c r="E138" s="15" t="s">
        <v>119</v>
      </c>
      <c r="F138" s="15">
        <v>0</v>
      </c>
      <c r="G138" s="15">
        <v>1</v>
      </c>
      <c r="H138" s="15">
        <v>1</v>
      </c>
      <c r="I138" s="15">
        <v>0</v>
      </c>
      <c r="J138" s="15">
        <v>0</v>
      </c>
      <c r="K138">
        <v>0</v>
      </c>
    </row>
    <row r="139" spans="3:11" x14ac:dyDescent="0.25">
      <c r="C139" s="10" t="s">
        <v>313</v>
      </c>
      <c r="D139" s="15">
        <v>106</v>
      </c>
      <c r="E139" s="15" t="s">
        <v>120</v>
      </c>
      <c r="F139" s="15">
        <v>0</v>
      </c>
      <c r="G139" s="15">
        <v>1</v>
      </c>
      <c r="H139" s="15">
        <v>0</v>
      </c>
      <c r="I139" s="15">
        <v>1</v>
      </c>
      <c r="J139" s="15">
        <v>0</v>
      </c>
      <c r="K139">
        <v>1</v>
      </c>
    </row>
    <row r="140" spans="3:11" x14ac:dyDescent="0.25">
      <c r="C140" s="10" t="s">
        <v>314</v>
      </c>
      <c r="D140" s="15">
        <v>107</v>
      </c>
      <c r="E140" s="15" t="s">
        <v>121</v>
      </c>
      <c r="F140" s="15">
        <v>0</v>
      </c>
      <c r="G140" s="15">
        <v>1</v>
      </c>
      <c r="H140" s="15">
        <v>1</v>
      </c>
      <c r="I140" s="15">
        <v>0</v>
      </c>
      <c r="J140" s="15">
        <v>1</v>
      </c>
      <c r="K140">
        <v>0</v>
      </c>
    </row>
    <row r="141" spans="3:11" x14ac:dyDescent="0.25">
      <c r="C141" s="10" t="s">
        <v>315</v>
      </c>
      <c r="D141" s="15">
        <v>108</v>
      </c>
      <c r="E141" s="15" t="s">
        <v>122</v>
      </c>
      <c r="F141" s="15">
        <v>0</v>
      </c>
      <c r="G141" s="15">
        <v>1</v>
      </c>
      <c r="H141" s="15">
        <v>1</v>
      </c>
      <c r="I141" s="15">
        <v>0</v>
      </c>
      <c r="J141" s="15">
        <v>0</v>
      </c>
      <c r="K141">
        <v>1</v>
      </c>
    </row>
    <row r="142" spans="3:11" x14ac:dyDescent="0.25">
      <c r="C142" s="10" t="s">
        <v>316</v>
      </c>
      <c r="D142" s="15">
        <v>109</v>
      </c>
      <c r="E142" s="15" t="s">
        <v>123</v>
      </c>
      <c r="F142" s="15">
        <v>0</v>
      </c>
      <c r="G142" s="15">
        <v>1</v>
      </c>
      <c r="H142" s="15">
        <v>1</v>
      </c>
      <c r="I142" s="15">
        <v>0</v>
      </c>
      <c r="J142" s="15">
        <v>1</v>
      </c>
      <c r="K142">
        <v>1</v>
      </c>
    </row>
    <row r="143" spans="3:11" x14ac:dyDescent="0.25">
      <c r="C143" s="10" t="s">
        <v>317</v>
      </c>
      <c r="D143" s="15">
        <v>110</v>
      </c>
      <c r="E143" s="15" t="s">
        <v>124</v>
      </c>
      <c r="F143" s="15">
        <v>0</v>
      </c>
      <c r="G143" s="15">
        <v>1</v>
      </c>
      <c r="H143" s="15">
        <v>1</v>
      </c>
      <c r="I143" s="15">
        <v>0</v>
      </c>
      <c r="J143" s="15">
        <v>1</v>
      </c>
      <c r="K143">
        <v>1</v>
      </c>
    </row>
    <row r="144" spans="3:11" x14ac:dyDescent="0.25">
      <c r="C144" s="10" t="s">
        <v>318</v>
      </c>
      <c r="D144" s="15">
        <v>111</v>
      </c>
      <c r="E144" s="15" t="s">
        <v>125</v>
      </c>
      <c r="F144" s="15">
        <v>0</v>
      </c>
      <c r="G144" s="15">
        <v>2</v>
      </c>
      <c r="H144" s="15">
        <v>2</v>
      </c>
      <c r="I144" s="15">
        <v>1</v>
      </c>
      <c r="J144" s="15">
        <v>1</v>
      </c>
      <c r="K144">
        <v>1</v>
      </c>
    </row>
    <row r="145" spans="3:11" x14ac:dyDescent="0.25">
      <c r="C145" s="10" t="s">
        <v>319</v>
      </c>
      <c r="D145" s="15">
        <v>112</v>
      </c>
      <c r="E145" s="15" t="s">
        <v>126</v>
      </c>
      <c r="F145" s="15">
        <v>0</v>
      </c>
      <c r="G145" s="15">
        <v>1</v>
      </c>
      <c r="H145" s="15">
        <v>1</v>
      </c>
      <c r="I145" s="15">
        <v>1</v>
      </c>
      <c r="J145" s="15">
        <v>1</v>
      </c>
      <c r="K145">
        <v>1</v>
      </c>
    </row>
    <row r="146" spans="3:11" x14ac:dyDescent="0.25">
      <c r="C146" s="10" t="s">
        <v>320</v>
      </c>
      <c r="D146" s="15">
        <v>113</v>
      </c>
      <c r="E146" s="15" t="s">
        <v>127</v>
      </c>
      <c r="F146" s="15">
        <v>0</v>
      </c>
      <c r="G146" s="15">
        <v>1</v>
      </c>
      <c r="H146" s="15">
        <v>1</v>
      </c>
      <c r="I146" s="15">
        <v>0</v>
      </c>
      <c r="J146" s="15">
        <v>0</v>
      </c>
      <c r="K146">
        <v>1</v>
      </c>
    </row>
    <row r="147" spans="3:11" x14ac:dyDescent="0.25">
      <c r="C147" s="10" t="s">
        <v>321</v>
      </c>
      <c r="D147" s="15">
        <v>114</v>
      </c>
      <c r="E147" s="15" t="s">
        <v>128</v>
      </c>
      <c r="F147" s="15">
        <v>0</v>
      </c>
      <c r="G147" s="15">
        <v>1</v>
      </c>
      <c r="H147" s="15">
        <v>3</v>
      </c>
      <c r="I147" s="15">
        <v>1</v>
      </c>
      <c r="J147" s="15">
        <v>0</v>
      </c>
      <c r="K147">
        <v>1</v>
      </c>
    </row>
    <row r="148" spans="3:11" x14ac:dyDescent="0.25">
      <c r="C148" s="10" t="s">
        <v>322</v>
      </c>
      <c r="D148" s="15">
        <v>115</v>
      </c>
      <c r="E148" s="15" t="s">
        <v>129</v>
      </c>
      <c r="F148" s="15">
        <v>0</v>
      </c>
      <c r="G148" s="15">
        <v>1</v>
      </c>
      <c r="H148" s="15">
        <v>1</v>
      </c>
      <c r="I148" s="15">
        <v>1</v>
      </c>
      <c r="J148" s="15">
        <v>1</v>
      </c>
      <c r="K148">
        <v>1</v>
      </c>
    </row>
    <row r="149" spans="3:11" x14ac:dyDescent="0.25">
      <c r="C149" s="10" t="s">
        <v>323</v>
      </c>
      <c r="D149" s="15">
        <v>116</v>
      </c>
      <c r="E149" s="15" t="s">
        <v>130</v>
      </c>
      <c r="F149" s="15">
        <v>0</v>
      </c>
      <c r="G149" s="15">
        <v>1</v>
      </c>
      <c r="H149" s="15">
        <v>3</v>
      </c>
      <c r="I149" s="15">
        <v>0</v>
      </c>
      <c r="J149" s="15">
        <v>2</v>
      </c>
      <c r="K149">
        <v>0</v>
      </c>
    </row>
    <row r="150" spans="3:11" x14ac:dyDescent="0.25">
      <c r="C150" s="10" t="s">
        <v>324</v>
      </c>
      <c r="D150" s="15">
        <v>117</v>
      </c>
      <c r="E150" s="15" t="s">
        <v>131</v>
      </c>
      <c r="F150" s="15">
        <v>0</v>
      </c>
      <c r="G150" s="15">
        <v>1</v>
      </c>
      <c r="H150" s="15">
        <v>1</v>
      </c>
      <c r="I150" s="15">
        <v>0</v>
      </c>
      <c r="J150" s="15">
        <v>0</v>
      </c>
      <c r="K150">
        <v>0</v>
      </c>
    </row>
    <row r="151" spans="3:11" x14ac:dyDescent="0.25">
      <c r="C151" s="10" t="s">
        <v>325</v>
      </c>
      <c r="D151" s="15">
        <v>118</v>
      </c>
      <c r="E151" s="15" t="s">
        <v>132</v>
      </c>
      <c r="F151" s="15">
        <v>0</v>
      </c>
      <c r="G151" s="15">
        <v>1</v>
      </c>
      <c r="H151" s="15">
        <v>0</v>
      </c>
      <c r="I151" s="15">
        <v>1</v>
      </c>
      <c r="J151" s="15">
        <v>0</v>
      </c>
      <c r="K151">
        <v>1</v>
      </c>
    </row>
    <row r="152" spans="3:11" x14ac:dyDescent="0.25">
      <c r="C152" s="10" t="s">
        <v>326</v>
      </c>
      <c r="D152" s="15">
        <v>119</v>
      </c>
      <c r="E152" s="15" t="s">
        <v>133</v>
      </c>
      <c r="F152" s="15">
        <v>0</v>
      </c>
      <c r="G152" s="15">
        <v>1</v>
      </c>
      <c r="H152" s="15">
        <v>1</v>
      </c>
      <c r="I152" s="15">
        <v>0</v>
      </c>
      <c r="J152" s="15">
        <v>1</v>
      </c>
      <c r="K152">
        <v>0</v>
      </c>
    </row>
    <row r="153" spans="3:11" x14ac:dyDescent="0.25">
      <c r="C153" s="10" t="s">
        <v>327</v>
      </c>
      <c r="D153" s="15">
        <v>120</v>
      </c>
      <c r="E153" s="15" t="s">
        <v>134</v>
      </c>
      <c r="F153" s="15">
        <v>0</v>
      </c>
      <c r="G153" s="15">
        <v>1</v>
      </c>
      <c r="H153" s="15">
        <v>1</v>
      </c>
      <c r="I153" s="15">
        <v>0</v>
      </c>
      <c r="J153" s="15">
        <v>0</v>
      </c>
      <c r="K153">
        <v>1</v>
      </c>
    </row>
    <row r="154" spans="3:11" x14ac:dyDescent="0.25">
      <c r="C154" s="10" t="s">
        <v>328</v>
      </c>
      <c r="D154" s="15">
        <v>121</v>
      </c>
      <c r="E154" s="15" t="s">
        <v>135</v>
      </c>
      <c r="F154" s="15">
        <v>0</v>
      </c>
      <c r="G154" s="15">
        <v>1</v>
      </c>
      <c r="H154" s="15">
        <v>1</v>
      </c>
      <c r="I154" s="15">
        <v>0</v>
      </c>
      <c r="J154" s="15">
        <v>1</v>
      </c>
      <c r="K154">
        <v>1</v>
      </c>
    </row>
    <row r="155" spans="3:11" x14ac:dyDescent="0.25">
      <c r="C155" s="10" t="s">
        <v>329</v>
      </c>
      <c r="D155" s="15">
        <v>122</v>
      </c>
      <c r="E155" s="15" t="s">
        <v>136</v>
      </c>
      <c r="F155" s="15">
        <v>0</v>
      </c>
      <c r="G155" s="15">
        <v>1</v>
      </c>
      <c r="H155" s="15">
        <v>1</v>
      </c>
      <c r="I155" s="15">
        <v>0</v>
      </c>
      <c r="J155" s="15">
        <v>1</v>
      </c>
      <c r="K155">
        <v>1</v>
      </c>
    </row>
    <row r="156" spans="3:11" x14ac:dyDescent="0.25">
      <c r="C156" s="10" t="s">
        <v>330</v>
      </c>
      <c r="D156" s="15">
        <v>123</v>
      </c>
      <c r="E156" s="15" t="s">
        <v>137</v>
      </c>
      <c r="F156" s="15">
        <v>0</v>
      </c>
      <c r="G156" s="15">
        <v>2</v>
      </c>
      <c r="H156" s="15">
        <v>2</v>
      </c>
      <c r="I156" s="15">
        <v>1</v>
      </c>
      <c r="J156" s="15">
        <v>1</v>
      </c>
      <c r="K156">
        <v>1</v>
      </c>
    </row>
    <row r="157" spans="3:11" x14ac:dyDescent="0.25">
      <c r="C157" s="10" t="s">
        <v>331</v>
      </c>
      <c r="D157" s="15">
        <v>124</v>
      </c>
      <c r="E157" s="15" t="s">
        <v>138</v>
      </c>
      <c r="F157" s="15">
        <v>0</v>
      </c>
      <c r="G157" s="15">
        <v>1</v>
      </c>
      <c r="H157" s="15">
        <v>1</v>
      </c>
      <c r="I157" s="15">
        <v>1</v>
      </c>
      <c r="J157" s="15">
        <v>1</v>
      </c>
      <c r="K157">
        <v>1</v>
      </c>
    </row>
    <row r="158" spans="3:11" x14ac:dyDescent="0.25">
      <c r="C158" s="10" t="s">
        <v>332</v>
      </c>
      <c r="D158" s="15">
        <v>125</v>
      </c>
      <c r="E158" s="15" t="s">
        <v>139</v>
      </c>
      <c r="F158" s="15">
        <v>0</v>
      </c>
      <c r="G158" s="15">
        <v>1</v>
      </c>
      <c r="H158" s="15">
        <v>1</v>
      </c>
      <c r="I158" s="15">
        <v>0</v>
      </c>
      <c r="J158" s="15">
        <v>0</v>
      </c>
      <c r="K158">
        <v>1</v>
      </c>
    </row>
    <row r="159" spans="3:11" x14ac:dyDescent="0.25">
      <c r="C159" s="10" t="s">
        <v>333</v>
      </c>
      <c r="D159" s="15">
        <v>126</v>
      </c>
      <c r="E159" s="15" t="s">
        <v>140</v>
      </c>
      <c r="F159" s="15">
        <v>0</v>
      </c>
      <c r="G159" s="15">
        <v>1</v>
      </c>
      <c r="H159" s="15">
        <v>3</v>
      </c>
      <c r="I159" s="15">
        <v>1</v>
      </c>
      <c r="J159" s="15">
        <v>0</v>
      </c>
      <c r="K159">
        <v>1</v>
      </c>
    </row>
    <row r="160" spans="3:11" x14ac:dyDescent="0.25">
      <c r="C160" s="10" t="s">
        <v>334</v>
      </c>
      <c r="D160" s="15">
        <v>127</v>
      </c>
      <c r="E160" s="15" t="s">
        <v>141</v>
      </c>
      <c r="F160" s="15">
        <v>0</v>
      </c>
      <c r="G160" s="15">
        <v>1</v>
      </c>
      <c r="H160" s="15">
        <v>1</v>
      </c>
      <c r="I160" s="15">
        <v>1</v>
      </c>
      <c r="J160" s="15">
        <v>1</v>
      </c>
      <c r="K160">
        <v>1</v>
      </c>
    </row>
    <row r="161" spans="3:11" x14ac:dyDescent="0.25">
      <c r="C161" s="10" t="s">
        <v>335</v>
      </c>
      <c r="D161" s="15">
        <v>128</v>
      </c>
      <c r="E161" s="15" t="s">
        <v>142</v>
      </c>
      <c r="F161" s="15">
        <v>0</v>
      </c>
      <c r="G161" s="15">
        <v>1</v>
      </c>
      <c r="H161" s="15">
        <v>3</v>
      </c>
      <c r="I161" s="15">
        <v>0</v>
      </c>
      <c r="J161" s="15">
        <v>2</v>
      </c>
      <c r="K161">
        <v>0</v>
      </c>
    </row>
    <row r="162" spans="3:11" x14ac:dyDescent="0.25">
      <c r="C162" s="10" t="s">
        <v>336</v>
      </c>
      <c r="D162" s="15">
        <v>129</v>
      </c>
      <c r="E162" s="15" t="s">
        <v>143</v>
      </c>
      <c r="F162" s="15">
        <v>0</v>
      </c>
      <c r="G162" s="15">
        <v>1</v>
      </c>
      <c r="H162" s="15">
        <v>1</v>
      </c>
      <c r="I162" s="15">
        <v>0</v>
      </c>
      <c r="J162" s="15">
        <v>0</v>
      </c>
      <c r="K162">
        <v>0</v>
      </c>
    </row>
    <row r="163" spans="3:11" x14ac:dyDescent="0.25">
      <c r="C163" s="10" t="s">
        <v>337</v>
      </c>
      <c r="D163" s="15">
        <v>130</v>
      </c>
      <c r="E163" s="15" t="s">
        <v>144</v>
      </c>
      <c r="F163" s="15">
        <v>0</v>
      </c>
      <c r="G163" s="15">
        <v>1</v>
      </c>
      <c r="H163" s="15">
        <v>0</v>
      </c>
      <c r="I163" s="15">
        <v>1</v>
      </c>
      <c r="J163" s="15">
        <v>0</v>
      </c>
      <c r="K163">
        <v>1</v>
      </c>
    </row>
    <row r="164" spans="3:11" x14ac:dyDescent="0.25">
      <c r="C164" s="10" t="s">
        <v>338</v>
      </c>
      <c r="D164" s="15">
        <v>131</v>
      </c>
      <c r="E164" s="15" t="s">
        <v>145</v>
      </c>
      <c r="F164" s="15">
        <v>0</v>
      </c>
      <c r="G164" s="15">
        <v>1</v>
      </c>
      <c r="H164" s="15">
        <v>1</v>
      </c>
      <c r="I164" s="15">
        <v>0</v>
      </c>
      <c r="J164" s="15">
        <v>1</v>
      </c>
      <c r="K164">
        <v>0</v>
      </c>
    </row>
    <row r="165" spans="3:11" x14ac:dyDescent="0.25">
      <c r="C165" s="10" t="s">
        <v>339</v>
      </c>
      <c r="D165" s="15">
        <v>132</v>
      </c>
      <c r="E165" s="15" t="s">
        <v>146</v>
      </c>
      <c r="F165" s="15">
        <v>0</v>
      </c>
      <c r="G165" s="15">
        <v>1</v>
      </c>
      <c r="H165" s="15">
        <v>1</v>
      </c>
      <c r="I165" s="15">
        <v>0</v>
      </c>
      <c r="J165" s="15">
        <v>0</v>
      </c>
      <c r="K165">
        <v>1</v>
      </c>
    </row>
    <row r="166" spans="3:11" x14ac:dyDescent="0.25">
      <c r="C166" s="10" t="s">
        <v>340</v>
      </c>
      <c r="D166" s="15">
        <v>133</v>
      </c>
      <c r="E166" s="15" t="s">
        <v>147</v>
      </c>
      <c r="F166" s="15">
        <v>0</v>
      </c>
      <c r="G166" s="15">
        <v>1</v>
      </c>
      <c r="H166" s="15">
        <v>1</v>
      </c>
      <c r="I166" s="15">
        <v>0</v>
      </c>
      <c r="J166" s="15">
        <v>1</v>
      </c>
      <c r="K166">
        <v>1</v>
      </c>
    </row>
    <row r="167" spans="3:11" x14ac:dyDescent="0.25">
      <c r="C167" s="10" t="s">
        <v>341</v>
      </c>
      <c r="D167" s="15">
        <v>134</v>
      </c>
      <c r="E167" s="15" t="s">
        <v>148</v>
      </c>
      <c r="F167" s="15">
        <v>1</v>
      </c>
      <c r="G167" s="15">
        <v>0</v>
      </c>
      <c r="H167" s="15">
        <v>1</v>
      </c>
      <c r="I167" s="15">
        <v>1</v>
      </c>
      <c r="J167" s="15">
        <v>2</v>
      </c>
      <c r="K167">
        <v>1</v>
      </c>
    </row>
    <row r="168" spans="3:11" x14ac:dyDescent="0.25">
      <c r="C168" s="10" t="s">
        <v>342</v>
      </c>
      <c r="D168" s="15">
        <v>135</v>
      </c>
      <c r="E168" s="15" t="s">
        <v>149</v>
      </c>
      <c r="F168" s="15">
        <v>1</v>
      </c>
      <c r="G168" s="15">
        <v>1</v>
      </c>
      <c r="H168" s="15">
        <v>1</v>
      </c>
      <c r="I168" s="15">
        <v>1</v>
      </c>
      <c r="J168" s="15">
        <v>1</v>
      </c>
      <c r="K168">
        <v>0</v>
      </c>
    </row>
    <row r="169" spans="3:11" x14ac:dyDescent="0.25">
      <c r="C169" s="10" t="s">
        <v>343</v>
      </c>
      <c r="D169" s="15">
        <v>136</v>
      </c>
      <c r="E169" s="15" t="s">
        <v>150</v>
      </c>
      <c r="F169" s="15">
        <v>1</v>
      </c>
      <c r="G169" s="15">
        <v>1</v>
      </c>
      <c r="H169" s="15">
        <v>1</v>
      </c>
      <c r="I169" s="15">
        <v>0</v>
      </c>
      <c r="J169" s="15">
        <v>1</v>
      </c>
      <c r="K169">
        <v>1</v>
      </c>
    </row>
    <row r="170" spans="3:11" x14ac:dyDescent="0.25">
      <c r="C170" s="10" t="s">
        <v>344</v>
      </c>
      <c r="D170" s="15">
        <v>137</v>
      </c>
      <c r="E170" s="15" t="s">
        <v>151</v>
      </c>
      <c r="F170" s="15">
        <v>1</v>
      </c>
      <c r="G170" s="15">
        <v>1</v>
      </c>
      <c r="H170" s="15">
        <v>0</v>
      </c>
      <c r="I170" s="15">
        <v>1</v>
      </c>
      <c r="J170" s="15">
        <v>1</v>
      </c>
      <c r="K170">
        <v>1</v>
      </c>
    </row>
    <row r="171" spans="3:11" x14ac:dyDescent="0.25">
      <c r="C171" s="10" t="s">
        <v>345</v>
      </c>
      <c r="D171" s="15">
        <v>138</v>
      </c>
      <c r="E171" s="15" t="s">
        <v>152</v>
      </c>
      <c r="F171" s="15">
        <v>1</v>
      </c>
      <c r="G171" s="15">
        <v>1</v>
      </c>
      <c r="H171" s="15">
        <v>0</v>
      </c>
      <c r="I171" s="15">
        <v>1</v>
      </c>
      <c r="J171" s="15">
        <v>1</v>
      </c>
      <c r="K171">
        <v>1</v>
      </c>
    </row>
    <row r="172" spans="3:11" x14ac:dyDescent="0.25">
      <c r="C172" s="10" t="s">
        <v>346</v>
      </c>
      <c r="D172" s="15">
        <v>139</v>
      </c>
      <c r="E172" s="15" t="s">
        <v>153</v>
      </c>
      <c r="F172" s="15">
        <v>1</v>
      </c>
      <c r="G172" s="15">
        <v>1</v>
      </c>
      <c r="H172" s="15">
        <v>0</v>
      </c>
      <c r="I172" s="15">
        <v>1</v>
      </c>
      <c r="J172" s="15">
        <v>1</v>
      </c>
      <c r="K172">
        <v>1</v>
      </c>
    </row>
    <row r="173" spans="3:11" x14ac:dyDescent="0.25">
      <c r="C173" s="10" t="s">
        <v>347</v>
      </c>
      <c r="D173" s="15">
        <v>140</v>
      </c>
      <c r="E173" s="15" t="s">
        <v>154</v>
      </c>
      <c r="F173" s="15">
        <v>1</v>
      </c>
      <c r="G173" s="15">
        <v>1</v>
      </c>
      <c r="H173" s="15">
        <v>1</v>
      </c>
      <c r="I173" s="15">
        <v>1</v>
      </c>
      <c r="J173" s="15">
        <v>1</v>
      </c>
      <c r="K173">
        <v>1</v>
      </c>
    </row>
  </sheetData>
  <mergeCells count="27">
    <mergeCell ref="B4:C4"/>
    <mergeCell ref="D4:E4"/>
    <mergeCell ref="B3:E3"/>
    <mergeCell ref="J3:M3"/>
    <mergeCell ref="C24:E24"/>
    <mergeCell ref="C18:M18"/>
    <mergeCell ref="C19:E19"/>
    <mergeCell ref="C20:E20"/>
    <mergeCell ref="F19:M19"/>
    <mergeCell ref="C22:M22"/>
    <mergeCell ref="C23:E23"/>
    <mergeCell ref="C12:I12"/>
    <mergeCell ref="C13:E13"/>
    <mergeCell ref="C14:E14"/>
    <mergeCell ref="C15:E15"/>
    <mergeCell ref="C16:E16"/>
    <mergeCell ref="C26:E26"/>
    <mergeCell ref="C27:E27"/>
    <mergeCell ref="C28:E28"/>
    <mergeCell ref="F26:M26"/>
    <mergeCell ref="F27:M27"/>
    <mergeCell ref="F28:M28"/>
    <mergeCell ref="F13:I13"/>
    <mergeCell ref="F14:I14"/>
    <mergeCell ref="F15:I15"/>
    <mergeCell ref="F16:I16"/>
    <mergeCell ref="C25:E25"/>
  </mergeCells>
  <hyperlinks>
    <hyperlink ref="B4" location="'Imputation'!$B$10:$B$10" display="Inputs" xr:uid="{07DCDF18-1A9D-4FB1-AB25-AC4BBF360469}"/>
    <hyperlink ref="D4" location="'Imputation'!$B$31:$B$31" display="Transformed Data" xr:uid="{7C0BDA63-1B24-4855-B24B-0C72B68CC2AD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67AF-D994-4F2B-BD15-60C967BB9F7D}">
  <dimension ref="B1:CV176"/>
  <sheetViews>
    <sheetView showGridLines="0" topLeftCell="A40" workbookViewId="0">
      <selection activeCell="E56" sqref="E56"/>
    </sheetView>
  </sheetViews>
  <sheetFormatPr defaultRowHeight="13.2" x14ac:dyDescent="0.25"/>
  <cols>
    <col min="3" max="3" width="11.5546875" customWidth="1"/>
    <col min="4" max="4" width="20.109375" customWidth="1"/>
    <col min="5" max="9" width="14.5546875" customWidth="1"/>
    <col min="10" max="10" width="29.109375" bestFit="1" customWidth="1"/>
  </cols>
  <sheetData>
    <row r="1" spans="2:100" ht="18" x14ac:dyDescent="0.35">
      <c r="B1" s="8" t="s">
        <v>348</v>
      </c>
      <c r="N1" t="s">
        <v>543</v>
      </c>
      <c r="CV1" s="14" t="s">
        <v>544</v>
      </c>
    </row>
    <row r="3" spans="2:100" ht="15.6" x14ac:dyDescent="0.3">
      <c r="B3" s="22" t="s">
        <v>172</v>
      </c>
      <c r="C3" s="23"/>
      <c r="D3" s="23"/>
      <c r="E3" s="23"/>
      <c r="F3" s="23"/>
      <c r="G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349</v>
      </c>
      <c r="E4" s="21"/>
      <c r="F4" s="21" t="s">
        <v>360</v>
      </c>
      <c r="G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46</v>
      </c>
      <c r="K5" s="11">
        <v>1</v>
      </c>
      <c r="L5" s="11">
        <v>2</v>
      </c>
      <c r="M5" s="11">
        <v>49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355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356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140</v>
      </c>
      <c r="G16" s="17"/>
      <c r="H16" s="17"/>
      <c r="I16" s="17"/>
    </row>
    <row r="18" spans="2:11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</row>
    <row r="19" spans="2:11" ht="13.8" x14ac:dyDescent="0.3">
      <c r="C19" s="18" t="s">
        <v>181</v>
      </c>
      <c r="D19" s="18"/>
      <c r="E19" s="19"/>
      <c r="F19" s="17">
        <v>6</v>
      </c>
      <c r="G19" s="17"/>
      <c r="H19" s="17"/>
      <c r="I19" s="17"/>
      <c r="J19" s="17"/>
      <c r="K19" s="17"/>
    </row>
    <row r="20" spans="2:11" ht="13.8" x14ac:dyDescent="0.3">
      <c r="C20" s="18" t="s">
        <v>182</v>
      </c>
      <c r="D20" s="18"/>
      <c r="E20" s="19"/>
      <c r="F20" s="11" t="s">
        <v>51</v>
      </c>
      <c r="G20" s="11" t="s">
        <v>203</v>
      </c>
      <c r="H20" s="11" t="s">
        <v>204</v>
      </c>
      <c r="I20" s="11" t="s">
        <v>205</v>
      </c>
      <c r="J20" s="11" t="s">
        <v>206</v>
      </c>
      <c r="K20" s="11" t="s">
        <v>207</v>
      </c>
    </row>
    <row r="22" spans="2:11" ht="15.6" x14ac:dyDescent="0.3">
      <c r="C22" s="25" t="s">
        <v>350</v>
      </c>
      <c r="D22" s="25"/>
      <c r="E22" s="25"/>
      <c r="F22" s="25"/>
      <c r="G22" s="25"/>
      <c r="H22" s="25"/>
      <c r="I22" s="25"/>
    </row>
    <row r="23" spans="2:11" ht="13.8" x14ac:dyDescent="0.3">
      <c r="C23" s="18" t="s">
        <v>351</v>
      </c>
      <c r="D23" s="18"/>
      <c r="E23" s="19"/>
      <c r="F23" s="17" t="s">
        <v>357</v>
      </c>
      <c r="G23" s="17"/>
      <c r="H23" s="17"/>
      <c r="I23" s="17"/>
    </row>
    <row r="24" spans="2:11" ht="13.8" x14ac:dyDescent="0.3">
      <c r="C24" s="18" t="s">
        <v>352</v>
      </c>
      <c r="D24" s="18"/>
      <c r="E24" s="19"/>
      <c r="F24" s="17">
        <v>12345</v>
      </c>
      <c r="G24" s="17"/>
      <c r="H24" s="17"/>
      <c r="I24" s="17"/>
    </row>
    <row r="25" spans="2:11" ht="13.8" x14ac:dyDescent="0.3">
      <c r="C25" s="18" t="s">
        <v>353</v>
      </c>
      <c r="D25" s="18"/>
      <c r="E25" s="19"/>
      <c r="F25" s="17">
        <v>0.75</v>
      </c>
      <c r="G25" s="17"/>
      <c r="H25" s="17"/>
      <c r="I25" s="17"/>
    </row>
    <row r="26" spans="2:11" ht="13.8" x14ac:dyDescent="0.3">
      <c r="C26" s="18" t="s">
        <v>354</v>
      </c>
      <c r="D26" s="18"/>
      <c r="E26" s="19"/>
      <c r="F26" s="17">
        <v>0.25</v>
      </c>
      <c r="G26" s="17"/>
      <c r="H26" s="17"/>
      <c r="I26" s="17"/>
    </row>
    <row r="28" spans="2:11" ht="18" x14ac:dyDescent="0.35">
      <c r="B28" s="9" t="s">
        <v>349</v>
      </c>
    </row>
    <row r="30" spans="2:11" x14ac:dyDescent="0.25">
      <c r="C30" s="10" t="s">
        <v>361</v>
      </c>
      <c r="D30" t="s">
        <v>362</v>
      </c>
    </row>
    <row r="31" spans="2:11" x14ac:dyDescent="0.25">
      <c r="C31" s="10" t="s">
        <v>363</v>
      </c>
      <c r="D31">
        <v>105</v>
      </c>
    </row>
    <row r="32" spans="2:11" x14ac:dyDescent="0.25">
      <c r="C32" s="10" t="s">
        <v>364</v>
      </c>
      <c r="D32">
        <v>35</v>
      </c>
    </row>
    <row r="34" spans="2:9" ht="18" x14ac:dyDescent="0.35">
      <c r="B34" s="9" t="s">
        <v>360</v>
      </c>
    </row>
    <row r="36" spans="2:9" x14ac:dyDescent="0.25">
      <c r="C36" s="10" t="s">
        <v>202</v>
      </c>
      <c r="D36" t="s">
        <v>51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2:9" x14ac:dyDescent="0.25">
      <c r="C37" s="10" t="s">
        <v>208</v>
      </c>
      <c r="D37" s="15">
        <v>0</v>
      </c>
      <c r="E37" s="15">
        <v>1</v>
      </c>
      <c r="F37" s="15">
        <v>0</v>
      </c>
      <c r="G37" s="15">
        <v>0</v>
      </c>
      <c r="H37" s="15">
        <v>1</v>
      </c>
      <c r="I37">
        <v>1</v>
      </c>
    </row>
    <row r="38" spans="2:9" x14ac:dyDescent="0.25">
      <c r="C38" s="10" t="s">
        <v>212</v>
      </c>
      <c r="D38" s="15">
        <v>0</v>
      </c>
      <c r="E38" s="15">
        <v>2</v>
      </c>
      <c r="F38" s="15">
        <v>1</v>
      </c>
      <c r="G38" s="15">
        <v>0</v>
      </c>
      <c r="H38" s="15">
        <v>0</v>
      </c>
      <c r="I38">
        <v>0</v>
      </c>
    </row>
    <row r="39" spans="2:9" x14ac:dyDescent="0.25">
      <c r="C39" s="10" t="s">
        <v>215</v>
      </c>
      <c r="D39" s="15">
        <v>0</v>
      </c>
      <c r="E39" s="15">
        <v>2</v>
      </c>
      <c r="F39" s="15">
        <v>2</v>
      </c>
      <c r="G39" s="15">
        <v>1</v>
      </c>
      <c r="H39" s="15">
        <v>1</v>
      </c>
      <c r="I39">
        <v>1</v>
      </c>
    </row>
    <row r="40" spans="2:9" x14ac:dyDescent="0.25">
      <c r="C40" s="10" t="s">
        <v>218</v>
      </c>
      <c r="D40" s="15">
        <v>0</v>
      </c>
      <c r="E40" s="15">
        <v>1</v>
      </c>
      <c r="F40" s="15">
        <v>3</v>
      </c>
      <c r="G40" s="15">
        <v>1</v>
      </c>
      <c r="H40" s="15">
        <v>0</v>
      </c>
      <c r="I40">
        <v>1</v>
      </c>
    </row>
    <row r="41" spans="2:9" x14ac:dyDescent="0.25">
      <c r="C41" s="10" t="s">
        <v>219</v>
      </c>
      <c r="D41" s="15">
        <v>0</v>
      </c>
      <c r="E41" s="15">
        <v>1</v>
      </c>
      <c r="F41" s="15">
        <v>1</v>
      </c>
      <c r="G41" s="15">
        <v>1</v>
      </c>
      <c r="H41" s="15">
        <v>1</v>
      </c>
      <c r="I41">
        <v>1</v>
      </c>
    </row>
    <row r="42" spans="2:9" x14ac:dyDescent="0.25">
      <c r="C42" s="10" t="s">
        <v>222</v>
      </c>
      <c r="D42" s="15">
        <v>0</v>
      </c>
      <c r="E42" s="15">
        <v>1</v>
      </c>
      <c r="F42" s="15">
        <v>0</v>
      </c>
      <c r="G42" s="15">
        <v>1</v>
      </c>
      <c r="H42" s="15">
        <v>0</v>
      </c>
      <c r="I42">
        <v>1</v>
      </c>
    </row>
    <row r="43" spans="2:9" x14ac:dyDescent="0.25">
      <c r="C43" s="10" t="s">
        <v>223</v>
      </c>
      <c r="D43" s="15">
        <v>0</v>
      </c>
      <c r="E43" s="15">
        <v>1</v>
      </c>
      <c r="F43" s="15">
        <v>1</v>
      </c>
      <c r="G43" s="15">
        <v>0</v>
      </c>
      <c r="H43" s="15">
        <v>1</v>
      </c>
      <c r="I43">
        <v>0</v>
      </c>
    </row>
    <row r="44" spans="2:9" x14ac:dyDescent="0.25">
      <c r="C44" s="10" t="s">
        <v>225</v>
      </c>
      <c r="D44" s="15">
        <v>0</v>
      </c>
      <c r="E44" s="15">
        <v>1</v>
      </c>
      <c r="F44" s="15">
        <v>1</v>
      </c>
      <c r="G44" s="15">
        <v>0</v>
      </c>
      <c r="H44" s="15">
        <v>1</v>
      </c>
      <c r="I44">
        <v>1</v>
      </c>
    </row>
    <row r="45" spans="2:9" x14ac:dyDescent="0.25">
      <c r="C45" s="10" t="s">
        <v>227</v>
      </c>
      <c r="D45" s="15">
        <v>0</v>
      </c>
      <c r="E45" s="15">
        <v>0</v>
      </c>
      <c r="F45" s="15">
        <v>1</v>
      </c>
      <c r="G45" s="15">
        <v>2</v>
      </c>
      <c r="H45" s="15">
        <v>1</v>
      </c>
      <c r="I45">
        <v>1</v>
      </c>
    </row>
    <row r="46" spans="2:9" x14ac:dyDescent="0.25">
      <c r="C46" s="10" t="s">
        <v>228</v>
      </c>
      <c r="D46" s="15">
        <v>1</v>
      </c>
      <c r="E46" s="15">
        <v>1</v>
      </c>
      <c r="F46" s="15">
        <v>0</v>
      </c>
      <c r="G46" s="15">
        <v>0</v>
      </c>
      <c r="H46" s="15">
        <v>2</v>
      </c>
      <c r="I46">
        <v>1</v>
      </c>
    </row>
    <row r="47" spans="2:9" x14ac:dyDescent="0.25">
      <c r="C47" s="10" t="s">
        <v>229</v>
      </c>
      <c r="D47" s="15">
        <v>1</v>
      </c>
      <c r="E47" s="15">
        <v>1</v>
      </c>
      <c r="F47" s="15">
        <v>1</v>
      </c>
      <c r="G47" s="15">
        <v>0</v>
      </c>
      <c r="H47" s="15">
        <v>1</v>
      </c>
      <c r="I47">
        <v>1</v>
      </c>
    </row>
    <row r="48" spans="2:9" x14ac:dyDescent="0.25">
      <c r="C48" s="10" t="s">
        <v>230</v>
      </c>
      <c r="D48" s="15">
        <v>1</v>
      </c>
      <c r="E48" s="15">
        <v>1</v>
      </c>
      <c r="F48" s="15">
        <v>1</v>
      </c>
      <c r="G48" s="15">
        <v>2</v>
      </c>
      <c r="H48" s="15">
        <v>2</v>
      </c>
      <c r="I48">
        <v>1</v>
      </c>
    </row>
    <row r="49" spans="3:9" x14ac:dyDescent="0.25">
      <c r="C49" s="10" t="s">
        <v>231</v>
      </c>
      <c r="D49" s="15">
        <v>1</v>
      </c>
      <c r="E49" s="15">
        <v>1</v>
      </c>
      <c r="F49" s="15">
        <v>0</v>
      </c>
      <c r="G49" s="15">
        <v>0</v>
      </c>
      <c r="H49" s="15">
        <v>1</v>
      </c>
      <c r="I49">
        <v>1</v>
      </c>
    </row>
    <row r="50" spans="3:9" x14ac:dyDescent="0.25">
      <c r="C50" s="10" t="s">
        <v>232</v>
      </c>
      <c r="D50" s="15">
        <v>1</v>
      </c>
      <c r="E50" s="15">
        <v>0</v>
      </c>
      <c r="F50" s="15">
        <v>0</v>
      </c>
      <c r="G50" s="15">
        <v>1</v>
      </c>
      <c r="H50" s="15">
        <v>2</v>
      </c>
      <c r="I50">
        <v>1</v>
      </c>
    </row>
    <row r="51" spans="3:9" x14ac:dyDescent="0.25">
      <c r="C51" s="10" t="s">
        <v>233</v>
      </c>
      <c r="D51" s="15">
        <v>1</v>
      </c>
      <c r="E51" s="15">
        <v>0</v>
      </c>
      <c r="F51" s="15">
        <v>0</v>
      </c>
      <c r="G51" s="15">
        <v>3</v>
      </c>
      <c r="H51" s="15">
        <v>1</v>
      </c>
      <c r="I51">
        <v>0</v>
      </c>
    </row>
    <row r="52" spans="3:9" x14ac:dyDescent="0.25">
      <c r="C52" s="10" t="s">
        <v>235</v>
      </c>
      <c r="D52" s="15">
        <v>1</v>
      </c>
      <c r="E52" s="15">
        <v>1</v>
      </c>
      <c r="F52" s="15">
        <v>0</v>
      </c>
      <c r="G52" s="15">
        <v>1</v>
      </c>
      <c r="H52" s="15">
        <v>1</v>
      </c>
      <c r="I52">
        <v>1</v>
      </c>
    </row>
    <row r="53" spans="3:9" x14ac:dyDescent="0.25">
      <c r="C53" s="10" t="s">
        <v>236</v>
      </c>
      <c r="D53" s="15">
        <v>1</v>
      </c>
      <c r="E53" s="15">
        <v>1</v>
      </c>
      <c r="F53" s="15">
        <v>0</v>
      </c>
      <c r="G53" s="15">
        <v>1</v>
      </c>
      <c r="H53" s="15">
        <v>2</v>
      </c>
      <c r="I53">
        <v>1</v>
      </c>
    </row>
    <row r="54" spans="3:9" x14ac:dyDescent="0.25">
      <c r="C54" s="10" t="s">
        <v>239</v>
      </c>
      <c r="D54" s="15">
        <v>1</v>
      </c>
      <c r="E54" s="15">
        <v>1</v>
      </c>
      <c r="F54" s="15">
        <v>1</v>
      </c>
      <c r="G54" s="15">
        <v>1</v>
      </c>
      <c r="H54" s="15">
        <v>1</v>
      </c>
      <c r="I54">
        <v>0</v>
      </c>
    </row>
    <row r="55" spans="3:9" x14ac:dyDescent="0.25">
      <c r="C55" s="10" t="s">
        <v>240</v>
      </c>
      <c r="D55" s="15">
        <v>1</v>
      </c>
      <c r="E55" s="15">
        <v>0</v>
      </c>
      <c r="F55" s="15">
        <v>1</v>
      </c>
      <c r="G55" s="15">
        <v>1</v>
      </c>
      <c r="H55" s="15">
        <v>2</v>
      </c>
      <c r="I55">
        <v>1</v>
      </c>
    </row>
    <row r="56" spans="3:9" x14ac:dyDescent="0.25">
      <c r="C56" s="10" t="s">
        <v>242</v>
      </c>
      <c r="D56" s="15">
        <v>1</v>
      </c>
      <c r="E56" s="15">
        <v>1</v>
      </c>
      <c r="F56" s="15">
        <v>1</v>
      </c>
      <c r="G56" s="15">
        <v>0</v>
      </c>
      <c r="H56" s="15">
        <v>3</v>
      </c>
      <c r="I56">
        <v>1</v>
      </c>
    </row>
    <row r="57" spans="3:9" x14ac:dyDescent="0.25">
      <c r="C57" s="10" t="s">
        <v>244</v>
      </c>
      <c r="D57" s="15">
        <v>1</v>
      </c>
      <c r="E57" s="15">
        <v>1</v>
      </c>
      <c r="F57" s="15">
        <v>1</v>
      </c>
      <c r="G57" s="15">
        <v>1</v>
      </c>
      <c r="H57" s="15">
        <v>1</v>
      </c>
      <c r="I57">
        <v>0</v>
      </c>
    </row>
    <row r="58" spans="3:9" x14ac:dyDescent="0.25">
      <c r="C58" s="10" t="s">
        <v>248</v>
      </c>
      <c r="D58" s="15">
        <v>0</v>
      </c>
      <c r="E58" s="15">
        <v>0</v>
      </c>
      <c r="F58" s="15">
        <v>1</v>
      </c>
      <c r="G58" s="15">
        <v>0</v>
      </c>
      <c r="H58" s="15">
        <v>1</v>
      </c>
      <c r="I58">
        <v>1</v>
      </c>
    </row>
    <row r="59" spans="3:9" x14ac:dyDescent="0.25">
      <c r="C59" s="10" t="s">
        <v>249</v>
      </c>
      <c r="D59" s="15">
        <v>0</v>
      </c>
      <c r="E59" s="15">
        <v>1</v>
      </c>
      <c r="F59" s="15">
        <v>1</v>
      </c>
      <c r="G59" s="15">
        <v>0</v>
      </c>
      <c r="H59" s="15">
        <v>1</v>
      </c>
      <c r="I59">
        <v>1</v>
      </c>
    </row>
    <row r="60" spans="3:9" x14ac:dyDescent="0.25">
      <c r="C60" s="10" t="s">
        <v>252</v>
      </c>
      <c r="D60" s="15">
        <v>0</v>
      </c>
      <c r="E60" s="15">
        <v>1</v>
      </c>
      <c r="F60" s="15">
        <v>1</v>
      </c>
      <c r="G60" s="15">
        <v>0</v>
      </c>
      <c r="H60" s="15">
        <v>0</v>
      </c>
      <c r="I60">
        <v>1</v>
      </c>
    </row>
    <row r="61" spans="3:9" x14ac:dyDescent="0.25">
      <c r="C61" s="10" t="s">
        <v>254</v>
      </c>
      <c r="D61" s="15">
        <v>0</v>
      </c>
      <c r="E61" s="15">
        <v>1</v>
      </c>
      <c r="F61" s="15">
        <v>1</v>
      </c>
      <c r="G61" s="15">
        <v>1</v>
      </c>
      <c r="H61" s="15">
        <v>1</v>
      </c>
      <c r="I61">
        <v>1</v>
      </c>
    </row>
    <row r="62" spans="3:9" x14ac:dyDescent="0.25">
      <c r="C62" s="10" t="s">
        <v>255</v>
      </c>
      <c r="D62" s="15">
        <v>0</v>
      </c>
      <c r="E62" s="15">
        <v>1</v>
      </c>
      <c r="F62" s="15">
        <v>3</v>
      </c>
      <c r="G62" s="15">
        <v>0</v>
      </c>
      <c r="H62" s="15">
        <v>2</v>
      </c>
      <c r="I62">
        <v>0</v>
      </c>
    </row>
    <row r="63" spans="3:9" x14ac:dyDescent="0.25">
      <c r="C63" s="10" t="s">
        <v>256</v>
      </c>
      <c r="D63" s="15">
        <v>0</v>
      </c>
      <c r="E63" s="15">
        <v>1</v>
      </c>
      <c r="F63" s="15">
        <v>1</v>
      </c>
      <c r="G63" s="15">
        <v>0</v>
      </c>
      <c r="H63" s="15">
        <v>0</v>
      </c>
      <c r="I63">
        <v>0</v>
      </c>
    </row>
    <row r="64" spans="3:9" x14ac:dyDescent="0.25">
      <c r="C64" s="10" t="s">
        <v>261</v>
      </c>
      <c r="D64" s="15">
        <v>1</v>
      </c>
      <c r="E64" s="15">
        <v>0</v>
      </c>
      <c r="F64" s="15">
        <v>0</v>
      </c>
      <c r="G64" s="15">
        <v>3</v>
      </c>
      <c r="H64" s="15">
        <v>1</v>
      </c>
      <c r="I64">
        <v>0</v>
      </c>
    </row>
    <row r="65" spans="3:9" x14ac:dyDescent="0.25">
      <c r="C65" s="10" t="s">
        <v>263</v>
      </c>
      <c r="D65" s="15">
        <v>1</v>
      </c>
      <c r="E65" s="15">
        <v>1</v>
      </c>
      <c r="F65" s="15">
        <v>0</v>
      </c>
      <c r="G65" s="15">
        <v>1</v>
      </c>
      <c r="H65" s="15">
        <v>1</v>
      </c>
      <c r="I65">
        <v>1</v>
      </c>
    </row>
    <row r="66" spans="3:9" x14ac:dyDescent="0.25">
      <c r="C66" s="10" t="s">
        <v>264</v>
      </c>
      <c r="D66" s="15">
        <v>1</v>
      </c>
      <c r="E66" s="15">
        <v>1</v>
      </c>
      <c r="F66" s="15">
        <v>0</v>
      </c>
      <c r="G66" s="15">
        <v>1</v>
      </c>
      <c r="H66" s="15">
        <v>2</v>
      </c>
      <c r="I66">
        <v>1</v>
      </c>
    </row>
    <row r="67" spans="3:9" x14ac:dyDescent="0.25">
      <c r="C67" s="10" t="s">
        <v>266</v>
      </c>
      <c r="D67" s="15">
        <v>1</v>
      </c>
      <c r="E67" s="15">
        <v>1</v>
      </c>
      <c r="F67" s="15">
        <v>1</v>
      </c>
      <c r="G67" s="15">
        <v>0</v>
      </c>
      <c r="H67" s="15">
        <v>1</v>
      </c>
      <c r="I67">
        <v>1</v>
      </c>
    </row>
    <row r="68" spans="3:9" x14ac:dyDescent="0.25">
      <c r="C68" s="10" t="s">
        <v>267</v>
      </c>
      <c r="D68" s="15">
        <v>1</v>
      </c>
      <c r="E68" s="15">
        <v>1</v>
      </c>
      <c r="F68" s="15">
        <v>1</v>
      </c>
      <c r="G68" s="15">
        <v>1</v>
      </c>
      <c r="H68" s="15">
        <v>1</v>
      </c>
      <c r="I68">
        <v>0</v>
      </c>
    </row>
    <row r="69" spans="3:9" x14ac:dyDescent="0.25">
      <c r="C69" s="10" t="s">
        <v>268</v>
      </c>
      <c r="D69" s="15">
        <v>1</v>
      </c>
      <c r="E69" s="15">
        <v>0</v>
      </c>
      <c r="F69" s="15">
        <v>1</v>
      </c>
      <c r="G69" s="15">
        <v>1</v>
      </c>
      <c r="H69" s="15">
        <v>2</v>
      </c>
      <c r="I69">
        <v>1</v>
      </c>
    </row>
    <row r="70" spans="3:9" x14ac:dyDescent="0.25">
      <c r="C70" s="10" t="s">
        <v>269</v>
      </c>
      <c r="D70" s="15">
        <v>1</v>
      </c>
      <c r="E70" s="15">
        <v>1</v>
      </c>
      <c r="F70" s="15">
        <v>1</v>
      </c>
      <c r="G70" s="15">
        <v>1</v>
      </c>
      <c r="H70" s="15">
        <v>1</v>
      </c>
      <c r="I70">
        <v>0</v>
      </c>
    </row>
    <row r="71" spans="3:9" x14ac:dyDescent="0.25">
      <c r="C71" s="10" t="s">
        <v>272</v>
      </c>
      <c r="D71" s="15">
        <v>0</v>
      </c>
      <c r="E71" s="15">
        <v>1</v>
      </c>
      <c r="F71" s="15">
        <v>1</v>
      </c>
      <c r="G71" s="15">
        <v>0</v>
      </c>
      <c r="H71" s="15">
        <v>1</v>
      </c>
      <c r="I71">
        <v>1</v>
      </c>
    </row>
    <row r="72" spans="3:9" x14ac:dyDescent="0.25">
      <c r="C72" s="10" t="s">
        <v>273</v>
      </c>
      <c r="D72" s="15">
        <v>0</v>
      </c>
      <c r="E72" s="15">
        <v>2</v>
      </c>
      <c r="F72" s="15">
        <v>2</v>
      </c>
      <c r="G72" s="15">
        <v>1</v>
      </c>
      <c r="H72" s="15">
        <v>1</v>
      </c>
      <c r="I72">
        <v>1</v>
      </c>
    </row>
    <row r="73" spans="3:9" x14ac:dyDescent="0.25">
      <c r="C73" s="10" t="s">
        <v>275</v>
      </c>
      <c r="D73" s="15">
        <v>0</v>
      </c>
      <c r="E73" s="15">
        <v>1</v>
      </c>
      <c r="F73" s="15">
        <v>1</v>
      </c>
      <c r="G73" s="15">
        <v>0</v>
      </c>
      <c r="H73" s="15">
        <v>0</v>
      </c>
      <c r="I73">
        <v>1</v>
      </c>
    </row>
    <row r="74" spans="3:9" x14ac:dyDescent="0.25">
      <c r="C74" s="10" t="s">
        <v>278</v>
      </c>
      <c r="D74" s="15">
        <v>0</v>
      </c>
      <c r="E74" s="15">
        <v>1</v>
      </c>
      <c r="F74" s="15">
        <v>3</v>
      </c>
      <c r="G74" s="15">
        <v>0</v>
      </c>
      <c r="H74" s="15">
        <v>2</v>
      </c>
      <c r="I74">
        <v>0</v>
      </c>
    </row>
    <row r="75" spans="3:9" x14ac:dyDescent="0.25">
      <c r="C75" s="10" t="s">
        <v>280</v>
      </c>
      <c r="D75" s="15">
        <v>0</v>
      </c>
      <c r="E75" s="15">
        <v>1</v>
      </c>
      <c r="F75" s="15">
        <v>0</v>
      </c>
      <c r="G75" s="15">
        <v>1</v>
      </c>
      <c r="H75" s="15">
        <v>0</v>
      </c>
      <c r="I75">
        <v>1</v>
      </c>
    </row>
    <row r="76" spans="3:9" x14ac:dyDescent="0.25">
      <c r="C76" s="10" t="s">
        <v>283</v>
      </c>
      <c r="D76" s="15">
        <v>0</v>
      </c>
      <c r="E76" s="15">
        <v>1</v>
      </c>
      <c r="F76" s="15">
        <v>1</v>
      </c>
      <c r="G76" s="15">
        <v>0</v>
      </c>
      <c r="H76" s="15">
        <v>1</v>
      </c>
      <c r="I76">
        <v>1</v>
      </c>
    </row>
    <row r="77" spans="3:9" x14ac:dyDescent="0.25">
      <c r="C77" s="10" t="s">
        <v>285</v>
      </c>
      <c r="D77" s="15">
        <v>1</v>
      </c>
      <c r="E77" s="15">
        <v>1</v>
      </c>
      <c r="F77" s="15">
        <v>0</v>
      </c>
      <c r="G77" s="15">
        <v>1</v>
      </c>
      <c r="H77" s="15">
        <v>2</v>
      </c>
      <c r="I77">
        <v>1</v>
      </c>
    </row>
    <row r="78" spans="3:9" x14ac:dyDescent="0.25">
      <c r="C78" s="10" t="s">
        <v>287</v>
      </c>
      <c r="D78" s="15">
        <v>1</v>
      </c>
      <c r="E78" s="15">
        <v>1</v>
      </c>
      <c r="F78" s="15">
        <v>1</v>
      </c>
      <c r="G78" s="15">
        <v>0</v>
      </c>
      <c r="H78" s="15">
        <v>1</v>
      </c>
      <c r="I78">
        <v>1</v>
      </c>
    </row>
    <row r="79" spans="3:9" x14ac:dyDescent="0.25">
      <c r="C79" s="10" t="s">
        <v>288</v>
      </c>
      <c r="D79" s="15">
        <v>1</v>
      </c>
      <c r="E79" s="15">
        <v>1</v>
      </c>
      <c r="F79" s="15">
        <v>1</v>
      </c>
      <c r="G79" s="15">
        <v>1</v>
      </c>
      <c r="H79" s="15">
        <v>1</v>
      </c>
      <c r="I79">
        <v>0</v>
      </c>
    </row>
    <row r="80" spans="3:9" x14ac:dyDescent="0.25">
      <c r="C80" s="10" t="s">
        <v>289</v>
      </c>
      <c r="D80" s="15">
        <v>1</v>
      </c>
      <c r="E80" s="15">
        <v>0</v>
      </c>
      <c r="F80" s="15">
        <v>1</v>
      </c>
      <c r="G80" s="15">
        <v>1</v>
      </c>
      <c r="H80" s="15">
        <v>2</v>
      </c>
      <c r="I80">
        <v>1</v>
      </c>
    </row>
    <row r="81" spans="3:9" x14ac:dyDescent="0.25">
      <c r="C81" s="10" t="s">
        <v>290</v>
      </c>
      <c r="D81" s="15">
        <v>1</v>
      </c>
      <c r="E81" s="15">
        <v>1</v>
      </c>
      <c r="F81" s="15">
        <v>1</v>
      </c>
      <c r="G81" s="15">
        <v>1</v>
      </c>
      <c r="H81" s="15">
        <v>1</v>
      </c>
      <c r="I81">
        <v>0</v>
      </c>
    </row>
    <row r="82" spans="3:9" x14ac:dyDescent="0.25">
      <c r="C82" s="10" t="s">
        <v>291</v>
      </c>
      <c r="D82" s="15">
        <v>1</v>
      </c>
      <c r="E82" s="15">
        <v>1</v>
      </c>
      <c r="F82" s="15">
        <v>1</v>
      </c>
      <c r="G82" s="15">
        <v>0</v>
      </c>
      <c r="H82" s="15">
        <v>3</v>
      </c>
      <c r="I82">
        <v>1</v>
      </c>
    </row>
    <row r="83" spans="3:9" x14ac:dyDescent="0.25">
      <c r="C83" s="10" t="s">
        <v>295</v>
      </c>
      <c r="D83" s="15">
        <v>0</v>
      </c>
      <c r="E83" s="15">
        <v>1</v>
      </c>
      <c r="F83" s="15">
        <v>1</v>
      </c>
      <c r="G83" s="15">
        <v>1</v>
      </c>
      <c r="H83" s="15">
        <v>1</v>
      </c>
      <c r="I83">
        <v>1</v>
      </c>
    </row>
    <row r="84" spans="3:9" x14ac:dyDescent="0.25">
      <c r="C84" s="10" t="s">
        <v>296</v>
      </c>
      <c r="D84" s="15">
        <v>0</v>
      </c>
      <c r="E84" s="15">
        <v>1</v>
      </c>
      <c r="F84" s="15">
        <v>1</v>
      </c>
      <c r="G84" s="15">
        <v>0</v>
      </c>
      <c r="H84" s="15">
        <v>0</v>
      </c>
      <c r="I84">
        <v>1</v>
      </c>
    </row>
    <row r="85" spans="3:9" x14ac:dyDescent="0.25">
      <c r="C85" s="10" t="s">
        <v>298</v>
      </c>
      <c r="D85" s="15">
        <v>0</v>
      </c>
      <c r="E85" s="15">
        <v>1</v>
      </c>
      <c r="F85" s="15">
        <v>1</v>
      </c>
      <c r="G85" s="15">
        <v>1</v>
      </c>
      <c r="H85" s="15">
        <v>1</v>
      </c>
      <c r="I85">
        <v>1</v>
      </c>
    </row>
    <row r="86" spans="3:9" x14ac:dyDescent="0.25">
      <c r="C86" s="10" t="s">
        <v>299</v>
      </c>
      <c r="D86" s="15">
        <v>0</v>
      </c>
      <c r="E86" s="15">
        <v>1</v>
      </c>
      <c r="F86" s="15">
        <v>3</v>
      </c>
      <c r="G86" s="15">
        <v>0</v>
      </c>
      <c r="H86" s="15">
        <v>2</v>
      </c>
      <c r="I86">
        <v>0</v>
      </c>
    </row>
    <row r="87" spans="3:9" x14ac:dyDescent="0.25">
      <c r="C87" s="10" t="s">
        <v>302</v>
      </c>
      <c r="D87" s="15">
        <v>0</v>
      </c>
      <c r="E87" s="15">
        <v>1</v>
      </c>
      <c r="F87" s="15">
        <v>1</v>
      </c>
      <c r="G87" s="15">
        <v>0</v>
      </c>
      <c r="H87" s="15">
        <v>1</v>
      </c>
      <c r="I87">
        <v>0</v>
      </c>
    </row>
    <row r="88" spans="3:9" x14ac:dyDescent="0.25">
      <c r="C88" s="10" t="s">
        <v>304</v>
      </c>
      <c r="D88" s="15">
        <v>0</v>
      </c>
      <c r="E88" s="15">
        <v>1</v>
      </c>
      <c r="F88" s="15">
        <v>1</v>
      </c>
      <c r="G88" s="15">
        <v>0</v>
      </c>
      <c r="H88" s="15">
        <v>1</v>
      </c>
      <c r="I88">
        <v>1</v>
      </c>
    </row>
    <row r="89" spans="3:9" x14ac:dyDescent="0.25">
      <c r="C89" s="10" t="s">
        <v>305</v>
      </c>
      <c r="D89" s="15">
        <v>0</v>
      </c>
      <c r="E89" s="15">
        <v>1</v>
      </c>
      <c r="F89" s="15">
        <v>1</v>
      </c>
      <c r="G89" s="15">
        <v>0</v>
      </c>
      <c r="H89" s="15">
        <v>1</v>
      </c>
      <c r="I89">
        <v>1</v>
      </c>
    </row>
    <row r="90" spans="3:9" x14ac:dyDescent="0.25">
      <c r="C90" s="10" t="s">
        <v>307</v>
      </c>
      <c r="D90" s="15">
        <v>0</v>
      </c>
      <c r="E90" s="15">
        <v>1</v>
      </c>
      <c r="F90" s="15">
        <v>1</v>
      </c>
      <c r="G90" s="15">
        <v>1</v>
      </c>
      <c r="H90" s="15">
        <v>1</v>
      </c>
      <c r="I90">
        <v>1</v>
      </c>
    </row>
    <row r="91" spans="3:9" x14ac:dyDescent="0.25">
      <c r="C91" s="10" t="s">
        <v>313</v>
      </c>
      <c r="D91" s="15">
        <v>0</v>
      </c>
      <c r="E91" s="15">
        <v>1</v>
      </c>
      <c r="F91" s="15">
        <v>0</v>
      </c>
      <c r="G91" s="15">
        <v>1</v>
      </c>
      <c r="H91" s="15">
        <v>0</v>
      </c>
      <c r="I91">
        <v>1</v>
      </c>
    </row>
    <row r="92" spans="3:9" x14ac:dyDescent="0.25">
      <c r="C92" s="10" t="s">
        <v>315</v>
      </c>
      <c r="D92" s="15">
        <v>0</v>
      </c>
      <c r="E92" s="15">
        <v>1</v>
      </c>
      <c r="F92" s="15">
        <v>1</v>
      </c>
      <c r="G92" s="15">
        <v>0</v>
      </c>
      <c r="H92" s="15">
        <v>0</v>
      </c>
      <c r="I92">
        <v>1</v>
      </c>
    </row>
    <row r="93" spans="3:9" x14ac:dyDescent="0.25">
      <c r="C93" s="10" t="s">
        <v>316</v>
      </c>
      <c r="D93" s="15">
        <v>0</v>
      </c>
      <c r="E93" s="15">
        <v>1</v>
      </c>
      <c r="F93" s="15">
        <v>1</v>
      </c>
      <c r="G93" s="15">
        <v>0</v>
      </c>
      <c r="H93" s="15">
        <v>1</v>
      </c>
      <c r="I93">
        <v>1</v>
      </c>
    </row>
    <row r="94" spans="3:9" x14ac:dyDescent="0.25">
      <c r="C94" s="10" t="s">
        <v>317</v>
      </c>
      <c r="D94" s="15">
        <v>0</v>
      </c>
      <c r="E94" s="15">
        <v>1</v>
      </c>
      <c r="F94" s="15">
        <v>1</v>
      </c>
      <c r="G94" s="15">
        <v>0</v>
      </c>
      <c r="H94" s="15">
        <v>1</v>
      </c>
      <c r="I94">
        <v>1</v>
      </c>
    </row>
    <row r="95" spans="3:9" x14ac:dyDescent="0.25">
      <c r="C95" s="10" t="s">
        <v>319</v>
      </c>
      <c r="D95" s="15">
        <v>0</v>
      </c>
      <c r="E95" s="15">
        <v>1</v>
      </c>
      <c r="F95" s="15">
        <v>1</v>
      </c>
      <c r="G95" s="15">
        <v>1</v>
      </c>
      <c r="H95" s="15">
        <v>1</v>
      </c>
      <c r="I95">
        <v>1</v>
      </c>
    </row>
    <row r="96" spans="3:9" x14ac:dyDescent="0.25">
      <c r="C96" s="10" t="s">
        <v>320</v>
      </c>
      <c r="D96" s="15">
        <v>0</v>
      </c>
      <c r="E96" s="15">
        <v>1</v>
      </c>
      <c r="F96" s="15">
        <v>1</v>
      </c>
      <c r="G96" s="15">
        <v>0</v>
      </c>
      <c r="H96" s="15">
        <v>0</v>
      </c>
      <c r="I96">
        <v>1</v>
      </c>
    </row>
    <row r="97" spans="3:9" x14ac:dyDescent="0.25">
      <c r="C97" s="10" t="s">
        <v>321</v>
      </c>
      <c r="D97" s="15">
        <v>0</v>
      </c>
      <c r="E97" s="15">
        <v>1</v>
      </c>
      <c r="F97" s="15">
        <v>3</v>
      </c>
      <c r="G97" s="15">
        <v>1</v>
      </c>
      <c r="H97" s="15">
        <v>0</v>
      </c>
      <c r="I97">
        <v>1</v>
      </c>
    </row>
    <row r="98" spans="3:9" x14ac:dyDescent="0.25">
      <c r="C98" s="10" t="s">
        <v>322</v>
      </c>
      <c r="D98" s="15">
        <v>0</v>
      </c>
      <c r="E98" s="15">
        <v>1</v>
      </c>
      <c r="F98" s="15">
        <v>1</v>
      </c>
      <c r="G98" s="15">
        <v>1</v>
      </c>
      <c r="H98" s="15">
        <v>1</v>
      </c>
      <c r="I98">
        <v>1</v>
      </c>
    </row>
    <row r="99" spans="3:9" x14ac:dyDescent="0.25">
      <c r="C99" s="10" t="s">
        <v>325</v>
      </c>
      <c r="D99" s="15">
        <v>0</v>
      </c>
      <c r="E99" s="15">
        <v>1</v>
      </c>
      <c r="F99" s="15">
        <v>0</v>
      </c>
      <c r="G99" s="15">
        <v>1</v>
      </c>
      <c r="H99" s="15">
        <v>0</v>
      </c>
      <c r="I99">
        <v>1</v>
      </c>
    </row>
    <row r="100" spans="3:9" x14ac:dyDescent="0.25">
      <c r="C100" s="10" t="s">
        <v>326</v>
      </c>
      <c r="D100" s="15">
        <v>0</v>
      </c>
      <c r="E100" s="15">
        <v>1</v>
      </c>
      <c r="F100" s="15">
        <v>1</v>
      </c>
      <c r="G100" s="15">
        <v>0</v>
      </c>
      <c r="H100" s="15">
        <v>1</v>
      </c>
      <c r="I100">
        <v>0</v>
      </c>
    </row>
    <row r="101" spans="3:9" x14ac:dyDescent="0.25">
      <c r="C101" s="10" t="s">
        <v>327</v>
      </c>
      <c r="D101" s="15">
        <v>0</v>
      </c>
      <c r="E101" s="15">
        <v>1</v>
      </c>
      <c r="F101" s="15">
        <v>1</v>
      </c>
      <c r="G101" s="15">
        <v>0</v>
      </c>
      <c r="H101" s="15">
        <v>0</v>
      </c>
      <c r="I101">
        <v>1</v>
      </c>
    </row>
    <row r="102" spans="3:9" x14ac:dyDescent="0.25">
      <c r="C102" s="10" t="s">
        <v>329</v>
      </c>
      <c r="D102" s="15">
        <v>0</v>
      </c>
      <c r="E102" s="15">
        <v>1</v>
      </c>
      <c r="F102" s="15">
        <v>1</v>
      </c>
      <c r="G102" s="15">
        <v>0</v>
      </c>
      <c r="H102" s="15">
        <v>1</v>
      </c>
      <c r="I102">
        <v>1</v>
      </c>
    </row>
    <row r="103" spans="3:9" x14ac:dyDescent="0.25">
      <c r="C103" s="10" t="s">
        <v>330</v>
      </c>
      <c r="D103" s="15">
        <v>0</v>
      </c>
      <c r="E103" s="15">
        <v>2</v>
      </c>
      <c r="F103" s="15">
        <v>2</v>
      </c>
      <c r="G103" s="15">
        <v>1</v>
      </c>
      <c r="H103" s="15">
        <v>1</v>
      </c>
      <c r="I103">
        <v>1</v>
      </c>
    </row>
    <row r="104" spans="3:9" x14ac:dyDescent="0.25">
      <c r="C104" s="10" t="s">
        <v>335</v>
      </c>
      <c r="D104" s="15">
        <v>0</v>
      </c>
      <c r="E104" s="15">
        <v>1</v>
      </c>
      <c r="F104" s="15">
        <v>3</v>
      </c>
      <c r="G104" s="15">
        <v>0</v>
      </c>
      <c r="H104" s="15">
        <v>2</v>
      </c>
      <c r="I104">
        <v>0</v>
      </c>
    </row>
    <row r="105" spans="3:9" x14ac:dyDescent="0.25">
      <c r="C105" s="10" t="s">
        <v>336</v>
      </c>
      <c r="D105" s="15">
        <v>0</v>
      </c>
      <c r="E105" s="15">
        <v>1</v>
      </c>
      <c r="F105" s="15">
        <v>1</v>
      </c>
      <c r="G105" s="15">
        <v>0</v>
      </c>
      <c r="H105" s="15">
        <v>0</v>
      </c>
      <c r="I105">
        <v>0</v>
      </c>
    </row>
    <row r="106" spans="3:9" x14ac:dyDescent="0.25">
      <c r="C106" s="10" t="s">
        <v>339</v>
      </c>
      <c r="D106" s="15">
        <v>0</v>
      </c>
      <c r="E106" s="15">
        <v>1</v>
      </c>
      <c r="F106" s="15">
        <v>1</v>
      </c>
      <c r="G106" s="15">
        <v>0</v>
      </c>
      <c r="H106" s="15">
        <v>0</v>
      </c>
      <c r="I106">
        <v>1</v>
      </c>
    </row>
    <row r="107" spans="3:9" x14ac:dyDescent="0.25">
      <c r="C107" s="10" t="s">
        <v>340</v>
      </c>
      <c r="D107" s="15">
        <v>0</v>
      </c>
      <c r="E107" s="15">
        <v>1</v>
      </c>
      <c r="F107" s="15">
        <v>1</v>
      </c>
      <c r="G107" s="15">
        <v>0</v>
      </c>
      <c r="H107" s="15">
        <v>1</v>
      </c>
      <c r="I107">
        <v>1</v>
      </c>
    </row>
    <row r="108" spans="3:9" x14ac:dyDescent="0.25">
      <c r="C108" s="10" t="s">
        <v>341</v>
      </c>
      <c r="D108" s="15">
        <v>1</v>
      </c>
      <c r="E108" s="15">
        <v>0</v>
      </c>
      <c r="F108" s="15">
        <v>1</v>
      </c>
      <c r="G108" s="15">
        <v>1</v>
      </c>
      <c r="H108" s="15">
        <v>2</v>
      </c>
      <c r="I108">
        <v>1</v>
      </c>
    </row>
    <row r="109" spans="3:9" x14ac:dyDescent="0.25">
      <c r="C109" s="10" t="s">
        <v>343</v>
      </c>
      <c r="D109" s="15">
        <v>1</v>
      </c>
      <c r="E109" s="15">
        <v>1</v>
      </c>
      <c r="F109" s="15">
        <v>1</v>
      </c>
      <c r="G109" s="15">
        <v>0</v>
      </c>
      <c r="H109" s="15">
        <v>1</v>
      </c>
      <c r="I109">
        <v>1</v>
      </c>
    </row>
    <row r="110" spans="3:9" x14ac:dyDescent="0.25">
      <c r="C110" s="10" t="s">
        <v>246</v>
      </c>
      <c r="D110" s="15">
        <v>1</v>
      </c>
      <c r="E110" s="15">
        <v>1</v>
      </c>
      <c r="F110" s="15">
        <v>1</v>
      </c>
      <c r="G110" s="15">
        <v>1</v>
      </c>
      <c r="H110" s="15">
        <v>3</v>
      </c>
      <c r="I110">
        <v>2</v>
      </c>
    </row>
    <row r="111" spans="3:9" x14ac:dyDescent="0.25">
      <c r="C111" s="10" t="s">
        <v>337</v>
      </c>
      <c r="D111" s="15">
        <v>0</v>
      </c>
      <c r="E111" s="15">
        <v>1</v>
      </c>
      <c r="F111" s="15">
        <v>0</v>
      </c>
      <c r="G111" s="15">
        <v>1</v>
      </c>
      <c r="H111" s="15">
        <v>0</v>
      </c>
      <c r="I111">
        <v>1</v>
      </c>
    </row>
    <row r="112" spans="3:9" x14ac:dyDescent="0.25">
      <c r="C112" s="10" t="s">
        <v>314</v>
      </c>
      <c r="D112" s="15">
        <v>0</v>
      </c>
      <c r="E112" s="15">
        <v>1</v>
      </c>
      <c r="F112" s="15">
        <v>1</v>
      </c>
      <c r="G112" s="15">
        <v>0</v>
      </c>
      <c r="H112" s="15">
        <v>1</v>
      </c>
      <c r="I112">
        <v>0</v>
      </c>
    </row>
    <row r="113" spans="3:9" x14ac:dyDescent="0.25">
      <c r="C113" s="10" t="s">
        <v>312</v>
      </c>
      <c r="D113" s="15">
        <v>0</v>
      </c>
      <c r="E113" s="15">
        <v>1</v>
      </c>
      <c r="F113" s="15">
        <v>1</v>
      </c>
      <c r="G113" s="15">
        <v>0</v>
      </c>
      <c r="H113" s="15">
        <v>0</v>
      </c>
      <c r="I113">
        <v>0</v>
      </c>
    </row>
    <row r="114" spans="3:9" x14ac:dyDescent="0.25">
      <c r="C114" s="10" t="s">
        <v>277</v>
      </c>
      <c r="D114" s="15">
        <v>0</v>
      </c>
      <c r="E114" s="15">
        <v>1</v>
      </c>
      <c r="F114" s="15">
        <v>1</v>
      </c>
      <c r="G114" s="15">
        <v>1</v>
      </c>
      <c r="H114" s="15">
        <v>1</v>
      </c>
      <c r="I114">
        <v>1</v>
      </c>
    </row>
    <row r="115" spans="3:9" x14ac:dyDescent="0.25">
      <c r="C115" s="10" t="s">
        <v>257</v>
      </c>
      <c r="D115" s="15">
        <v>0</v>
      </c>
      <c r="E115" s="15">
        <v>1</v>
      </c>
      <c r="F115" s="15">
        <v>0</v>
      </c>
      <c r="G115" s="15">
        <v>1</v>
      </c>
      <c r="H115" s="15">
        <v>0</v>
      </c>
      <c r="I115">
        <v>1</v>
      </c>
    </row>
    <row r="116" spans="3:9" x14ac:dyDescent="0.25">
      <c r="C116" s="10" t="s">
        <v>324</v>
      </c>
      <c r="D116" s="15">
        <v>0</v>
      </c>
      <c r="E116" s="15">
        <v>1</v>
      </c>
      <c r="F116" s="15">
        <v>1</v>
      </c>
      <c r="G116" s="15">
        <v>0</v>
      </c>
      <c r="H116" s="15">
        <v>0</v>
      </c>
      <c r="I116">
        <v>0</v>
      </c>
    </row>
    <row r="117" spans="3:9" x14ac:dyDescent="0.25">
      <c r="C117" s="10" t="s">
        <v>262</v>
      </c>
      <c r="D117" s="15">
        <v>1</v>
      </c>
      <c r="E117" s="15">
        <v>1</v>
      </c>
      <c r="F117" s="15">
        <v>1</v>
      </c>
      <c r="G117" s="15">
        <v>3</v>
      </c>
      <c r="H117" s="15">
        <v>1</v>
      </c>
      <c r="I117">
        <v>0</v>
      </c>
    </row>
    <row r="118" spans="3:9" x14ac:dyDescent="0.25">
      <c r="C118" s="10" t="s">
        <v>284</v>
      </c>
      <c r="D118" s="15">
        <v>1</v>
      </c>
      <c r="E118" s="15">
        <v>1</v>
      </c>
      <c r="F118" s="15">
        <v>0</v>
      </c>
      <c r="G118" s="15">
        <v>1</v>
      </c>
      <c r="H118" s="15">
        <v>1</v>
      </c>
      <c r="I118">
        <v>1</v>
      </c>
    </row>
    <row r="119" spans="3:9" x14ac:dyDescent="0.25">
      <c r="C119" s="10" t="s">
        <v>260</v>
      </c>
      <c r="D119" s="15">
        <v>1</v>
      </c>
      <c r="E119" s="15">
        <v>0</v>
      </c>
      <c r="F119" s="15">
        <v>0</v>
      </c>
      <c r="G119" s="15">
        <v>1</v>
      </c>
      <c r="H119" s="15">
        <v>2</v>
      </c>
      <c r="I119">
        <v>1</v>
      </c>
    </row>
    <row r="120" spans="3:9" x14ac:dyDescent="0.25">
      <c r="C120" s="10" t="s">
        <v>332</v>
      </c>
      <c r="D120" s="15">
        <v>0</v>
      </c>
      <c r="E120" s="15">
        <v>1</v>
      </c>
      <c r="F120" s="15">
        <v>1</v>
      </c>
      <c r="G120" s="15">
        <v>0</v>
      </c>
      <c r="H120" s="15">
        <v>0</v>
      </c>
      <c r="I120">
        <v>1</v>
      </c>
    </row>
    <row r="121" spans="3:9" x14ac:dyDescent="0.25">
      <c r="C121" s="10" t="s">
        <v>209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>
        <v>0</v>
      </c>
    </row>
    <row r="122" spans="3:9" x14ac:dyDescent="0.25">
      <c r="C122" s="10" t="s">
        <v>311</v>
      </c>
      <c r="D122" s="15">
        <v>0</v>
      </c>
      <c r="E122" s="15">
        <v>1</v>
      </c>
      <c r="F122" s="15">
        <v>3</v>
      </c>
      <c r="G122" s="15">
        <v>0</v>
      </c>
      <c r="H122" s="15">
        <v>2</v>
      </c>
      <c r="I122">
        <v>0</v>
      </c>
    </row>
    <row r="123" spans="3:9" x14ac:dyDescent="0.25">
      <c r="C123" s="10" t="s">
        <v>333</v>
      </c>
      <c r="D123" s="15">
        <v>0</v>
      </c>
      <c r="E123" s="15">
        <v>1</v>
      </c>
      <c r="F123" s="15">
        <v>3</v>
      </c>
      <c r="G123" s="15">
        <v>1</v>
      </c>
      <c r="H123" s="15">
        <v>0</v>
      </c>
      <c r="I123">
        <v>1</v>
      </c>
    </row>
    <row r="124" spans="3:9" x14ac:dyDescent="0.25">
      <c r="C124" s="10" t="s">
        <v>220</v>
      </c>
      <c r="D124" s="15">
        <v>0</v>
      </c>
      <c r="E124" s="15">
        <v>1</v>
      </c>
      <c r="F124" s="15">
        <v>3</v>
      </c>
      <c r="G124" s="15">
        <v>0</v>
      </c>
      <c r="H124" s="15">
        <v>2</v>
      </c>
      <c r="I124">
        <v>0</v>
      </c>
    </row>
    <row r="125" spans="3:9" x14ac:dyDescent="0.25">
      <c r="C125" s="10" t="s">
        <v>245</v>
      </c>
      <c r="D125" s="15">
        <v>1</v>
      </c>
      <c r="E125" s="15">
        <v>0</v>
      </c>
      <c r="F125" s="15">
        <v>1</v>
      </c>
      <c r="G125" s="15">
        <v>1</v>
      </c>
      <c r="H125" s="15">
        <v>1</v>
      </c>
      <c r="I125">
        <v>0</v>
      </c>
    </row>
    <row r="126" spans="3:9" x14ac:dyDescent="0.25">
      <c r="C126" s="10" t="s">
        <v>306</v>
      </c>
      <c r="D126" s="15">
        <v>0</v>
      </c>
      <c r="E126" s="15">
        <v>2</v>
      </c>
      <c r="F126" s="15">
        <v>2</v>
      </c>
      <c r="G126" s="15">
        <v>1</v>
      </c>
      <c r="H126" s="15">
        <v>1</v>
      </c>
      <c r="I126">
        <v>1</v>
      </c>
    </row>
    <row r="127" spans="3:9" x14ac:dyDescent="0.25">
      <c r="C127" s="10" t="s">
        <v>345</v>
      </c>
      <c r="D127" s="15">
        <v>1</v>
      </c>
      <c r="E127" s="15">
        <v>1</v>
      </c>
      <c r="F127" s="15">
        <v>0</v>
      </c>
      <c r="G127" s="15">
        <v>1</v>
      </c>
      <c r="H127" s="15">
        <v>1</v>
      </c>
      <c r="I127">
        <v>1</v>
      </c>
    </row>
    <row r="128" spans="3:9" x14ac:dyDescent="0.25">
      <c r="C128" s="10" t="s">
        <v>238</v>
      </c>
      <c r="D128" s="15">
        <v>1</v>
      </c>
      <c r="E128" s="15">
        <v>1</v>
      </c>
      <c r="F128" s="15">
        <v>1</v>
      </c>
      <c r="G128" s="15">
        <v>0</v>
      </c>
      <c r="H128" s="15">
        <v>1</v>
      </c>
      <c r="I128">
        <v>1</v>
      </c>
    </row>
    <row r="129" spans="3:9" x14ac:dyDescent="0.25">
      <c r="C129" s="10" t="s">
        <v>234</v>
      </c>
      <c r="D129" s="15">
        <v>1</v>
      </c>
      <c r="E129" s="15">
        <v>1</v>
      </c>
      <c r="F129" s="15">
        <v>1</v>
      </c>
      <c r="G129" s="15">
        <v>3</v>
      </c>
      <c r="H129" s="15">
        <v>1</v>
      </c>
      <c r="I129">
        <v>0</v>
      </c>
    </row>
    <row r="130" spans="3:9" x14ac:dyDescent="0.25">
      <c r="C130" s="10" t="s">
        <v>301</v>
      </c>
      <c r="D130" s="15">
        <v>0</v>
      </c>
      <c r="E130" s="15">
        <v>1</v>
      </c>
      <c r="F130" s="15">
        <v>0</v>
      </c>
      <c r="G130" s="15">
        <v>1</v>
      </c>
      <c r="H130" s="15">
        <v>0</v>
      </c>
      <c r="I130">
        <v>1</v>
      </c>
    </row>
    <row r="131" spans="3:9" x14ac:dyDescent="0.25">
      <c r="C131" s="10" t="s">
        <v>221</v>
      </c>
      <c r="D131" s="15">
        <v>0</v>
      </c>
      <c r="E131" s="15">
        <v>1</v>
      </c>
      <c r="F131" s="15">
        <v>1</v>
      </c>
      <c r="G131" s="15">
        <v>0</v>
      </c>
      <c r="H131" s="15">
        <v>0</v>
      </c>
      <c r="I131">
        <v>0</v>
      </c>
    </row>
    <row r="132" spans="3:9" x14ac:dyDescent="0.25">
      <c r="C132" s="10" t="s">
        <v>224</v>
      </c>
      <c r="D132" s="15">
        <v>0</v>
      </c>
      <c r="E132" s="15">
        <v>1</v>
      </c>
      <c r="F132" s="15">
        <v>1</v>
      </c>
      <c r="G132" s="15">
        <v>0</v>
      </c>
      <c r="H132" s="15">
        <v>0</v>
      </c>
      <c r="I132">
        <v>1</v>
      </c>
    </row>
    <row r="133" spans="3:9" x14ac:dyDescent="0.25">
      <c r="C133" s="10" t="s">
        <v>279</v>
      </c>
      <c r="D133" s="15">
        <v>0</v>
      </c>
      <c r="E133" s="15">
        <v>1</v>
      </c>
      <c r="F133" s="15">
        <v>1</v>
      </c>
      <c r="G133" s="15">
        <v>0</v>
      </c>
      <c r="H133" s="15">
        <v>0</v>
      </c>
      <c r="I133">
        <v>0</v>
      </c>
    </row>
    <row r="134" spans="3:9" x14ac:dyDescent="0.25">
      <c r="C134" s="10" t="s">
        <v>211</v>
      </c>
      <c r="D134" s="15">
        <v>0</v>
      </c>
      <c r="E134" s="15">
        <v>0</v>
      </c>
      <c r="F134" s="15">
        <v>1</v>
      </c>
      <c r="G134" s="15">
        <v>0</v>
      </c>
      <c r="H134" s="15">
        <v>0</v>
      </c>
      <c r="I134">
        <v>1</v>
      </c>
    </row>
    <row r="135" spans="3:9" x14ac:dyDescent="0.25">
      <c r="C135" s="10" t="s">
        <v>250</v>
      </c>
      <c r="D135" s="15">
        <v>0</v>
      </c>
      <c r="E135" s="15">
        <v>2</v>
      </c>
      <c r="F135" s="15">
        <v>2</v>
      </c>
      <c r="G135" s="15">
        <v>1</v>
      </c>
      <c r="H135" s="15">
        <v>1</v>
      </c>
      <c r="I135">
        <v>1</v>
      </c>
    </row>
    <row r="136" spans="3:9" x14ac:dyDescent="0.25">
      <c r="C136" s="10" t="s">
        <v>243</v>
      </c>
      <c r="D136" s="15">
        <v>1</v>
      </c>
      <c r="E136" s="15">
        <v>1</v>
      </c>
      <c r="F136" s="15">
        <v>0</v>
      </c>
      <c r="G136" s="15">
        <v>1</v>
      </c>
      <c r="H136" s="15">
        <v>1</v>
      </c>
      <c r="I136">
        <v>1</v>
      </c>
    </row>
    <row r="137" spans="3:9" x14ac:dyDescent="0.25">
      <c r="C137" s="10" t="s">
        <v>323</v>
      </c>
      <c r="D137" s="15">
        <v>0</v>
      </c>
      <c r="E137" s="15">
        <v>1</v>
      </c>
      <c r="F137" s="15">
        <v>3</v>
      </c>
      <c r="G137" s="15">
        <v>0</v>
      </c>
      <c r="H137" s="15">
        <v>2</v>
      </c>
      <c r="I137">
        <v>0</v>
      </c>
    </row>
    <row r="138" spans="3:9" x14ac:dyDescent="0.25">
      <c r="C138" s="10" t="s">
        <v>217</v>
      </c>
      <c r="D138" s="15">
        <v>0</v>
      </c>
      <c r="E138" s="15">
        <v>1</v>
      </c>
      <c r="F138" s="15">
        <v>1</v>
      </c>
      <c r="G138" s="15">
        <v>0</v>
      </c>
      <c r="H138" s="15">
        <v>0</v>
      </c>
      <c r="I138">
        <v>1</v>
      </c>
    </row>
    <row r="139" spans="3:9" x14ac:dyDescent="0.25">
      <c r="C139" s="10" t="s">
        <v>213</v>
      </c>
      <c r="D139" s="15">
        <v>0</v>
      </c>
      <c r="E139" s="15">
        <v>0</v>
      </c>
      <c r="F139" s="15">
        <v>1</v>
      </c>
      <c r="G139" s="15">
        <v>0</v>
      </c>
      <c r="H139" s="15">
        <v>1</v>
      </c>
      <c r="I139">
        <v>1</v>
      </c>
    </row>
    <row r="140" spans="3:9" x14ac:dyDescent="0.25">
      <c r="C140" s="10" t="s">
        <v>271</v>
      </c>
      <c r="D140" s="15">
        <v>1</v>
      </c>
      <c r="E140" s="15">
        <v>1</v>
      </c>
      <c r="F140" s="15">
        <v>0</v>
      </c>
      <c r="G140" s="15">
        <v>1</v>
      </c>
      <c r="H140" s="15">
        <v>1</v>
      </c>
      <c r="I140">
        <v>1</v>
      </c>
    </row>
    <row r="141" spans="3:9" x14ac:dyDescent="0.25">
      <c r="C141" s="10" t="s">
        <v>346</v>
      </c>
      <c r="D141" s="15">
        <v>1</v>
      </c>
      <c r="E141" s="15">
        <v>1</v>
      </c>
      <c r="F141" s="15">
        <v>0</v>
      </c>
      <c r="G141" s="15">
        <v>1</v>
      </c>
      <c r="H141" s="15">
        <v>1</v>
      </c>
      <c r="I141">
        <v>1</v>
      </c>
    </row>
    <row r="142" spans="3:9" x14ac:dyDescent="0.25">
      <c r="C142" s="10" t="s">
        <v>258</v>
      </c>
      <c r="D142" s="15">
        <v>0</v>
      </c>
      <c r="E142" s="15">
        <v>1</v>
      </c>
      <c r="F142" s="15">
        <v>1</v>
      </c>
      <c r="G142" s="15">
        <v>0</v>
      </c>
      <c r="H142" s="15">
        <v>1</v>
      </c>
      <c r="I142">
        <v>0</v>
      </c>
    </row>
    <row r="143" spans="3:9" x14ac:dyDescent="0.25">
      <c r="C143" s="10" t="s">
        <v>276</v>
      </c>
      <c r="D143" s="15">
        <v>0</v>
      </c>
      <c r="E143" s="15">
        <v>1</v>
      </c>
      <c r="F143" s="15">
        <v>3</v>
      </c>
      <c r="G143" s="15">
        <v>1</v>
      </c>
      <c r="H143" s="15">
        <v>0</v>
      </c>
      <c r="I143">
        <v>1</v>
      </c>
    </row>
    <row r="144" spans="3:9" x14ac:dyDescent="0.25">
      <c r="C144" s="10" t="s">
        <v>347</v>
      </c>
      <c r="D144" s="15">
        <v>1</v>
      </c>
      <c r="E144" s="15">
        <v>1</v>
      </c>
      <c r="F144" s="15">
        <v>1</v>
      </c>
      <c r="G144" s="15">
        <v>1</v>
      </c>
      <c r="H144" s="15">
        <v>1</v>
      </c>
      <c r="I144">
        <v>1</v>
      </c>
    </row>
    <row r="145" spans="3:9" x14ac:dyDescent="0.25">
      <c r="C145" s="10" t="s">
        <v>294</v>
      </c>
      <c r="D145" s="15">
        <v>0</v>
      </c>
      <c r="E145" s="15">
        <v>2</v>
      </c>
      <c r="F145" s="15">
        <v>2</v>
      </c>
      <c r="G145" s="15">
        <v>1</v>
      </c>
      <c r="H145" s="15">
        <v>1</v>
      </c>
      <c r="I145">
        <v>1</v>
      </c>
    </row>
    <row r="146" spans="3:9" x14ac:dyDescent="0.25">
      <c r="C146" s="10" t="s">
        <v>251</v>
      </c>
      <c r="D146" s="15">
        <v>0</v>
      </c>
      <c r="E146" s="15">
        <v>1</v>
      </c>
      <c r="F146" s="15">
        <v>1</v>
      </c>
      <c r="G146" s="15">
        <v>1</v>
      </c>
      <c r="H146" s="15">
        <v>1</v>
      </c>
      <c r="I146">
        <v>1</v>
      </c>
    </row>
    <row r="147" spans="3:9" x14ac:dyDescent="0.25">
      <c r="C147" s="10" t="s">
        <v>210</v>
      </c>
      <c r="D147" s="15">
        <v>0</v>
      </c>
      <c r="E147" s="15">
        <v>2</v>
      </c>
      <c r="F147" s="15">
        <v>1</v>
      </c>
      <c r="G147" s="15">
        <v>1</v>
      </c>
      <c r="H147" s="15">
        <v>1</v>
      </c>
      <c r="I147">
        <v>1</v>
      </c>
    </row>
    <row r="148" spans="3:9" x14ac:dyDescent="0.25">
      <c r="C148" s="10" t="s">
        <v>226</v>
      </c>
      <c r="D148" s="15">
        <v>0</v>
      </c>
      <c r="E148" s="15">
        <v>0</v>
      </c>
      <c r="F148" s="15">
        <v>1</v>
      </c>
      <c r="G148" s="15">
        <v>1</v>
      </c>
      <c r="H148" s="15">
        <v>0</v>
      </c>
      <c r="I148">
        <v>0</v>
      </c>
    </row>
    <row r="149" spans="3:9" x14ac:dyDescent="0.25">
      <c r="C149" s="10" t="s">
        <v>281</v>
      </c>
      <c r="D149" s="15">
        <v>0</v>
      </c>
      <c r="E149" s="15">
        <v>1</v>
      </c>
      <c r="F149" s="15">
        <v>1</v>
      </c>
      <c r="G149" s="15">
        <v>0</v>
      </c>
      <c r="H149" s="15">
        <v>1</v>
      </c>
      <c r="I149">
        <v>0</v>
      </c>
    </row>
    <row r="150" spans="3:9" x14ac:dyDescent="0.25">
      <c r="C150" s="10" t="s">
        <v>308</v>
      </c>
      <c r="D150" s="15">
        <v>0</v>
      </c>
      <c r="E150" s="15">
        <v>1</v>
      </c>
      <c r="F150" s="15">
        <v>1</v>
      </c>
      <c r="G150" s="15">
        <v>0</v>
      </c>
      <c r="H150" s="15">
        <v>0</v>
      </c>
      <c r="I150">
        <v>1</v>
      </c>
    </row>
    <row r="151" spans="3:9" x14ac:dyDescent="0.25">
      <c r="C151" s="10" t="s">
        <v>265</v>
      </c>
      <c r="D151" s="15">
        <v>1</v>
      </c>
      <c r="E151" s="15">
        <v>1</v>
      </c>
      <c r="F151" s="15">
        <v>1</v>
      </c>
      <c r="G151" s="15">
        <v>1</v>
      </c>
      <c r="H151" s="15">
        <v>1</v>
      </c>
      <c r="I151">
        <v>0</v>
      </c>
    </row>
    <row r="152" spans="3:9" x14ac:dyDescent="0.25">
      <c r="C152" s="10" t="s">
        <v>309</v>
      </c>
      <c r="D152" s="15">
        <v>0</v>
      </c>
      <c r="E152" s="15">
        <v>1</v>
      </c>
      <c r="F152" s="15">
        <v>3</v>
      </c>
      <c r="G152" s="15">
        <v>1</v>
      </c>
      <c r="H152" s="15">
        <v>0</v>
      </c>
      <c r="I152">
        <v>1</v>
      </c>
    </row>
    <row r="153" spans="3:9" x14ac:dyDescent="0.25">
      <c r="C153" s="10" t="s">
        <v>270</v>
      </c>
      <c r="D153" s="15">
        <v>1</v>
      </c>
      <c r="E153" s="15">
        <v>1</v>
      </c>
      <c r="F153" s="15">
        <v>1</v>
      </c>
      <c r="G153" s="15">
        <v>0</v>
      </c>
      <c r="H153" s="15">
        <v>3</v>
      </c>
      <c r="I153">
        <v>1</v>
      </c>
    </row>
    <row r="154" spans="3:9" x14ac:dyDescent="0.25">
      <c r="C154" s="10" t="s">
        <v>214</v>
      </c>
      <c r="D154" s="15">
        <v>0</v>
      </c>
      <c r="E154" s="15">
        <v>1</v>
      </c>
      <c r="F154" s="15">
        <v>1</v>
      </c>
      <c r="G154" s="15">
        <v>0</v>
      </c>
      <c r="H154" s="15">
        <v>1</v>
      </c>
      <c r="I154">
        <v>1</v>
      </c>
    </row>
    <row r="155" spans="3:9" x14ac:dyDescent="0.25">
      <c r="C155" s="10" t="s">
        <v>293</v>
      </c>
      <c r="D155" s="15">
        <v>0</v>
      </c>
      <c r="E155" s="15">
        <v>1</v>
      </c>
      <c r="F155" s="15">
        <v>1</v>
      </c>
      <c r="G155" s="15">
        <v>0</v>
      </c>
      <c r="H155" s="15">
        <v>1</v>
      </c>
      <c r="I155">
        <v>1</v>
      </c>
    </row>
    <row r="156" spans="3:9" x14ac:dyDescent="0.25">
      <c r="C156" s="10" t="s">
        <v>237</v>
      </c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>
        <v>0</v>
      </c>
    </row>
    <row r="157" spans="3:9" x14ac:dyDescent="0.25">
      <c r="C157" s="10" t="s">
        <v>274</v>
      </c>
      <c r="D157" s="15">
        <v>0</v>
      </c>
      <c r="E157" s="15">
        <v>1</v>
      </c>
      <c r="F157" s="15">
        <v>1</v>
      </c>
      <c r="G157" s="15">
        <v>1</v>
      </c>
      <c r="H157" s="15">
        <v>1</v>
      </c>
      <c r="I157">
        <v>1</v>
      </c>
    </row>
    <row r="158" spans="3:9" x14ac:dyDescent="0.25">
      <c r="C158" s="10" t="s">
        <v>292</v>
      </c>
      <c r="D158" s="15">
        <v>1</v>
      </c>
      <c r="E158" s="15">
        <v>1</v>
      </c>
      <c r="F158" s="15">
        <v>0</v>
      </c>
      <c r="G158" s="15">
        <v>1</v>
      </c>
      <c r="H158" s="15">
        <v>1</v>
      </c>
      <c r="I158">
        <v>1</v>
      </c>
    </row>
    <row r="159" spans="3:9" x14ac:dyDescent="0.25">
      <c r="C159" s="10" t="s">
        <v>344</v>
      </c>
      <c r="D159" s="15">
        <v>1</v>
      </c>
      <c r="E159" s="15">
        <v>1</v>
      </c>
      <c r="F159" s="15">
        <v>0</v>
      </c>
      <c r="G159" s="15">
        <v>1</v>
      </c>
      <c r="H159" s="15">
        <v>1</v>
      </c>
      <c r="I159">
        <v>1</v>
      </c>
    </row>
    <row r="160" spans="3:9" x14ac:dyDescent="0.25">
      <c r="C160" s="10" t="s">
        <v>282</v>
      </c>
      <c r="D160" s="15">
        <v>0</v>
      </c>
      <c r="E160" s="15">
        <v>1</v>
      </c>
      <c r="F160" s="15">
        <v>1</v>
      </c>
      <c r="G160" s="15">
        <v>0</v>
      </c>
      <c r="H160" s="15">
        <v>0</v>
      </c>
      <c r="I160">
        <v>1</v>
      </c>
    </row>
    <row r="161" spans="3:9" x14ac:dyDescent="0.25">
      <c r="C161" s="10" t="s">
        <v>318</v>
      </c>
      <c r="D161" s="15">
        <v>0</v>
      </c>
      <c r="E161" s="15">
        <v>2</v>
      </c>
      <c r="F161" s="15">
        <v>2</v>
      </c>
      <c r="G161" s="15">
        <v>1</v>
      </c>
      <c r="H161" s="15">
        <v>1</v>
      </c>
      <c r="I161">
        <v>1</v>
      </c>
    </row>
    <row r="162" spans="3:9" x14ac:dyDescent="0.25">
      <c r="C162" s="10" t="s">
        <v>259</v>
      </c>
      <c r="D162" s="15">
        <v>0</v>
      </c>
      <c r="E162" s="15">
        <v>1</v>
      </c>
      <c r="F162" s="15">
        <v>1</v>
      </c>
      <c r="G162" s="15">
        <v>0</v>
      </c>
      <c r="H162" s="15">
        <v>0</v>
      </c>
      <c r="I162">
        <v>1</v>
      </c>
    </row>
    <row r="163" spans="3:9" x14ac:dyDescent="0.25">
      <c r="C163" s="10" t="s">
        <v>247</v>
      </c>
      <c r="D163" s="15">
        <v>1</v>
      </c>
      <c r="E163" s="15">
        <v>1</v>
      </c>
      <c r="F163" s="15">
        <v>1</v>
      </c>
      <c r="G163" s="15">
        <v>0</v>
      </c>
      <c r="H163" s="15">
        <v>1</v>
      </c>
      <c r="I163">
        <v>0</v>
      </c>
    </row>
    <row r="164" spans="3:9" x14ac:dyDescent="0.25">
      <c r="C164" s="10" t="s">
        <v>300</v>
      </c>
      <c r="D164" s="15">
        <v>0</v>
      </c>
      <c r="E164" s="15">
        <v>1</v>
      </c>
      <c r="F164" s="15">
        <v>1</v>
      </c>
      <c r="G164" s="15">
        <v>0</v>
      </c>
      <c r="H164" s="15">
        <v>0</v>
      </c>
      <c r="I164">
        <v>0</v>
      </c>
    </row>
    <row r="165" spans="3:9" x14ac:dyDescent="0.25">
      <c r="C165" s="10" t="s">
        <v>310</v>
      </c>
      <c r="D165" s="15">
        <v>0</v>
      </c>
      <c r="E165" s="15">
        <v>1</v>
      </c>
      <c r="F165" s="15">
        <v>1</v>
      </c>
      <c r="G165" s="15">
        <v>1</v>
      </c>
      <c r="H165" s="15">
        <v>1</v>
      </c>
      <c r="I165">
        <v>1</v>
      </c>
    </row>
    <row r="166" spans="3:9" x14ac:dyDescent="0.25">
      <c r="C166" s="10" t="s">
        <v>338</v>
      </c>
      <c r="D166" s="15">
        <v>0</v>
      </c>
      <c r="E166" s="15">
        <v>1</v>
      </c>
      <c r="F166" s="15">
        <v>1</v>
      </c>
      <c r="G166" s="15">
        <v>0</v>
      </c>
      <c r="H166" s="15">
        <v>1</v>
      </c>
      <c r="I166">
        <v>0</v>
      </c>
    </row>
    <row r="167" spans="3:9" x14ac:dyDescent="0.25">
      <c r="C167" s="10" t="s">
        <v>253</v>
      </c>
      <c r="D167" s="15">
        <v>0</v>
      </c>
      <c r="E167" s="15">
        <v>1</v>
      </c>
      <c r="F167" s="15">
        <v>3</v>
      </c>
      <c r="G167" s="15">
        <v>1</v>
      </c>
      <c r="H167" s="15">
        <v>0</v>
      </c>
      <c r="I167">
        <v>1</v>
      </c>
    </row>
    <row r="168" spans="3:9" x14ac:dyDescent="0.25">
      <c r="C168" s="10" t="s">
        <v>216</v>
      </c>
      <c r="D168" s="15">
        <v>0</v>
      </c>
      <c r="E168" s="15">
        <v>1</v>
      </c>
      <c r="F168" s="15">
        <v>1</v>
      </c>
      <c r="G168" s="15">
        <v>1</v>
      </c>
      <c r="H168" s="15">
        <v>1</v>
      </c>
      <c r="I168">
        <v>1</v>
      </c>
    </row>
    <row r="169" spans="3:9" x14ac:dyDescent="0.25">
      <c r="C169" s="10" t="s">
        <v>297</v>
      </c>
      <c r="D169" s="15">
        <v>0</v>
      </c>
      <c r="E169" s="15">
        <v>1</v>
      </c>
      <c r="F169" s="15">
        <v>3</v>
      </c>
      <c r="G169" s="15">
        <v>1</v>
      </c>
      <c r="H169" s="15">
        <v>0</v>
      </c>
      <c r="I169">
        <v>1</v>
      </c>
    </row>
    <row r="170" spans="3:9" x14ac:dyDescent="0.25">
      <c r="C170" s="10" t="s">
        <v>286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>
        <v>0</v>
      </c>
    </row>
    <row r="171" spans="3:9" x14ac:dyDescent="0.25">
      <c r="C171" s="10" t="s">
        <v>331</v>
      </c>
      <c r="D171" s="15">
        <v>0</v>
      </c>
      <c r="E171" s="15">
        <v>1</v>
      </c>
      <c r="F171" s="15">
        <v>1</v>
      </c>
      <c r="G171" s="15">
        <v>1</v>
      </c>
      <c r="H171" s="15">
        <v>1</v>
      </c>
      <c r="I171">
        <v>1</v>
      </c>
    </row>
    <row r="172" spans="3:9" x14ac:dyDescent="0.25">
      <c r="C172" s="10" t="s">
        <v>334</v>
      </c>
      <c r="D172" s="15">
        <v>0</v>
      </c>
      <c r="E172" s="15">
        <v>1</v>
      </c>
      <c r="F172" s="15">
        <v>1</v>
      </c>
      <c r="G172" s="15">
        <v>1</v>
      </c>
      <c r="H172" s="15">
        <v>1</v>
      </c>
      <c r="I172">
        <v>1</v>
      </c>
    </row>
    <row r="173" spans="3:9" x14ac:dyDescent="0.25">
      <c r="C173" s="10" t="s">
        <v>342</v>
      </c>
      <c r="D173" s="15">
        <v>1</v>
      </c>
      <c r="E173" s="15">
        <v>1</v>
      </c>
      <c r="F173" s="15">
        <v>1</v>
      </c>
      <c r="G173" s="15">
        <v>1</v>
      </c>
      <c r="H173" s="15">
        <v>1</v>
      </c>
      <c r="I173">
        <v>0</v>
      </c>
    </row>
    <row r="174" spans="3:9" x14ac:dyDescent="0.25">
      <c r="C174" s="10" t="s">
        <v>328</v>
      </c>
      <c r="D174" s="15">
        <v>0</v>
      </c>
      <c r="E174" s="15">
        <v>1</v>
      </c>
      <c r="F174" s="15">
        <v>1</v>
      </c>
      <c r="G174" s="15">
        <v>0</v>
      </c>
      <c r="H174" s="15">
        <v>1</v>
      </c>
      <c r="I174">
        <v>1</v>
      </c>
    </row>
    <row r="175" spans="3:9" x14ac:dyDescent="0.25">
      <c r="C175" s="10" t="s">
        <v>241</v>
      </c>
      <c r="D175" s="15">
        <v>1</v>
      </c>
      <c r="E175" s="15">
        <v>1</v>
      </c>
      <c r="F175" s="15">
        <v>1</v>
      </c>
      <c r="G175" s="15">
        <v>1</v>
      </c>
      <c r="H175" s="15">
        <v>1</v>
      </c>
      <c r="I175">
        <v>0</v>
      </c>
    </row>
    <row r="176" spans="3:9" x14ac:dyDescent="0.25">
      <c r="C176" s="10" t="s">
        <v>303</v>
      </c>
      <c r="D176" s="15">
        <v>0</v>
      </c>
      <c r="E176" s="15">
        <v>1</v>
      </c>
      <c r="F176" s="15">
        <v>1</v>
      </c>
      <c r="G176" s="15">
        <v>0</v>
      </c>
      <c r="H176" s="15">
        <v>0</v>
      </c>
      <c r="I176">
        <v>1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K18"/>
    <mergeCell ref="C19:E19"/>
    <mergeCell ref="C20:E20"/>
    <mergeCell ref="F19:K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3'!$B$10:$B$10" display="Inputs" xr:uid="{35D7BFC3-9FD4-4043-9A4E-DCFFF433169D}"/>
    <hyperlink ref="D4" location="'STDPartition3'!$B$28:$B$28" display="Partition Summary" xr:uid="{5E6EA644-9CC6-4C23-9DE4-BDACE47D5B04}"/>
    <hyperlink ref="F4" location="'STDPartition3'!$B$34:$B$34" display="Partitioned Data" xr:uid="{14CDF2A6-312C-4D48-93F1-D47B28AB27CF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9946-00EA-41E2-A09B-4B36A4791BE3}">
  <dimension ref="B1:CV41"/>
  <sheetViews>
    <sheetView showGridLines="0" topLeftCell="A20" workbookViewId="0"/>
  </sheetViews>
  <sheetFormatPr defaultRowHeight="13.2" x14ac:dyDescent="0.25"/>
  <cols>
    <col min="12" max="12" width="29.109375" bestFit="1" customWidth="1"/>
  </cols>
  <sheetData>
    <row r="1" spans="2:100" ht="18" x14ac:dyDescent="0.35">
      <c r="B1" s="8" t="s">
        <v>473</v>
      </c>
      <c r="N1" t="s">
        <v>546</v>
      </c>
      <c r="CV1" s="14" t="s">
        <v>491</v>
      </c>
    </row>
    <row r="3" spans="2:100" ht="15.6" x14ac:dyDescent="0.3">
      <c r="B3" s="22" t="s">
        <v>172</v>
      </c>
      <c r="C3" s="23"/>
      <c r="D3" s="23"/>
      <c r="E3" s="23"/>
      <c r="F3" s="23"/>
      <c r="G3" s="23"/>
      <c r="H3" s="23"/>
      <c r="I3" s="24"/>
      <c r="L3" s="22" t="s">
        <v>195</v>
      </c>
      <c r="M3" s="23"/>
      <c r="N3" s="23"/>
      <c r="O3" s="24"/>
    </row>
    <row r="4" spans="2:100" ht="13.8" x14ac:dyDescent="0.3">
      <c r="B4" s="29" t="s">
        <v>173</v>
      </c>
      <c r="C4" s="30"/>
      <c r="D4" s="29" t="s">
        <v>366</v>
      </c>
      <c r="E4" s="30"/>
      <c r="F4" s="29" t="s">
        <v>448</v>
      </c>
      <c r="G4" s="30"/>
      <c r="H4" s="29" t="s">
        <v>449</v>
      </c>
      <c r="I4" s="30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00" ht="13.8" x14ac:dyDescent="0.3">
      <c r="L5" s="11">
        <v>96</v>
      </c>
      <c r="M5" s="11">
        <v>3</v>
      </c>
      <c r="N5" s="11">
        <v>8</v>
      </c>
      <c r="O5" s="11">
        <v>107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  <c r="J12" s="25"/>
      <c r="K12" s="25"/>
    </row>
    <row r="13" spans="2:100" ht="13.8" x14ac:dyDescent="0.3">
      <c r="C13" s="18" t="s">
        <v>176</v>
      </c>
      <c r="D13" s="18"/>
      <c r="E13" s="18"/>
      <c r="F13" s="19"/>
      <c r="G13" s="17" t="s">
        <v>190</v>
      </c>
      <c r="H13" s="17"/>
      <c r="I13" s="17"/>
      <c r="J13" s="17"/>
      <c r="K13" s="17"/>
    </row>
    <row r="14" spans="2:100" ht="13.8" x14ac:dyDescent="0.3">
      <c r="C14" s="18" t="s">
        <v>177</v>
      </c>
      <c r="D14" s="18"/>
      <c r="E14" s="18"/>
      <c r="F14" s="19"/>
      <c r="G14" s="17" t="s">
        <v>558</v>
      </c>
      <c r="H14" s="17"/>
      <c r="I14" s="17"/>
      <c r="J14" s="17"/>
      <c r="K14" s="17"/>
    </row>
    <row r="15" spans="2:100" ht="13.8" x14ac:dyDescent="0.3">
      <c r="C15" s="18" t="s">
        <v>474</v>
      </c>
      <c r="D15" s="18"/>
      <c r="E15" s="18"/>
      <c r="F15" s="19"/>
      <c r="G15" s="17" t="s">
        <v>559</v>
      </c>
      <c r="H15" s="17"/>
      <c r="I15" s="17"/>
      <c r="J15" s="17"/>
      <c r="K15" s="17"/>
    </row>
    <row r="16" spans="2:100" ht="13.8" x14ac:dyDescent="0.3">
      <c r="C16" s="18" t="s">
        <v>475</v>
      </c>
      <c r="D16" s="18"/>
      <c r="E16" s="18"/>
      <c r="F16" s="19"/>
      <c r="G16" s="17">
        <v>105</v>
      </c>
      <c r="H16" s="17"/>
      <c r="I16" s="17"/>
      <c r="J16" s="17"/>
      <c r="K16" s="17"/>
    </row>
    <row r="17" spans="3:11" ht="13.8" x14ac:dyDescent="0.3">
      <c r="C17" s="18" t="s">
        <v>476</v>
      </c>
      <c r="D17" s="18"/>
      <c r="E17" s="18"/>
      <c r="F17" s="19"/>
      <c r="G17" s="17" t="s">
        <v>560</v>
      </c>
      <c r="H17" s="17"/>
      <c r="I17" s="17"/>
      <c r="J17" s="17"/>
      <c r="K17" s="17"/>
    </row>
    <row r="18" spans="3:11" ht="13.8" x14ac:dyDescent="0.3">
      <c r="C18" s="18" t="s">
        <v>477</v>
      </c>
      <c r="D18" s="18"/>
      <c r="E18" s="18"/>
      <c r="F18" s="19"/>
      <c r="G18" s="17">
        <v>35</v>
      </c>
      <c r="H18" s="17"/>
      <c r="I18" s="17"/>
      <c r="J18" s="17"/>
      <c r="K18" s="17"/>
    </row>
    <row r="20" spans="3:11" ht="15.6" x14ac:dyDescent="0.3">
      <c r="C20" s="25" t="s">
        <v>180</v>
      </c>
      <c r="D20" s="25"/>
      <c r="E20" s="25"/>
      <c r="F20" s="25"/>
      <c r="G20" s="25"/>
      <c r="H20" s="25"/>
      <c r="I20" s="25"/>
    </row>
    <row r="21" spans="3:11" ht="13.8" x14ac:dyDescent="0.3">
      <c r="C21" s="18" t="s">
        <v>478</v>
      </c>
      <c r="D21" s="19"/>
      <c r="E21" s="17">
        <v>5</v>
      </c>
      <c r="F21" s="17"/>
      <c r="G21" s="17"/>
      <c r="H21" s="17"/>
      <c r="I21" s="17"/>
    </row>
    <row r="22" spans="3:11" ht="13.8" x14ac:dyDescent="0.3">
      <c r="C22" s="18" t="s">
        <v>479</v>
      </c>
      <c r="D22" s="19"/>
      <c r="E22" s="11" t="s">
        <v>203</v>
      </c>
      <c r="F22" s="11" t="s">
        <v>204</v>
      </c>
      <c r="G22" s="11" t="s">
        <v>205</v>
      </c>
      <c r="H22" s="11" t="s">
        <v>206</v>
      </c>
      <c r="I22" s="11" t="s">
        <v>207</v>
      </c>
    </row>
    <row r="23" spans="3:11" ht="13.8" x14ac:dyDescent="0.3">
      <c r="C23" s="18" t="s">
        <v>480</v>
      </c>
      <c r="D23" s="19"/>
      <c r="E23" s="16" t="s">
        <v>51</v>
      </c>
      <c r="F23" s="16"/>
      <c r="G23" s="16"/>
      <c r="H23" s="16"/>
      <c r="I23" s="16"/>
    </row>
    <row r="25" spans="3:11" ht="15.6" x14ac:dyDescent="0.3">
      <c r="C25" s="25" t="s">
        <v>481</v>
      </c>
      <c r="D25" s="25"/>
      <c r="E25" s="25"/>
      <c r="F25" s="25"/>
      <c r="G25" s="25"/>
      <c r="H25" s="25"/>
      <c r="I25" s="25"/>
    </row>
    <row r="26" spans="3:11" ht="13.8" x14ac:dyDescent="0.3">
      <c r="C26" s="18" t="s">
        <v>482</v>
      </c>
      <c r="D26" s="18"/>
      <c r="E26" s="19"/>
      <c r="F26" s="17" t="b">
        <v>1</v>
      </c>
      <c r="G26" s="17"/>
      <c r="H26" s="17"/>
      <c r="I26" s="17"/>
    </row>
    <row r="27" spans="3:11" ht="13.8" x14ac:dyDescent="0.3">
      <c r="C27" s="18" t="s">
        <v>483</v>
      </c>
      <c r="D27" s="18"/>
      <c r="E27" s="19"/>
      <c r="F27" s="17">
        <v>1</v>
      </c>
      <c r="G27" s="17"/>
      <c r="H27" s="17"/>
      <c r="I27" s="17"/>
    </row>
    <row r="28" spans="3:11" ht="13.8" x14ac:dyDescent="0.3">
      <c r="C28" s="18" t="s">
        <v>484</v>
      </c>
      <c r="D28" s="18"/>
      <c r="E28" s="19"/>
      <c r="F28" s="33" t="s">
        <v>487</v>
      </c>
      <c r="G28" s="34"/>
      <c r="H28" s="34"/>
      <c r="I28" s="35"/>
    </row>
    <row r="30" spans="3:11" ht="15.6" x14ac:dyDescent="0.3">
      <c r="C30" s="22" t="s">
        <v>485</v>
      </c>
      <c r="D30" s="23"/>
      <c r="E30" s="23"/>
      <c r="F30" s="23"/>
      <c r="G30" s="23"/>
      <c r="H30" s="23"/>
      <c r="I30" s="24"/>
    </row>
    <row r="31" spans="3:11" ht="13.8" x14ac:dyDescent="0.3">
      <c r="C31" s="19" t="s">
        <v>486</v>
      </c>
      <c r="D31" s="31"/>
      <c r="E31" s="32"/>
      <c r="F31" s="33">
        <v>2</v>
      </c>
      <c r="G31" s="34"/>
      <c r="H31" s="34"/>
      <c r="I31" s="35"/>
    </row>
    <row r="32" spans="3:11" ht="13.8" x14ac:dyDescent="0.3">
      <c r="C32" s="19" t="s">
        <v>463</v>
      </c>
      <c r="D32" s="31"/>
      <c r="E32" s="32"/>
      <c r="F32" s="33">
        <v>1</v>
      </c>
      <c r="G32" s="34"/>
      <c r="H32" s="34"/>
      <c r="I32" s="35"/>
    </row>
    <row r="33" spans="3:9" ht="13.8" x14ac:dyDescent="0.3">
      <c r="C33" s="19" t="s">
        <v>464</v>
      </c>
      <c r="D33" s="31"/>
      <c r="E33" s="32"/>
      <c r="F33" s="33">
        <v>0.5</v>
      </c>
      <c r="G33" s="34"/>
      <c r="H33" s="34"/>
      <c r="I33" s="35"/>
    </row>
    <row r="35" spans="3:9" ht="15.6" x14ac:dyDescent="0.3">
      <c r="C35" s="22" t="s">
        <v>492</v>
      </c>
      <c r="D35" s="23"/>
      <c r="E35" s="23"/>
      <c r="F35" s="23"/>
      <c r="G35" s="23"/>
      <c r="H35" s="23"/>
      <c r="I35" s="24"/>
    </row>
    <row r="36" spans="3:9" ht="13.8" x14ac:dyDescent="0.3">
      <c r="C36" s="19" t="s">
        <v>493</v>
      </c>
      <c r="D36" s="31"/>
      <c r="E36" s="32"/>
      <c r="F36" s="33" t="b">
        <v>0</v>
      </c>
      <c r="G36" s="34"/>
      <c r="H36" s="34"/>
      <c r="I36" s="35"/>
    </row>
    <row r="37" spans="3:9" ht="13.8" x14ac:dyDescent="0.3">
      <c r="C37" s="19" t="s">
        <v>494</v>
      </c>
      <c r="D37" s="31"/>
      <c r="E37" s="32"/>
      <c r="F37" s="33" t="b">
        <v>0</v>
      </c>
      <c r="G37" s="34"/>
      <c r="H37" s="34"/>
      <c r="I37" s="35"/>
    </row>
    <row r="39" spans="3:9" ht="15.6" x14ac:dyDescent="0.3">
      <c r="C39" s="22" t="s">
        <v>495</v>
      </c>
      <c r="D39" s="23"/>
      <c r="E39" s="23"/>
      <c r="F39" s="23"/>
      <c r="G39" s="24"/>
    </row>
    <row r="40" spans="3:9" ht="13.8" x14ac:dyDescent="0.3">
      <c r="C40" s="26" t="s">
        <v>496</v>
      </c>
      <c r="D40" s="27"/>
      <c r="E40" s="27"/>
      <c r="F40" s="27"/>
      <c r="G40" s="28"/>
    </row>
    <row r="41" spans="3:9" ht="13.8" x14ac:dyDescent="0.3">
      <c r="C41" s="26" t="s">
        <v>497</v>
      </c>
      <c r="D41" s="27"/>
      <c r="E41" s="27"/>
      <c r="F41" s="27"/>
      <c r="G41" s="28"/>
    </row>
  </sheetData>
  <mergeCells count="4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I20"/>
    <mergeCell ref="C21:D21"/>
    <mergeCell ref="C22:D22"/>
    <mergeCell ref="C23:D23"/>
    <mergeCell ref="E21:I21"/>
    <mergeCell ref="E23:I23"/>
    <mergeCell ref="C25:I25"/>
    <mergeCell ref="C26:E26"/>
    <mergeCell ref="C27:E27"/>
    <mergeCell ref="C28:E28"/>
    <mergeCell ref="F26:I26"/>
    <mergeCell ref="F27:I27"/>
    <mergeCell ref="F28:I28"/>
    <mergeCell ref="C32:E32"/>
    <mergeCell ref="C33:E33"/>
    <mergeCell ref="F31:I31"/>
    <mergeCell ref="F32:I32"/>
    <mergeCell ref="F33:I33"/>
    <mergeCell ref="B3:I3"/>
    <mergeCell ref="L3:O3"/>
    <mergeCell ref="C40:G40"/>
    <mergeCell ref="C41:G41"/>
    <mergeCell ref="B4:C4"/>
    <mergeCell ref="D4:E4"/>
    <mergeCell ref="F4:G4"/>
    <mergeCell ref="H4:I4"/>
    <mergeCell ref="C35:I35"/>
    <mergeCell ref="C36:E36"/>
    <mergeCell ref="C37:E37"/>
    <mergeCell ref="F36:I36"/>
    <mergeCell ref="F37:I37"/>
    <mergeCell ref="C39:G39"/>
    <mergeCell ref="C30:I30"/>
    <mergeCell ref="C31:E31"/>
  </mergeCells>
  <hyperlinks>
    <hyperlink ref="B4" location="'NB_Output3'!$B$10:$B$10" display="Inputs" xr:uid="{BC7E0ED3-B447-4D48-85D9-001AC4916A86}"/>
    <hyperlink ref="D4" location="'NB_Stored3'!$B$10:$B$10" display="PMML Model" xr:uid="{5F3DD790-8D38-47E1-AC4A-4AA96548A61B}"/>
    <hyperlink ref="F4" location="'NB_TrainingScore3'!$B$10:$B$10" display="Training: Classification Summary" xr:uid="{519BA8AC-5306-4C11-A0E5-7A6C85AE0572}"/>
    <hyperlink ref="H4" location="'NB_ValidationScore3'!$B$10:$B$10" display="Validation: Classification Summary" xr:uid="{D6D9765E-A1D0-4543-A8D3-791161E600B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63B5-23A6-4201-8E95-2D5FD207680A}">
  <dimension ref="B1:O32"/>
  <sheetViews>
    <sheetView showGridLines="0" topLeftCell="A6" workbookViewId="0">
      <selection activeCell="D26" sqref="D26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472</v>
      </c>
      <c r="N1" t="s">
        <v>546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96</v>
      </c>
      <c r="M5" s="11">
        <v>3</v>
      </c>
      <c r="N5" s="11">
        <v>8</v>
      </c>
      <c r="O5" s="11">
        <v>107</v>
      </c>
    </row>
    <row r="10" spans="2:15" ht="18" x14ac:dyDescent="0.35">
      <c r="B10" s="9" t="s">
        <v>448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66</v>
      </c>
      <c r="E14">
        <v>1</v>
      </c>
    </row>
    <row r="15" spans="2:15" x14ac:dyDescent="0.25">
      <c r="C15" s="10">
        <v>1</v>
      </c>
      <c r="D15" s="15">
        <v>6</v>
      </c>
      <c r="E15">
        <v>32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67</v>
      </c>
      <c r="E19">
        <f>SUM($D$14:$E$14) - $D$14</f>
        <v>1</v>
      </c>
      <c r="F19">
        <f>IF($D$19=0,"Undefined",$E$19*100 / $D$19)</f>
        <v>1.4925373134328359</v>
      </c>
    </row>
    <row r="20" spans="3:6" x14ac:dyDescent="0.25">
      <c r="C20" s="10">
        <v>1</v>
      </c>
      <c r="D20">
        <f>SUM($D$15:$E$15)</f>
        <v>38</v>
      </c>
      <c r="E20">
        <f>SUM($D$15:$E$15) - $E$15</f>
        <v>6</v>
      </c>
      <c r="F20">
        <f>IF($D$20=0,"Undefined",$E$20*100 / $D$20)</f>
        <v>15.789473684210526</v>
      </c>
    </row>
    <row r="21" spans="3:6" x14ac:dyDescent="0.25">
      <c r="C21" s="10" t="s">
        <v>454</v>
      </c>
      <c r="D21">
        <f>SUM($D$19:$D$20)</f>
        <v>105</v>
      </c>
      <c r="E21">
        <f>SUM($E$19:$E$20)</f>
        <v>7</v>
      </c>
      <c r="F21">
        <f>IF($D$21=0,"Undefined",$E$21*100 / $D$21)</f>
        <v>6.666666666666667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98</v>
      </c>
    </row>
    <row r="26" spans="3:6" x14ac:dyDescent="0.25">
      <c r="C26" t="s">
        <v>458</v>
      </c>
      <c r="D26">
        <v>93.333333333333314</v>
      </c>
    </row>
    <row r="27" spans="3:6" x14ac:dyDescent="0.25">
      <c r="C27" t="s">
        <v>459</v>
      </c>
      <c r="D27">
        <v>0.9850746268656716</v>
      </c>
    </row>
    <row r="28" spans="3:6" x14ac:dyDescent="0.25">
      <c r="C28" t="s">
        <v>460</v>
      </c>
      <c r="D28">
        <v>0.84210526315789469</v>
      </c>
    </row>
    <row r="29" spans="3:6" x14ac:dyDescent="0.25">
      <c r="C29" t="s">
        <v>461</v>
      </c>
      <c r="D29">
        <v>0.96969696969696961</v>
      </c>
    </row>
    <row r="30" spans="3:6" x14ac:dyDescent="0.25">
      <c r="C30" t="s">
        <v>462</v>
      </c>
      <c r="D30">
        <v>0.90140845070422537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3'!$B$10:$B$10" display="Inputs" xr:uid="{12EDAC97-F4C6-4E4E-8B46-9A0CC2B2CA86}"/>
    <hyperlink ref="D4" location="'NB_Stored3'!$B$10:$B$10" display="PMML Model" xr:uid="{DC8BBCAC-B43A-4147-8927-147276205FAB}"/>
    <hyperlink ref="F4" location="'NB_TrainingScore3'!$B$10:$B$10" display="Training: Classification Summary" xr:uid="{BDC223FD-9E6E-43CE-B2CA-A586FC819F97}"/>
    <hyperlink ref="H4" location="'NB_ValidationScore3'!$B$10:$B$10" display="Validation: Classification Summary" xr:uid="{880C5E9E-E98D-483E-8E9F-1B883632B7B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0A52-4011-4FD1-A840-CDC3DFD4399C}">
  <dimension ref="B1:O32"/>
  <sheetViews>
    <sheetView showGridLines="0" workbookViewId="0">
      <selection activeCell="F21" sqref="F21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450</v>
      </c>
      <c r="N1" t="s">
        <v>546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96</v>
      </c>
      <c r="M5" s="11">
        <v>3</v>
      </c>
      <c r="N5" s="11">
        <v>8</v>
      </c>
      <c r="O5" s="11">
        <v>107</v>
      </c>
    </row>
    <row r="10" spans="2:15" ht="18" x14ac:dyDescent="0.35">
      <c r="B10" s="9" t="s">
        <v>449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25</v>
      </c>
      <c r="E14">
        <v>0</v>
      </c>
    </row>
    <row r="15" spans="2:15" x14ac:dyDescent="0.25">
      <c r="C15" s="10">
        <v>1</v>
      </c>
      <c r="D15" s="15">
        <v>2</v>
      </c>
      <c r="E15">
        <v>8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25</v>
      </c>
      <c r="E19">
        <f>SUM($D$14:$E$14) - $D$14</f>
        <v>0</v>
      </c>
      <c r="F19">
        <f>IF($D$19=0,"Undefined",$E$19*100 / $D$19)</f>
        <v>0</v>
      </c>
    </row>
    <row r="20" spans="3:6" x14ac:dyDescent="0.25">
      <c r="C20" s="10">
        <v>1</v>
      </c>
      <c r="D20">
        <f>SUM($D$15:$E$15)</f>
        <v>10</v>
      </c>
      <c r="E20">
        <f>SUM($D$15:$E$15) - $E$15</f>
        <v>2</v>
      </c>
      <c r="F20">
        <f>IF($D$20=0,"Undefined",$E$20*100 / $D$20)</f>
        <v>20</v>
      </c>
    </row>
    <row r="21" spans="3:6" x14ac:dyDescent="0.25">
      <c r="C21" s="10" t="s">
        <v>454</v>
      </c>
      <c r="D21">
        <f>SUM($D$19:$D$20)</f>
        <v>35</v>
      </c>
      <c r="E21">
        <f>SUM($E$19:$E$20)</f>
        <v>2</v>
      </c>
      <c r="F21">
        <f>IF($D$21=0,"Undefined",$E$21*100 / $D$21)</f>
        <v>5.7142857142857144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33</v>
      </c>
    </row>
    <row r="26" spans="3:6" x14ac:dyDescent="0.25">
      <c r="C26" t="s">
        <v>458</v>
      </c>
      <c r="D26">
        <v>94.285714285714278</v>
      </c>
    </row>
    <row r="27" spans="3:6" x14ac:dyDescent="0.25">
      <c r="C27" t="s">
        <v>459</v>
      </c>
      <c r="D27">
        <v>1</v>
      </c>
    </row>
    <row r="28" spans="3:6" x14ac:dyDescent="0.25">
      <c r="C28" t="s">
        <v>460</v>
      </c>
      <c r="D28">
        <v>0.8</v>
      </c>
    </row>
    <row r="29" spans="3:6" x14ac:dyDescent="0.25">
      <c r="C29" t="s">
        <v>461</v>
      </c>
      <c r="D29">
        <v>1</v>
      </c>
    </row>
    <row r="30" spans="3:6" x14ac:dyDescent="0.25">
      <c r="C30" t="s">
        <v>462</v>
      </c>
      <c r="D30">
        <v>0.88888888888888895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3'!$B$10:$B$10" display="Inputs" xr:uid="{EF17A986-78BA-4359-98BF-CA1163EC5837}"/>
    <hyperlink ref="D4" location="'NB_Stored3'!$B$10:$B$10" display="PMML Model" xr:uid="{7246F089-C67E-4CD0-9D27-64B1102D9B49}"/>
    <hyperlink ref="F4" location="'NB_TrainingScore3'!$B$10:$B$10" display="Training: Classification Summary" xr:uid="{0FDCC153-1FE2-4E13-9239-70C4E36D78ED}"/>
    <hyperlink ref="H4" location="'NB_ValidationScore3'!$B$10:$B$10" display="Validation: Classification Summary" xr:uid="{0C4FBA71-3310-40E4-956C-4C0583E0B8F0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8B3A-033A-4B37-82C3-F5FF3DBBED0E}">
  <dimension ref="B1:O172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8" t="s">
        <v>365</v>
      </c>
      <c r="N1" t="s">
        <v>546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96</v>
      </c>
      <c r="M5" s="11">
        <v>3</v>
      </c>
      <c r="N5" s="11">
        <v>8</v>
      </c>
      <c r="O5" s="11">
        <v>107</v>
      </c>
    </row>
    <row r="10" spans="2:15" ht="18" x14ac:dyDescent="0.35">
      <c r="B10" s="9" t="s">
        <v>366</v>
      </c>
    </row>
    <row r="12" spans="2:15" x14ac:dyDescent="0.25">
      <c r="B12" t="s">
        <v>367</v>
      </c>
    </row>
    <row r="13" spans="2:15" x14ac:dyDescent="0.25">
      <c r="B13" t="s">
        <v>368</v>
      </c>
    </row>
    <row r="14" spans="2:15" x14ac:dyDescent="0.25">
      <c r="B14" t="s">
        <v>369</v>
      </c>
    </row>
    <row r="15" spans="2:15" x14ac:dyDescent="0.25">
      <c r="B15" t="s">
        <v>370</v>
      </c>
    </row>
    <row r="16" spans="2:15" x14ac:dyDescent="0.25">
      <c r="B16" t="s">
        <v>545</v>
      </c>
    </row>
    <row r="17" spans="2:2" x14ac:dyDescent="0.25">
      <c r="B17" t="s">
        <v>372</v>
      </c>
    </row>
    <row r="18" spans="2:2" x14ac:dyDescent="0.25">
      <c r="B18" t="s">
        <v>373</v>
      </c>
    </row>
    <row r="19" spans="2:2" x14ac:dyDescent="0.25">
      <c r="B19" t="s">
        <v>374</v>
      </c>
    </row>
    <row r="20" spans="2:2" x14ac:dyDescent="0.25">
      <c r="B20" t="s">
        <v>375</v>
      </c>
    </row>
    <row r="21" spans="2:2" x14ac:dyDescent="0.25">
      <c r="B21" t="s">
        <v>376</v>
      </c>
    </row>
    <row r="22" spans="2:2" x14ac:dyDescent="0.25">
      <c r="B22" t="s">
        <v>377</v>
      </c>
    </row>
    <row r="23" spans="2:2" x14ac:dyDescent="0.25">
      <c r="B23" t="s">
        <v>378</v>
      </c>
    </row>
    <row r="24" spans="2:2" x14ac:dyDescent="0.25">
      <c r="B24" t="s">
        <v>379</v>
      </c>
    </row>
    <row r="25" spans="2:2" x14ac:dyDescent="0.25">
      <c r="B25" t="s">
        <v>380</v>
      </c>
    </row>
    <row r="26" spans="2:2" x14ac:dyDescent="0.25">
      <c r="B26" t="s">
        <v>381</v>
      </c>
    </row>
    <row r="27" spans="2:2" x14ac:dyDescent="0.25">
      <c r="B27" t="s">
        <v>382</v>
      </c>
    </row>
    <row r="28" spans="2:2" x14ac:dyDescent="0.25">
      <c r="B28" t="s">
        <v>383</v>
      </c>
    </row>
    <row r="29" spans="2:2" x14ac:dyDescent="0.25">
      <c r="B29" t="s">
        <v>384</v>
      </c>
    </row>
    <row r="30" spans="2:2" x14ac:dyDescent="0.25">
      <c r="B30" t="s">
        <v>385</v>
      </c>
    </row>
    <row r="31" spans="2:2" x14ac:dyDescent="0.25">
      <c r="B31" t="s">
        <v>386</v>
      </c>
    </row>
    <row r="32" spans="2:2" x14ac:dyDescent="0.25">
      <c r="B32" t="s">
        <v>387</v>
      </c>
    </row>
    <row r="33" spans="2:2" x14ac:dyDescent="0.25">
      <c r="B33" t="s">
        <v>389</v>
      </c>
    </row>
    <row r="34" spans="2:2" x14ac:dyDescent="0.25">
      <c r="B34" t="s">
        <v>390</v>
      </c>
    </row>
    <row r="35" spans="2:2" x14ac:dyDescent="0.25">
      <c r="B35" t="s">
        <v>391</v>
      </c>
    </row>
    <row r="36" spans="2:2" x14ac:dyDescent="0.25">
      <c r="B36" t="s">
        <v>392</v>
      </c>
    </row>
    <row r="37" spans="2:2" x14ac:dyDescent="0.25">
      <c r="B37" t="s">
        <v>393</v>
      </c>
    </row>
    <row r="38" spans="2:2" x14ac:dyDescent="0.25">
      <c r="B38" t="s">
        <v>394</v>
      </c>
    </row>
    <row r="39" spans="2:2" x14ac:dyDescent="0.25">
      <c r="B39" t="s">
        <v>395</v>
      </c>
    </row>
    <row r="40" spans="2:2" x14ac:dyDescent="0.25">
      <c r="B40" t="s">
        <v>396</v>
      </c>
    </row>
    <row r="41" spans="2:2" x14ac:dyDescent="0.25">
      <c r="B41" t="s">
        <v>547</v>
      </c>
    </row>
    <row r="42" spans="2:2" x14ac:dyDescent="0.25">
      <c r="B42" t="s">
        <v>548</v>
      </c>
    </row>
    <row r="43" spans="2:2" x14ac:dyDescent="0.25">
      <c r="B43" t="s">
        <v>399</v>
      </c>
    </row>
    <row r="44" spans="2:2" x14ac:dyDescent="0.25">
      <c r="B44" t="s">
        <v>400</v>
      </c>
    </row>
    <row r="45" spans="2:2" x14ac:dyDescent="0.25">
      <c r="B45" t="s">
        <v>401</v>
      </c>
    </row>
    <row r="46" spans="2:2" x14ac:dyDescent="0.25">
      <c r="B46" t="s">
        <v>402</v>
      </c>
    </row>
    <row r="47" spans="2:2" x14ac:dyDescent="0.25">
      <c r="B47" t="s">
        <v>403</v>
      </c>
    </row>
    <row r="48" spans="2:2" x14ac:dyDescent="0.25">
      <c r="B48" t="s">
        <v>404</v>
      </c>
    </row>
    <row r="49" spans="2:2" x14ac:dyDescent="0.25">
      <c r="B49" t="s">
        <v>549</v>
      </c>
    </row>
    <row r="50" spans="2:2" x14ac:dyDescent="0.25">
      <c r="B50" t="s">
        <v>550</v>
      </c>
    </row>
    <row r="51" spans="2:2" x14ac:dyDescent="0.25">
      <c r="B51" t="s">
        <v>407</v>
      </c>
    </row>
    <row r="52" spans="2:2" x14ac:dyDescent="0.25">
      <c r="B52" t="s">
        <v>408</v>
      </c>
    </row>
    <row r="53" spans="2:2" x14ac:dyDescent="0.25">
      <c r="B53" t="s">
        <v>409</v>
      </c>
    </row>
    <row r="54" spans="2:2" x14ac:dyDescent="0.25">
      <c r="B54" t="s">
        <v>404</v>
      </c>
    </row>
    <row r="55" spans="2:2" x14ac:dyDescent="0.25">
      <c r="B55" t="s">
        <v>423</v>
      </c>
    </row>
    <row r="56" spans="2:2" x14ac:dyDescent="0.25">
      <c r="B56" t="s">
        <v>411</v>
      </c>
    </row>
    <row r="57" spans="2:2" x14ac:dyDescent="0.25">
      <c r="B57" t="s">
        <v>407</v>
      </c>
    </row>
    <row r="58" spans="2:2" x14ac:dyDescent="0.25">
      <c r="B58" t="s">
        <v>408</v>
      </c>
    </row>
    <row r="59" spans="2:2" x14ac:dyDescent="0.25">
      <c r="B59" t="s">
        <v>412</v>
      </c>
    </row>
    <row r="60" spans="2:2" x14ac:dyDescent="0.25">
      <c r="B60" t="s">
        <v>404</v>
      </c>
    </row>
    <row r="61" spans="2:2" x14ac:dyDescent="0.25">
      <c r="B61" t="s">
        <v>506</v>
      </c>
    </row>
    <row r="62" spans="2:2" x14ac:dyDescent="0.25">
      <c r="B62" t="s">
        <v>440</v>
      </c>
    </row>
    <row r="63" spans="2:2" x14ac:dyDescent="0.25">
      <c r="B63" t="s">
        <v>407</v>
      </c>
    </row>
    <row r="64" spans="2:2" x14ac:dyDescent="0.25">
      <c r="B64" t="s">
        <v>408</v>
      </c>
    </row>
    <row r="65" spans="2:2" x14ac:dyDescent="0.25">
      <c r="B65" t="s">
        <v>415</v>
      </c>
    </row>
    <row r="66" spans="2:2" x14ac:dyDescent="0.25">
      <c r="B66" t="s">
        <v>416</v>
      </c>
    </row>
    <row r="67" spans="2:2" x14ac:dyDescent="0.25">
      <c r="B67" t="s">
        <v>412</v>
      </c>
    </row>
    <row r="68" spans="2:2" x14ac:dyDescent="0.25">
      <c r="B68" t="s">
        <v>404</v>
      </c>
    </row>
    <row r="69" spans="2:2" x14ac:dyDescent="0.25">
      <c r="B69" t="s">
        <v>507</v>
      </c>
    </row>
    <row r="70" spans="2:2" x14ac:dyDescent="0.25">
      <c r="B70" t="s">
        <v>530</v>
      </c>
    </row>
    <row r="71" spans="2:2" x14ac:dyDescent="0.25">
      <c r="B71" t="s">
        <v>407</v>
      </c>
    </row>
    <row r="72" spans="2:2" x14ac:dyDescent="0.25">
      <c r="B72" t="s">
        <v>408</v>
      </c>
    </row>
    <row r="73" spans="2:2" x14ac:dyDescent="0.25">
      <c r="B73" t="s">
        <v>403</v>
      </c>
    </row>
    <row r="74" spans="2:2" x14ac:dyDescent="0.25">
      <c r="B74" t="s">
        <v>404</v>
      </c>
    </row>
    <row r="75" spans="2:2" x14ac:dyDescent="0.25">
      <c r="B75" t="s">
        <v>551</v>
      </c>
    </row>
    <row r="76" spans="2:2" x14ac:dyDescent="0.25">
      <c r="B76" t="s">
        <v>510</v>
      </c>
    </row>
    <row r="77" spans="2:2" x14ac:dyDescent="0.25">
      <c r="B77" t="s">
        <v>407</v>
      </c>
    </row>
    <row r="78" spans="2:2" x14ac:dyDescent="0.25">
      <c r="B78" t="s">
        <v>408</v>
      </c>
    </row>
    <row r="79" spans="2:2" x14ac:dyDescent="0.25">
      <c r="B79" t="s">
        <v>409</v>
      </c>
    </row>
    <row r="80" spans="2:2" x14ac:dyDescent="0.25">
      <c r="B80" t="s">
        <v>404</v>
      </c>
    </row>
    <row r="81" spans="2:2" x14ac:dyDescent="0.25">
      <c r="B81" t="s">
        <v>506</v>
      </c>
    </row>
    <row r="82" spans="2:2" x14ac:dyDescent="0.25">
      <c r="B82" t="s">
        <v>411</v>
      </c>
    </row>
    <row r="83" spans="2:2" x14ac:dyDescent="0.25">
      <c r="B83" t="s">
        <v>407</v>
      </c>
    </row>
    <row r="84" spans="2:2" x14ac:dyDescent="0.25">
      <c r="B84" t="s">
        <v>408</v>
      </c>
    </row>
    <row r="85" spans="2:2" x14ac:dyDescent="0.25">
      <c r="B85" t="s">
        <v>422</v>
      </c>
    </row>
    <row r="86" spans="2:2" x14ac:dyDescent="0.25">
      <c r="B86" t="s">
        <v>404</v>
      </c>
    </row>
    <row r="87" spans="2:2" x14ac:dyDescent="0.25">
      <c r="B87" t="s">
        <v>552</v>
      </c>
    </row>
    <row r="88" spans="2:2" x14ac:dyDescent="0.25">
      <c r="B88" t="s">
        <v>411</v>
      </c>
    </row>
    <row r="89" spans="2:2" x14ac:dyDescent="0.25">
      <c r="B89" t="s">
        <v>407</v>
      </c>
    </row>
    <row r="90" spans="2:2" x14ac:dyDescent="0.25">
      <c r="B90" t="s">
        <v>408</v>
      </c>
    </row>
    <row r="91" spans="2:2" x14ac:dyDescent="0.25">
      <c r="B91" t="s">
        <v>415</v>
      </c>
    </row>
    <row r="92" spans="2:2" x14ac:dyDescent="0.25">
      <c r="B92" t="s">
        <v>424</v>
      </c>
    </row>
    <row r="93" spans="2:2" x14ac:dyDescent="0.25">
      <c r="B93" t="s">
        <v>412</v>
      </c>
    </row>
    <row r="94" spans="2:2" x14ac:dyDescent="0.25">
      <c r="B94" t="s">
        <v>404</v>
      </c>
    </row>
    <row r="95" spans="2:2" x14ac:dyDescent="0.25">
      <c r="B95" t="s">
        <v>551</v>
      </c>
    </row>
    <row r="96" spans="2:2" x14ac:dyDescent="0.25">
      <c r="B96" t="s">
        <v>440</v>
      </c>
    </row>
    <row r="97" spans="2:2" x14ac:dyDescent="0.25">
      <c r="B97" t="s">
        <v>407</v>
      </c>
    </row>
    <row r="98" spans="2:2" x14ac:dyDescent="0.25">
      <c r="B98" t="s">
        <v>408</v>
      </c>
    </row>
    <row r="99" spans="2:2" x14ac:dyDescent="0.25">
      <c r="B99" t="s">
        <v>403</v>
      </c>
    </row>
    <row r="100" spans="2:2" x14ac:dyDescent="0.25">
      <c r="B100" t="s">
        <v>404</v>
      </c>
    </row>
    <row r="101" spans="2:2" x14ac:dyDescent="0.25">
      <c r="B101" t="s">
        <v>553</v>
      </c>
    </row>
    <row r="102" spans="2:2" x14ac:dyDescent="0.25">
      <c r="B102" t="s">
        <v>554</v>
      </c>
    </row>
    <row r="103" spans="2:2" x14ac:dyDescent="0.25">
      <c r="B103" t="s">
        <v>407</v>
      </c>
    </row>
    <row r="104" spans="2:2" x14ac:dyDescent="0.25">
      <c r="B104" t="s">
        <v>408</v>
      </c>
    </row>
    <row r="105" spans="2:2" x14ac:dyDescent="0.25">
      <c r="B105" t="s">
        <v>409</v>
      </c>
    </row>
    <row r="106" spans="2:2" x14ac:dyDescent="0.25">
      <c r="B106" t="s">
        <v>404</v>
      </c>
    </row>
    <row r="107" spans="2:2" x14ac:dyDescent="0.25">
      <c r="B107" t="s">
        <v>427</v>
      </c>
    </row>
    <row r="108" spans="2:2" x14ac:dyDescent="0.25">
      <c r="B108" t="s">
        <v>428</v>
      </c>
    </row>
    <row r="109" spans="2:2" x14ac:dyDescent="0.25">
      <c r="B109" t="s">
        <v>407</v>
      </c>
    </row>
    <row r="110" spans="2:2" x14ac:dyDescent="0.25">
      <c r="B110" t="s">
        <v>408</v>
      </c>
    </row>
    <row r="111" spans="2:2" x14ac:dyDescent="0.25">
      <c r="B111" t="s">
        <v>422</v>
      </c>
    </row>
    <row r="112" spans="2:2" x14ac:dyDescent="0.25">
      <c r="B112" t="s">
        <v>404</v>
      </c>
    </row>
    <row r="113" spans="2:2" x14ac:dyDescent="0.25">
      <c r="B113" t="s">
        <v>429</v>
      </c>
    </row>
    <row r="114" spans="2:2" x14ac:dyDescent="0.25">
      <c r="B114" t="s">
        <v>512</v>
      </c>
    </row>
    <row r="115" spans="2:2" x14ac:dyDescent="0.25">
      <c r="B115" t="s">
        <v>407</v>
      </c>
    </row>
    <row r="116" spans="2:2" x14ac:dyDescent="0.25">
      <c r="B116" t="s">
        <v>408</v>
      </c>
    </row>
    <row r="117" spans="2:2" x14ac:dyDescent="0.25">
      <c r="B117" t="s">
        <v>415</v>
      </c>
    </row>
    <row r="118" spans="2:2" x14ac:dyDescent="0.25">
      <c r="B118" t="s">
        <v>431</v>
      </c>
    </row>
    <row r="119" spans="2:2" x14ac:dyDescent="0.25">
      <c r="B119" t="s">
        <v>403</v>
      </c>
    </row>
    <row r="120" spans="2:2" x14ac:dyDescent="0.25">
      <c r="B120" t="s">
        <v>404</v>
      </c>
    </row>
    <row r="121" spans="2:2" x14ac:dyDescent="0.25">
      <c r="B121" t="s">
        <v>535</v>
      </c>
    </row>
    <row r="122" spans="2:2" x14ac:dyDescent="0.25">
      <c r="B122" t="s">
        <v>554</v>
      </c>
    </row>
    <row r="123" spans="2:2" x14ac:dyDescent="0.25">
      <c r="B123" t="s">
        <v>407</v>
      </c>
    </row>
    <row r="124" spans="2:2" x14ac:dyDescent="0.25">
      <c r="B124" t="s">
        <v>408</v>
      </c>
    </row>
    <row r="125" spans="2:2" x14ac:dyDescent="0.25">
      <c r="B125" t="s">
        <v>412</v>
      </c>
    </row>
    <row r="126" spans="2:2" x14ac:dyDescent="0.25">
      <c r="B126" t="s">
        <v>404</v>
      </c>
    </row>
    <row r="127" spans="2:2" x14ac:dyDescent="0.25">
      <c r="B127" t="s">
        <v>513</v>
      </c>
    </row>
    <row r="128" spans="2:2" x14ac:dyDescent="0.25">
      <c r="B128" t="s">
        <v>411</v>
      </c>
    </row>
    <row r="129" spans="2:2" x14ac:dyDescent="0.25">
      <c r="B129" t="s">
        <v>407</v>
      </c>
    </row>
    <row r="130" spans="2:2" x14ac:dyDescent="0.25">
      <c r="B130" t="s">
        <v>408</v>
      </c>
    </row>
    <row r="131" spans="2:2" x14ac:dyDescent="0.25">
      <c r="B131" t="s">
        <v>409</v>
      </c>
    </row>
    <row r="132" spans="2:2" x14ac:dyDescent="0.25">
      <c r="B132" t="s">
        <v>404</v>
      </c>
    </row>
    <row r="133" spans="2:2" x14ac:dyDescent="0.25">
      <c r="B133" t="s">
        <v>417</v>
      </c>
    </row>
    <row r="134" spans="2:2" x14ac:dyDescent="0.25">
      <c r="B134" t="s">
        <v>435</v>
      </c>
    </row>
    <row r="135" spans="2:2" x14ac:dyDescent="0.25">
      <c r="B135" t="s">
        <v>407</v>
      </c>
    </row>
    <row r="136" spans="2:2" x14ac:dyDescent="0.25">
      <c r="B136" t="s">
        <v>408</v>
      </c>
    </row>
    <row r="137" spans="2:2" x14ac:dyDescent="0.25">
      <c r="B137" t="s">
        <v>422</v>
      </c>
    </row>
    <row r="138" spans="2:2" x14ac:dyDescent="0.25">
      <c r="B138" t="s">
        <v>404</v>
      </c>
    </row>
    <row r="139" spans="2:2" x14ac:dyDescent="0.25">
      <c r="B139" t="s">
        <v>429</v>
      </c>
    </row>
    <row r="140" spans="2:2" x14ac:dyDescent="0.25">
      <c r="B140" t="s">
        <v>430</v>
      </c>
    </row>
    <row r="141" spans="2:2" x14ac:dyDescent="0.25">
      <c r="B141" t="s">
        <v>407</v>
      </c>
    </row>
    <row r="142" spans="2:2" x14ac:dyDescent="0.25">
      <c r="B142" t="s">
        <v>408</v>
      </c>
    </row>
    <row r="143" spans="2:2" x14ac:dyDescent="0.25">
      <c r="B143" t="s">
        <v>415</v>
      </c>
    </row>
    <row r="144" spans="2:2" x14ac:dyDescent="0.25">
      <c r="B144" t="s">
        <v>436</v>
      </c>
    </row>
    <row r="145" spans="2:2" x14ac:dyDescent="0.25">
      <c r="B145" t="s">
        <v>403</v>
      </c>
    </row>
    <row r="146" spans="2:2" x14ac:dyDescent="0.25">
      <c r="B146" t="s">
        <v>404</v>
      </c>
    </row>
    <row r="147" spans="2:2" x14ac:dyDescent="0.25">
      <c r="B147" t="s">
        <v>555</v>
      </c>
    </row>
    <row r="148" spans="2:2" x14ac:dyDescent="0.25">
      <c r="B148" t="s">
        <v>505</v>
      </c>
    </row>
    <row r="149" spans="2:2" x14ac:dyDescent="0.25">
      <c r="B149" t="s">
        <v>407</v>
      </c>
    </row>
    <row r="150" spans="2:2" x14ac:dyDescent="0.25">
      <c r="B150" t="s">
        <v>408</v>
      </c>
    </row>
    <row r="151" spans="2:2" x14ac:dyDescent="0.25">
      <c r="B151" t="s">
        <v>412</v>
      </c>
    </row>
    <row r="152" spans="2:2" x14ac:dyDescent="0.25">
      <c r="B152" t="s">
        <v>404</v>
      </c>
    </row>
    <row r="153" spans="2:2" x14ac:dyDescent="0.25">
      <c r="B153" t="s">
        <v>426</v>
      </c>
    </row>
    <row r="154" spans="2:2" x14ac:dyDescent="0.25">
      <c r="B154" t="s">
        <v>435</v>
      </c>
    </row>
    <row r="155" spans="2:2" x14ac:dyDescent="0.25">
      <c r="B155" t="s">
        <v>407</v>
      </c>
    </row>
    <row r="156" spans="2:2" x14ac:dyDescent="0.25">
      <c r="B156" t="s">
        <v>408</v>
      </c>
    </row>
    <row r="157" spans="2:2" x14ac:dyDescent="0.25">
      <c r="B157" t="s">
        <v>409</v>
      </c>
    </row>
    <row r="158" spans="2:2" x14ac:dyDescent="0.25">
      <c r="B158" t="s">
        <v>404</v>
      </c>
    </row>
    <row r="159" spans="2:2" x14ac:dyDescent="0.25">
      <c r="B159" t="s">
        <v>429</v>
      </c>
    </row>
    <row r="160" spans="2:2" x14ac:dyDescent="0.25">
      <c r="B160" t="s">
        <v>428</v>
      </c>
    </row>
    <row r="161" spans="2:2" x14ac:dyDescent="0.25">
      <c r="B161" t="s">
        <v>407</v>
      </c>
    </row>
    <row r="162" spans="2:2" x14ac:dyDescent="0.25">
      <c r="B162" t="s">
        <v>408</v>
      </c>
    </row>
    <row r="163" spans="2:2" x14ac:dyDescent="0.25">
      <c r="B163" t="s">
        <v>415</v>
      </c>
    </row>
    <row r="164" spans="2:2" x14ac:dyDescent="0.25">
      <c r="B164" t="s">
        <v>441</v>
      </c>
    </row>
    <row r="165" spans="2:2" x14ac:dyDescent="0.25">
      <c r="B165" t="s">
        <v>442</v>
      </c>
    </row>
    <row r="166" spans="2:2" x14ac:dyDescent="0.25">
      <c r="B166" t="s">
        <v>404</v>
      </c>
    </row>
    <row r="167" spans="2:2" x14ac:dyDescent="0.25">
      <c r="B167" t="s">
        <v>556</v>
      </c>
    </row>
    <row r="168" spans="2:2" x14ac:dyDescent="0.25">
      <c r="B168" t="s">
        <v>557</v>
      </c>
    </row>
    <row r="169" spans="2:2" x14ac:dyDescent="0.25">
      <c r="B169" t="s">
        <v>407</v>
      </c>
    </row>
    <row r="170" spans="2:2" x14ac:dyDescent="0.25">
      <c r="B170" t="s">
        <v>445</v>
      </c>
    </row>
    <row r="171" spans="2:2" x14ac:dyDescent="0.25">
      <c r="B171" t="s">
        <v>446</v>
      </c>
    </row>
    <row r="172" spans="2:2" x14ac:dyDescent="0.25">
      <c r="B172" t="s">
        <v>447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NB_Output3'!$B$10:$B$10" display="Inputs" xr:uid="{73D694D5-BBBC-40BD-8BD0-4EF24476978A}"/>
    <hyperlink ref="D4" location="'NB_Stored3'!$B$10:$B$10" display="PMML Model" xr:uid="{019B1919-4BB6-4BA2-B4B2-F6B93C6455E4}"/>
    <hyperlink ref="F4" location="'NB_TrainingScore3'!$B$10:$B$10" display="Training: Classification Summary" xr:uid="{92E29012-EEB7-4702-AA9B-CD7B64E56C99}"/>
    <hyperlink ref="H4" location="'NB_ValidationScore3'!$B$10:$B$10" display="Validation: Classification Summary" xr:uid="{5DCC9432-3279-4D97-BCCC-DC3A7420315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3221-EC43-4978-AE4A-A3D00423F5F0}">
  <dimension ref="B1:CV176"/>
  <sheetViews>
    <sheetView showGridLines="0" topLeftCell="A40" workbookViewId="0">
      <selection activeCell="F58" sqref="F58"/>
    </sheetView>
  </sheetViews>
  <sheetFormatPr defaultRowHeight="13.2" x14ac:dyDescent="0.25"/>
  <cols>
    <col min="3" max="3" width="11.5546875" customWidth="1"/>
    <col min="4" max="4" width="20.109375" customWidth="1"/>
    <col min="5" max="9" width="14.5546875" customWidth="1"/>
    <col min="10" max="10" width="29.109375" bestFit="1" customWidth="1"/>
  </cols>
  <sheetData>
    <row r="1" spans="2:100" ht="18" x14ac:dyDescent="0.35">
      <c r="B1" s="8" t="s">
        <v>348</v>
      </c>
      <c r="N1" t="s">
        <v>521</v>
      </c>
      <c r="CV1" s="14" t="s">
        <v>522</v>
      </c>
    </row>
    <row r="3" spans="2:100" ht="15.6" x14ac:dyDescent="0.3">
      <c r="B3" s="22" t="s">
        <v>172</v>
      </c>
      <c r="C3" s="23"/>
      <c r="D3" s="23"/>
      <c r="E3" s="23"/>
      <c r="F3" s="23"/>
      <c r="G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349</v>
      </c>
      <c r="E4" s="21"/>
      <c r="F4" s="21" t="s">
        <v>360</v>
      </c>
      <c r="G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26</v>
      </c>
      <c r="K5" s="11">
        <v>1</v>
      </c>
      <c r="L5" s="11">
        <v>1</v>
      </c>
      <c r="M5" s="11">
        <v>28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355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356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140</v>
      </c>
      <c r="G16" s="17"/>
      <c r="H16" s="17"/>
      <c r="I16" s="17"/>
    </row>
    <row r="18" spans="2:11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</row>
    <row r="19" spans="2:11" ht="13.8" x14ac:dyDescent="0.3">
      <c r="C19" s="18" t="s">
        <v>181</v>
      </c>
      <c r="D19" s="18"/>
      <c r="E19" s="19"/>
      <c r="F19" s="17">
        <v>6</v>
      </c>
      <c r="G19" s="17"/>
      <c r="H19" s="17"/>
      <c r="I19" s="17"/>
      <c r="J19" s="17"/>
      <c r="K19" s="17"/>
    </row>
    <row r="20" spans="2:11" ht="13.8" x14ac:dyDescent="0.3">
      <c r="C20" s="18" t="s">
        <v>182</v>
      </c>
      <c r="D20" s="18"/>
      <c r="E20" s="19"/>
      <c r="F20" s="11" t="s">
        <v>51</v>
      </c>
      <c r="G20" s="11" t="s">
        <v>203</v>
      </c>
      <c r="H20" s="11" t="s">
        <v>204</v>
      </c>
      <c r="I20" s="11" t="s">
        <v>205</v>
      </c>
      <c r="J20" s="11" t="s">
        <v>206</v>
      </c>
      <c r="K20" s="11" t="s">
        <v>207</v>
      </c>
    </row>
    <row r="22" spans="2:11" ht="15.6" x14ac:dyDescent="0.3">
      <c r="C22" s="25" t="s">
        <v>350</v>
      </c>
      <c r="D22" s="25"/>
      <c r="E22" s="25"/>
      <c r="F22" s="25"/>
      <c r="G22" s="25"/>
      <c r="H22" s="25"/>
      <c r="I22" s="25"/>
    </row>
    <row r="23" spans="2:11" ht="13.8" x14ac:dyDescent="0.3">
      <c r="C23" s="18" t="s">
        <v>351</v>
      </c>
      <c r="D23" s="18"/>
      <c r="E23" s="19"/>
      <c r="F23" s="17" t="s">
        <v>357</v>
      </c>
      <c r="G23" s="17"/>
      <c r="H23" s="17"/>
      <c r="I23" s="17"/>
    </row>
    <row r="24" spans="2:11" ht="13.8" x14ac:dyDescent="0.3">
      <c r="C24" s="18" t="s">
        <v>352</v>
      </c>
      <c r="D24" s="18"/>
      <c r="E24" s="19"/>
      <c r="F24" s="17">
        <v>12345</v>
      </c>
      <c r="G24" s="17"/>
      <c r="H24" s="17"/>
      <c r="I24" s="17"/>
    </row>
    <row r="25" spans="2:11" ht="13.8" x14ac:dyDescent="0.3">
      <c r="C25" s="18" t="s">
        <v>353</v>
      </c>
      <c r="D25" s="18"/>
      <c r="E25" s="19"/>
      <c r="F25" s="17">
        <v>0.8</v>
      </c>
      <c r="G25" s="17"/>
      <c r="H25" s="17"/>
      <c r="I25" s="17"/>
    </row>
    <row r="26" spans="2:11" ht="13.8" x14ac:dyDescent="0.3">
      <c r="C26" s="18" t="s">
        <v>354</v>
      </c>
      <c r="D26" s="18"/>
      <c r="E26" s="19"/>
      <c r="F26" s="17">
        <v>0.2</v>
      </c>
      <c r="G26" s="17"/>
      <c r="H26" s="17"/>
      <c r="I26" s="17"/>
    </row>
    <row r="28" spans="2:11" ht="18" x14ac:dyDescent="0.35">
      <c r="B28" s="9" t="s">
        <v>349</v>
      </c>
    </row>
    <row r="30" spans="2:11" x14ac:dyDescent="0.25">
      <c r="C30" s="10" t="s">
        <v>361</v>
      </c>
      <c r="D30" t="s">
        <v>362</v>
      </c>
    </row>
    <row r="31" spans="2:11" x14ac:dyDescent="0.25">
      <c r="C31" s="10" t="s">
        <v>363</v>
      </c>
      <c r="D31">
        <v>112</v>
      </c>
    </row>
    <row r="32" spans="2:11" x14ac:dyDescent="0.25">
      <c r="C32" s="10" t="s">
        <v>364</v>
      </c>
      <c r="D32">
        <v>28</v>
      </c>
    </row>
    <row r="34" spans="2:9" ht="18" x14ac:dyDescent="0.35">
      <c r="B34" s="9" t="s">
        <v>360</v>
      </c>
    </row>
    <row r="36" spans="2:9" x14ac:dyDescent="0.25">
      <c r="C36" s="10" t="s">
        <v>202</v>
      </c>
      <c r="D36" t="s">
        <v>51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2:9" x14ac:dyDescent="0.25">
      <c r="C37" s="10" t="s">
        <v>208</v>
      </c>
      <c r="D37" s="15">
        <v>0</v>
      </c>
      <c r="E37" s="15">
        <v>1</v>
      </c>
      <c r="F37" s="15">
        <v>0</v>
      </c>
      <c r="G37" s="15">
        <v>0</v>
      </c>
      <c r="H37" s="15">
        <v>1</v>
      </c>
      <c r="I37">
        <v>1</v>
      </c>
    </row>
    <row r="38" spans="2:9" x14ac:dyDescent="0.25">
      <c r="C38" s="10" t="s">
        <v>212</v>
      </c>
      <c r="D38" s="15">
        <v>0</v>
      </c>
      <c r="E38" s="15">
        <v>2</v>
      </c>
      <c r="F38" s="15">
        <v>1</v>
      </c>
      <c r="G38" s="15">
        <v>0</v>
      </c>
      <c r="H38" s="15">
        <v>0</v>
      </c>
      <c r="I38">
        <v>0</v>
      </c>
    </row>
    <row r="39" spans="2:9" x14ac:dyDescent="0.25">
      <c r="C39" s="10" t="s">
        <v>215</v>
      </c>
      <c r="D39" s="15">
        <v>0</v>
      </c>
      <c r="E39" s="15">
        <v>2</v>
      </c>
      <c r="F39" s="15">
        <v>2</v>
      </c>
      <c r="G39" s="15">
        <v>1</v>
      </c>
      <c r="H39" s="15">
        <v>1</v>
      </c>
      <c r="I39">
        <v>1</v>
      </c>
    </row>
    <row r="40" spans="2:9" x14ac:dyDescent="0.25">
      <c r="C40" s="10" t="s">
        <v>218</v>
      </c>
      <c r="D40" s="15">
        <v>0</v>
      </c>
      <c r="E40" s="15">
        <v>1</v>
      </c>
      <c r="F40" s="15">
        <v>3</v>
      </c>
      <c r="G40" s="15">
        <v>1</v>
      </c>
      <c r="H40" s="15">
        <v>0</v>
      </c>
      <c r="I40">
        <v>1</v>
      </c>
    </row>
    <row r="41" spans="2:9" x14ac:dyDescent="0.25">
      <c r="C41" s="10" t="s">
        <v>219</v>
      </c>
      <c r="D41" s="15">
        <v>0</v>
      </c>
      <c r="E41" s="15">
        <v>1</v>
      </c>
      <c r="F41" s="15">
        <v>1</v>
      </c>
      <c r="G41" s="15">
        <v>1</v>
      </c>
      <c r="H41" s="15">
        <v>1</v>
      </c>
      <c r="I41">
        <v>1</v>
      </c>
    </row>
    <row r="42" spans="2:9" x14ac:dyDescent="0.25">
      <c r="C42" s="10" t="s">
        <v>222</v>
      </c>
      <c r="D42" s="15">
        <v>0</v>
      </c>
      <c r="E42" s="15">
        <v>1</v>
      </c>
      <c r="F42" s="15">
        <v>0</v>
      </c>
      <c r="G42" s="15">
        <v>1</v>
      </c>
      <c r="H42" s="15">
        <v>0</v>
      </c>
      <c r="I42">
        <v>1</v>
      </c>
    </row>
    <row r="43" spans="2:9" x14ac:dyDescent="0.25">
      <c r="C43" s="10" t="s">
        <v>223</v>
      </c>
      <c r="D43" s="15">
        <v>0</v>
      </c>
      <c r="E43" s="15">
        <v>1</v>
      </c>
      <c r="F43" s="15">
        <v>1</v>
      </c>
      <c r="G43" s="15">
        <v>0</v>
      </c>
      <c r="H43" s="15">
        <v>1</v>
      </c>
      <c r="I43">
        <v>0</v>
      </c>
    </row>
    <row r="44" spans="2:9" x14ac:dyDescent="0.25">
      <c r="C44" s="10" t="s">
        <v>225</v>
      </c>
      <c r="D44" s="15">
        <v>0</v>
      </c>
      <c r="E44" s="15">
        <v>1</v>
      </c>
      <c r="F44" s="15">
        <v>1</v>
      </c>
      <c r="G44" s="15">
        <v>0</v>
      </c>
      <c r="H44" s="15">
        <v>1</v>
      </c>
      <c r="I44">
        <v>1</v>
      </c>
    </row>
    <row r="45" spans="2:9" x14ac:dyDescent="0.25">
      <c r="C45" s="10" t="s">
        <v>227</v>
      </c>
      <c r="D45" s="15">
        <v>0</v>
      </c>
      <c r="E45" s="15">
        <v>0</v>
      </c>
      <c r="F45" s="15">
        <v>1</v>
      </c>
      <c r="G45" s="15">
        <v>2</v>
      </c>
      <c r="H45" s="15">
        <v>1</v>
      </c>
      <c r="I45">
        <v>1</v>
      </c>
    </row>
    <row r="46" spans="2:9" x14ac:dyDescent="0.25">
      <c r="C46" s="10" t="s">
        <v>228</v>
      </c>
      <c r="D46" s="15">
        <v>1</v>
      </c>
      <c r="E46" s="15">
        <v>1</v>
      </c>
      <c r="F46" s="15">
        <v>0</v>
      </c>
      <c r="G46" s="15">
        <v>0</v>
      </c>
      <c r="H46" s="15">
        <v>2</v>
      </c>
      <c r="I46">
        <v>1</v>
      </c>
    </row>
    <row r="47" spans="2:9" x14ac:dyDescent="0.25">
      <c r="C47" s="10" t="s">
        <v>229</v>
      </c>
      <c r="D47" s="15">
        <v>1</v>
      </c>
      <c r="E47" s="15">
        <v>1</v>
      </c>
      <c r="F47" s="15">
        <v>1</v>
      </c>
      <c r="G47" s="15">
        <v>0</v>
      </c>
      <c r="H47" s="15">
        <v>1</v>
      </c>
      <c r="I47">
        <v>1</v>
      </c>
    </row>
    <row r="48" spans="2:9" x14ac:dyDescent="0.25">
      <c r="C48" s="10" t="s">
        <v>230</v>
      </c>
      <c r="D48" s="15">
        <v>1</v>
      </c>
      <c r="E48" s="15">
        <v>1</v>
      </c>
      <c r="F48" s="15">
        <v>1</v>
      </c>
      <c r="G48" s="15">
        <v>2</v>
      </c>
      <c r="H48" s="15">
        <v>2</v>
      </c>
      <c r="I48">
        <v>1</v>
      </c>
    </row>
    <row r="49" spans="3:9" x14ac:dyDescent="0.25">
      <c r="C49" s="10" t="s">
        <v>231</v>
      </c>
      <c r="D49" s="15">
        <v>1</v>
      </c>
      <c r="E49" s="15">
        <v>1</v>
      </c>
      <c r="F49" s="15">
        <v>0</v>
      </c>
      <c r="G49" s="15">
        <v>0</v>
      </c>
      <c r="H49" s="15">
        <v>1</v>
      </c>
      <c r="I49">
        <v>1</v>
      </c>
    </row>
    <row r="50" spans="3:9" x14ac:dyDescent="0.25">
      <c r="C50" s="10" t="s">
        <v>232</v>
      </c>
      <c r="D50" s="15">
        <v>1</v>
      </c>
      <c r="E50" s="15">
        <v>0</v>
      </c>
      <c r="F50" s="15">
        <v>0</v>
      </c>
      <c r="G50" s="15">
        <v>1</v>
      </c>
      <c r="H50" s="15">
        <v>2</v>
      </c>
      <c r="I50">
        <v>1</v>
      </c>
    </row>
    <row r="51" spans="3:9" x14ac:dyDescent="0.25">
      <c r="C51" s="10" t="s">
        <v>233</v>
      </c>
      <c r="D51" s="15">
        <v>1</v>
      </c>
      <c r="E51" s="15">
        <v>0</v>
      </c>
      <c r="F51" s="15">
        <v>0</v>
      </c>
      <c r="G51" s="15">
        <v>3</v>
      </c>
      <c r="H51" s="15">
        <v>1</v>
      </c>
      <c r="I51">
        <v>0</v>
      </c>
    </row>
    <row r="52" spans="3:9" x14ac:dyDescent="0.25">
      <c r="C52" s="10" t="s">
        <v>235</v>
      </c>
      <c r="D52" s="15">
        <v>1</v>
      </c>
      <c r="E52" s="15">
        <v>1</v>
      </c>
      <c r="F52" s="15">
        <v>0</v>
      </c>
      <c r="G52" s="15">
        <v>1</v>
      </c>
      <c r="H52" s="15">
        <v>1</v>
      </c>
      <c r="I52">
        <v>1</v>
      </c>
    </row>
    <row r="53" spans="3:9" x14ac:dyDescent="0.25">
      <c r="C53" s="10" t="s">
        <v>236</v>
      </c>
      <c r="D53" s="15">
        <v>1</v>
      </c>
      <c r="E53" s="15">
        <v>1</v>
      </c>
      <c r="F53" s="15">
        <v>0</v>
      </c>
      <c r="G53" s="15">
        <v>1</v>
      </c>
      <c r="H53" s="15">
        <v>2</v>
      </c>
      <c r="I53">
        <v>1</v>
      </c>
    </row>
    <row r="54" spans="3:9" x14ac:dyDescent="0.25">
      <c r="C54" s="10" t="s">
        <v>239</v>
      </c>
      <c r="D54" s="15">
        <v>1</v>
      </c>
      <c r="E54" s="15">
        <v>1</v>
      </c>
      <c r="F54" s="15">
        <v>1</v>
      </c>
      <c r="G54" s="15">
        <v>1</v>
      </c>
      <c r="H54" s="15">
        <v>1</v>
      </c>
      <c r="I54">
        <v>0</v>
      </c>
    </row>
    <row r="55" spans="3:9" x14ac:dyDescent="0.25">
      <c r="C55" s="10" t="s">
        <v>240</v>
      </c>
      <c r="D55" s="15">
        <v>1</v>
      </c>
      <c r="E55" s="15">
        <v>0</v>
      </c>
      <c r="F55" s="15">
        <v>1</v>
      </c>
      <c r="G55" s="15">
        <v>1</v>
      </c>
      <c r="H55" s="15">
        <v>2</v>
      </c>
      <c r="I55">
        <v>1</v>
      </c>
    </row>
    <row r="56" spans="3:9" x14ac:dyDescent="0.25">
      <c r="C56" s="10" t="s">
        <v>242</v>
      </c>
      <c r="D56" s="15">
        <v>1</v>
      </c>
      <c r="E56" s="15">
        <v>1</v>
      </c>
      <c r="F56" s="15">
        <v>1</v>
      </c>
      <c r="G56" s="15">
        <v>0</v>
      </c>
      <c r="H56" s="15">
        <v>3</v>
      </c>
      <c r="I56">
        <v>1</v>
      </c>
    </row>
    <row r="57" spans="3:9" x14ac:dyDescent="0.25">
      <c r="C57" s="10" t="s">
        <v>244</v>
      </c>
      <c r="D57" s="15">
        <v>1</v>
      </c>
      <c r="E57" s="15">
        <v>1</v>
      </c>
      <c r="F57" s="15">
        <v>1</v>
      </c>
      <c r="G57" s="15">
        <v>1</v>
      </c>
      <c r="H57" s="15">
        <v>1</v>
      </c>
      <c r="I57">
        <v>0</v>
      </c>
    </row>
    <row r="58" spans="3:9" x14ac:dyDescent="0.25">
      <c r="C58" s="10" t="s">
        <v>246</v>
      </c>
      <c r="D58" s="15">
        <v>1</v>
      </c>
      <c r="E58" s="15">
        <v>1</v>
      </c>
      <c r="F58" s="15">
        <v>1</v>
      </c>
      <c r="G58" s="15">
        <v>1</v>
      </c>
      <c r="H58" s="15">
        <v>3</v>
      </c>
      <c r="I58">
        <v>2</v>
      </c>
    </row>
    <row r="59" spans="3:9" x14ac:dyDescent="0.25">
      <c r="C59" s="10" t="s">
        <v>248</v>
      </c>
      <c r="D59" s="15">
        <v>0</v>
      </c>
      <c r="E59" s="15">
        <v>0</v>
      </c>
      <c r="F59" s="15">
        <v>1</v>
      </c>
      <c r="G59" s="15">
        <v>0</v>
      </c>
      <c r="H59" s="15">
        <v>1</v>
      </c>
      <c r="I59">
        <v>1</v>
      </c>
    </row>
    <row r="60" spans="3:9" x14ac:dyDescent="0.25">
      <c r="C60" s="10" t="s">
        <v>249</v>
      </c>
      <c r="D60" s="15">
        <v>0</v>
      </c>
      <c r="E60" s="15">
        <v>1</v>
      </c>
      <c r="F60" s="15">
        <v>1</v>
      </c>
      <c r="G60" s="15">
        <v>0</v>
      </c>
      <c r="H60" s="15">
        <v>1</v>
      </c>
      <c r="I60">
        <v>1</v>
      </c>
    </row>
    <row r="61" spans="3:9" x14ac:dyDescent="0.25">
      <c r="C61" s="10" t="s">
        <v>252</v>
      </c>
      <c r="D61" s="15">
        <v>0</v>
      </c>
      <c r="E61" s="15">
        <v>1</v>
      </c>
      <c r="F61" s="15">
        <v>1</v>
      </c>
      <c r="G61" s="15">
        <v>0</v>
      </c>
      <c r="H61" s="15">
        <v>0</v>
      </c>
      <c r="I61">
        <v>1</v>
      </c>
    </row>
    <row r="62" spans="3:9" x14ac:dyDescent="0.25">
      <c r="C62" s="10" t="s">
        <v>254</v>
      </c>
      <c r="D62" s="15">
        <v>0</v>
      </c>
      <c r="E62" s="15">
        <v>1</v>
      </c>
      <c r="F62" s="15">
        <v>1</v>
      </c>
      <c r="G62" s="15">
        <v>1</v>
      </c>
      <c r="H62" s="15">
        <v>1</v>
      </c>
      <c r="I62">
        <v>1</v>
      </c>
    </row>
    <row r="63" spans="3:9" x14ac:dyDescent="0.25">
      <c r="C63" s="10" t="s">
        <v>255</v>
      </c>
      <c r="D63" s="15">
        <v>0</v>
      </c>
      <c r="E63" s="15">
        <v>1</v>
      </c>
      <c r="F63" s="15">
        <v>3</v>
      </c>
      <c r="G63" s="15">
        <v>0</v>
      </c>
      <c r="H63" s="15">
        <v>2</v>
      </c>
      <c r="I63">
        <v>0</v>
      </c>
    </row>
    <row r="64" spans="3:9" x14ac:dyDescent="0.25">
      <c r="C64" s="10" t="s">
        <v>256</v>
      </c>
      <c r="D64" s="15">
        <v>0</v>
      </c>
      <c r="E64" s="15">
        <v>1</v>
      </c>
      <c r="F64" s="15">
        <v>1</v>
      </c>
      <c r="G64" s="15">
        <v>0</v>
      </c>
      <c r="H64" s="15">
        <v>0</v>
      </c>
      <c r="I64">
        <v>0</v>
      </c>
    </row>
    <row r="65" spans="3:9" x14ac:dyDescent="0.25">
      <c r="C65" s="10" t="s">
        <v>261</v>
      </c>
      <c r="D65" s="15">
        <v>1</v>
      </c>
      <c r="E65" s="15">
        <v>0</v>
      </c>
      <c r="F65" s="15">
        <v>0</v>
      </c>
      <c r="G65" s="15">
        <v>3</v>
      </c>
      <c r="H65" s="15">
        <v>1</v>
      </c>
      <c r="I65">
        <v>0</v>
      </c>
    </row>
    <row r="66" spans="3:9" x14ac:dyDescent="0.25">
      <c r="C66" s="10" t="s">
        <v>263</v>
      </c>
      <c r="D66" s="15">
        <v>1</v>
      </c>
      <c r="E66" s="15">
        <v>1</v>
      </c>
      <c r="F66" s="15">
        <v>0</v>
      </c>
      <c r="G66" s="15">
        <v>1</v>
      </c>
      <c r="H66" s="15">
        <v>1</v>
      </c>
      <c r="I66">
        <v>1</v>
      </c>
    </row>
    <row r="67" spans="3:9" x14ac:dyDescent="0.25">
      <c r="C67" s="10" t="s">
        <v>264</v>
      </c>
      <c r="D67" s="15">
        <v>1</v>
      </c>
      <c r="E67" s="15">
        <v>1</v>
      </c>
      <c r="F67" s="15">
        <v>0</v>
      </c>
      <c r="G67" s="15">
        <v>1</v>
      </c>
      <c r="H67" s="15">
        <v>2</v>
      </c>
      <c r="I67">
        <v>1</v>
      </c>
    </row>
    <row r="68" spans="3:9" x14ac:dyDescent="0.25">
      <c r="C68" s="10" t="s">
        <v>266</v>
      </c>
      <c r="D68" s="15">
        <v>1</v>
      </c>
      <c r="E68" s="15">
        <v>1</v>
      </c>
      <c r="F68" s="15">
        <v>1</v>
      </c>
      <c r="G68" s="15">
        <v>0</v>
      </c>
      <c r="H68" s="15">
        <v>1</v>
      </c>
      <c r="I68">
        <v>1</v>
      </c>
    </row>
    <row r="69" spans="3:9" x14ac:dyDescent="0.25">
      <c r="C69" s="10" t="s">
        <v>267</v>
      </c>
      <c r="D69" s="15">
        <v>1</v>
      </c>
      <c r="E69" s="15">
        <v>1</v>
      </c>
      <c r="F69" s="15">
        <v>1</v>
      </c>
      <c r="G69" s="15">
        <v>1</v>
      </c>
      <c r="H69" s="15">
        <v>1</v>
      </c>
      <c r="I69">
        <v>0</v>
      </c>
    </row>
    <row r="70" spans="3:9" x14ac:dyDescent="0.25">
      <c r="C70" s="10" t="s">
        <v>268</v>
      </c>
      <c r="D70" s="15">
        <v>1</v>
      </c>
      <c r="E70" s="15">
        <v>0</v>
      </c>
      <c r="F70" s="15">
        <v>1</v>
      </c>
      <c r="G70" s="15">
        <v>1</v>
      </c>
      <c r="H70" s="15">
        <v>2</v>
      </c>
      <c r="I70">
        <v>1</v>
      </c>
    </row>
    <row r="71" spans="3:9" x14ac:dyDescent="0.25">
      <c r="C71" s="10" t="s">
        <v>269</v>
      </c>
      <c r="D71" s="15">
        <v>1</v>
      </c>
      <c r="E71" s="15">
        <v>1</v>
      </c>
      <c r="F71" s="15">
        <v>1</v>
      </c>
      <c r="G71" s="15">
        <v>1</v>
      </c>
      <c r="H71" s="15">
        <v>1</v>
      </c>
      <c r="I71">
        <v>0</v>
      </c>
    </row>
    <row r="72" spans="3:9" x14ac:dyDescent="0.25">
      <c r="C72" s="10" t="s">
        <v>272</v>
      </c>
      <c r="D72" s="15">
        <v>0</v>
      </c>
      <c r="E72" s="15">
        <v>1</v>
      </c>
      <c r="F72" s="15">
        <v>1</v>
      </c>
      <c r="G72" s="15">
        <v>0</v>
      </c>
      <c r="H72" s="15">
        <v>1</v>
      </c>
      <c r="I72">
        <v>1</v>
      </c>
    </row>
    <row r="73" spans="3:9" x14ac:dyDescent="0.25">
      <c r="C73" s="10" t="s">
        <v>273</v>
      </c>
      <c r="D73" s="15">
        <v>0</v>
      </c>
      <c r="E73" s="15">
        <v>2</v>
      </c>
      <c r="F73" s="15">
        <v>2</v>
      </c>
      <c r="G73" s="15">
        <v>1</v>
      </c>
      <c r="H73" s="15">
        <v>1</v>
      </c>
      <c r="I73">
        <v>1</v>
      </c>
    </row>
    <row r="74" spans="3:9" x14ac:dyDescent="0.25">
      <c r="C74" s="10" t="s">
        <v>275</v>
      </c>
      <c r="D74" s="15">
        <v>0</v>
      </c>
      <c r="E74" s="15">
        <v>1</v>
      </c>
      <c r="F74" s="15">
        <v>1</v>
      </c>
      <c r="G74" s="15">
        <v>0</v>
      </c>
      <c r="H74" s="15">
        <v>0</v>
      </c>
      <c r="I74">
        <v>1</v>
      </c>
    </row>
    <row r="75" spans="3:9" x14ac:dyDescent="0.25">
      <c r="C75" s="10" t="s">
        <v>278</v>
      </c>
      <c r="D75" s="15">
        <v>0</v>
      </c>
      <c r="E75" s="15">
        <v>1</v>
      </c>
      <c r="F75" s="15">
        <v>3</v>
      </c>
      <c r="G75" s="15">
        <v>0</v>
      </c>
      <c r="H75" s="15">
        <v>2</v>
      </c>
      <c r="I75">
        <v>0</v>
      </c>
    </row>
    <row r="76" spans="3:9" x14ac:dyDescent="0.25">
      <c r="C76" s="10" t="s">
        <v>280</v>
      </c>
      <c r="D76" s="15">
        <v>0</v>
      </c>
      <c r="E76" s="15">
        <v>1</v>
      </c>
      <c r="F76" s="15">
        <v>0</v>
      </c>
      <c r="G76" s="15">
        <v>1</v>
      </c>
      <c r="H76" s="15">
        <v>0</v>
      </c>
      <c r="I76">
        <v>1</v>
      </c>
    </row>
    <row r="77" spans="3:9" x14ac:dyDescent="0.25">
      <c r="C77" s="10" t="s">
        <v>283</v>
      </c>
      <c r="D77" s="15">
        <v>0</v>
      </c>
      <c r="E77" s="15">
        <v>1</v>
      </c>
      <c r="F77" s="15">
        <v>1</v>
      </c>
      <c r="G77" s="15">
        <v>0</v>
      </c>
      <c r="H77" s="15">
        <v>1</v>
      </c>
      <c r="I77">
        <v>1</v>
      </c>
    </row>
    <row r="78" spans="3:9" x14ac:dyDescent="0.25">
      <c r="C78" s="10" t="s">
        <v>285</v>
      </c>
      <c r="D78" s="15">
        <v>1</v>
      </c>
      <c r="E78" s="15">
        <v>1</v>
      </c>
      <c r="F78" s="15">
        <v>0</v>
      </c>
      <c r="G78" s="15">
        <v>1</v>
      </c>
      <c r="H78" s="15">
        <v>2</v>
      </c>
      <c r="I78">
        <v>1</v>
      </c>
    </row>
    <row r="79" spans="3:9" x14ac:dyDescent="0.25">
      <c r="C79" s="10" t="s">
        <v>287</v>
      </c>
      <c r="D79" s="15">
        <v>1</v>
      </c>
      <c r="E79" s="15">
        <v>1</v>
      </c>
      <c r="F79" s="15">
        <v>1</v>
      </c>
      <c r="G79" s="15">
        <v>0</v>
      </c>
      <c r="H79" s="15">
        <v>1</v>
      </c>
      <c r="I79">
        <v>1</v>
      </c>
    </row>
    <row r="80" spans="3:9" x14ac:dyDescent="0.25">
      <c r="C80" s="10" t="s">
        <v>288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  <c r="I80">
        <v>0</v>
      </c>
    </row>
    <row r="81" spans="3:9" x14ac:dyDescent="0.25">
      <c r="C81" s="10" t="s">
        <v>289</v>
      </c>
      <c r="D81" s="15">
        <v>1</v>
      </c>
      <c r="E81" s="15">
        <v>0</v>
      </c>
      <c r="F81" s="15">
        <v>1</v>
      </c>
      <c r="G81" s="15">
        <v>1</v>
      </c>
      <c r="H81" s="15">
        <v>2</v>
      </c>
      <c r="I81">
        <v>1</v>
      </c>
    </row>
    <row r="82" spans="3:9" x14ac:dyDescent="0.25">
      <c r="C82" s="10" t="s">
        <v>290</v>
      </c>
      <c r="D82" s="15">
        <v>1</v>
      </c>
      <c r="E82" s="15">
        <v>1</v>
      </c>
      <c r="F82" s="15">
        <v>1</v>
      </c>
      <c r="G82" s="15">
        <v>1</v>
      </c>
      <c r="H82" s="15">
        <v>1</v>
      </c>
      <c r="I82">
        <v>0</v>
      </c>
    </row>
    <row r="83" spans="3:9" x14ac:dyDescent="0.25">
      <c r="C83" s="10" t="s">
        <v>291</v>
      </c>
      <c r="D83" s="15">
        <v>1</v>
      </c>
      <c r="E83" s="15">
        <v>1</v>
      </c>
      <c r="F83" s="15">
        <v>1</v>
      </c>
      <c r="G83" s="15">
        <v>0</v>
      </c>
      <c r="H83" s="15">
        <v>3</v>
      </c>
      <c r="I83">
        <v>1</v>
      </c>
    </row>
    <row r="84" spans="3:9" x14ac:dyDescent="0.25">
      <c r="C84" s="10" t="s">
        <v>295</v>
      </c>
      <c r="D84" s="15">
        <v>0</v>
      </c>
      <c r="E84" s="15">
        <v>1</v>
      </c>
      <c r="F84" s="15">
        <v>1</v>
      </c>
      <c r="G84" s="15">
        <v>1</v>
      </c>
      <c r="H84" s="15">
        <v>1</v>
      </c>
      <c r="I84">
        <v>1</v>
      </c>
    </row>
    <row r="85" spans="3:9" x14ac:dyDescent="0.25">
      <c r="C85" s="10" t="s">
        <v>296</v>
      </c>
      <c r="D85" s="15">
        <v>0</v>
      </c>
      <c r="E85" s="15">
        <v>1</v>
      </c>
      <c r="F85" s="15">
        <v>1</v>
      </c>
      <c r="G85" s="15">
        <v>0</v>
      </c>
      <c r="H85" s="15">
        <v>0</v>
      </c>
      <c r="I85">
        <v>1</v>
      </c>
    </row>
    <row r="86" spans="3:9" x14ac:dyDescent="0.25">
      <c r="C86" s="10" t="s">
        <v>298</v>
      </c>
      <c r="D86" s="15">
        <v>0</v>
      </c>
      <c r="E86" s="15">
        <v>1</v>
      </c>
      <c r="F86" s="15">
        <v>1</v>
      </c>
      <c r="G86" s="15">
        <v>1</v>
      </c>
      <c r="H86" s="15">
        <v>1</v>
      </c>
      <c r="I86">
        <v>1</v>
      </c>
    </row>
    <row r="87" spans="3:9" x14ac:dyDescent="0.25">
      <c r="C87" s="10" t="s">
        <v>299</v>
      </c>
      <c r="D87" s="15">
        <v>0</v>
      </c>
      <c r="E87" s="15">
        <v>1</v>
      </c>
      <c r="F87" s="15">
        <v>3</v>
      </c>
      <c r="G87" s="15">
        <v>0</v>
      </c>
      <c r="H87" s="15">
        <v>2</v>
      </c>
      <c r="I87">
        <v>0</v>
      </c>
    </row>
    <row r="88" spans="3:9" x14ac:dyDescent="0.25">
      <c r="C88" s="10" t="s">
        <v>302</v>
      </c>
      <c r="D88" s="15">
        <v>0</v>
      </c>
      <c r="E88" s="15">
        <v>1</v>
      </c>
      <c r="F88" s="15">
        <v>1</v>
      </c>
      <c r="G88" s="15">
        <v>0</v>
      </c>
      <c r="H88" s="15">
        <v>1</v>
      </c>
      <c r="I88">
        <v>0</v>
      </c>
    </row>
    <row r="89" spans="3:9" x14ac:dyDescent="0.25">
      <c r="C89" s="10" t="s">
        <v>304</v>
      </c>
      <c r="D89" s="15">
        <v>0</v>
      </c>
      <c r="E89" s="15">
        <v>1</v>
      </c>
      <c r="F89" s="15">
        <v>1</v>
      </c>
      <c r="G89" s="15">
        <v>0</v>
      </c>
      <c r="H89" s="15">
        <v>1</v>
      </c>
      <c r="I89">
        <v>1</v>
      </c>
    </row>
    <row r="90" spans="3:9" x14ac:dyDescent="0.25">
      <c r="C90" s="10" t="s">
        <v>305</v>
      </c>
      <c r="D90" s="15">
        <v>0</v>
      </c>
      <c r="E90" s="15">
        <v>1</v>
      </c>
      <c r="F90" s="15">
        <v>1</v>
      </c>
      <c r="G90" s="15">
        <v>0</v>
      </c>
      <c r="H90" s="15">
        <v>1</v>
      </c>
      <c r="I90">
        <v>1</v>
      </c>
    </row>
    <row r="91" spans="3:9" x14ac:dyDescent="0.25">
      <c r="C91" s="10" t="s">
        <v>307</v>
      </c>
      <c r="D91" s="15">
        <v>0</v>
      </c>
      <c r="E91" s="15">
        <v>1</v>
      </c>
      <c r="F91" s="15">
        <v>1</v>
      </c>
      <c r="G91" s="15">
        <v>1</v>
      </c>
      <c r="H91" s="15">
        <v>1</v>
      </c>
      <c r="I91">
        <v>1</v>
      </c>
    </row>
    <row r="92" spans="3:9" x14ac:dyDescent="0.25">
      <c r="C92" s="10" t="s">
        <v>313</v>
      </c>
      <c r="D92" s="15">
        <v>0</v>
      </c>
      <c r="E92" s="15">
        <v>1</v>
      </c>
      <c r="F92" s="15">
        <v>0</v>
      </c>
      <c r="G92" s="15">
        <v>1</v>
      </c>
      <c r="H92" s="15">
        <v>0</v>
      </c>
      <c r="I92">
        <v>1</v>
      </c>
    </row>
    <row r="93" spans="3:9" x14ac:dyDescent="0.25">
      <c r="C93" s="10" t="s">
        <v>314</v>
      </c>
      <c r="D93" s="15">
        <v>0</v>
      </c>
      <c r="E93" s="15">
        <v>1</v>
      </c>
      <c r="F93" s="15">
        <v>1</v>
      </c>
      <c r="G93" s="15">
        <v>0</v>
      </c>
      <c r="H93" s="15">
        <v>1</v>
      </c>
      <c r="I93">
        <v>0</v>
      </c>
    </row>
    <row r="94" spans="3:9" x14ac:dyDescent="0.25">
      <c r="C94" s="10" t="s">
        <v>315</v>
      </c>
      <c r="D94" s="15">
        <v>0</v>
      </c>
      <c r="E94" s="15">
        <v>1</v>
      </c>
      <c r="F94" s="15">
        <v>1</v>
      </c>
      <c r="G94" s="15">
        <v>0</v>
      </c>
      <c r="H94" s="15">
        <v>0</v>
      </c>
      <c r="I94">
        <v>1</v>
      </c>
    </row>
    <row r="95" spans="3:9" x14ac:dyDescent="0.25">
      <c r="C95" s="10" t="s">
        <v>316</v>
      </c>
      <c r="D95" s="15">
        <v>0</v>
      </c>
      <c r="E95" s="15">
        <v>1</v>
      </c>
      <c r="F95" s="15">
        <v>1</v>
      </c>
      <c r="G95" s="15">
        <v>0</v>
      </c>
      <c r="H95" s="15">
        <v>1</v>
      </c>
      <c r="I95">
        <v>1</v>
      </c>
    </row>
    <row r="96" spans="3:9" x14ac:dyDescent="0.25">
      <c r="C96" s="10" t="s">
        <v>317</v>
      </c>
      <c r="D96" s="15">
        <v>0</v>
      </c>
      <c r="E96" s="15">
        <v>1</v>
      </c>
      <c r="F96" s="15">
        <v>1</v>
      </c>
      <c r="G96" s="15">
        <v>0</v>
      </c>
      <c r="H96" s="15">
        <v>1</v>
      </c>
      <c r="I96">
        <v>1</v>
      </c>
    </row>
    <row r="97" spans="3:9" x14ac:dyDescent="0.25">
      <c r="C97" s="10" t="s">
        <v>319</v>
      </c>
      <c r="D97" s="15">
        <v>0</v>
      </c>
      <c r="E97" s="15">
        <v>1</v>
      </c>
      <c r="F97" s="15">
        <v>1</v>
      </c>
      <c r="G97" s="15">
        <v>1</v>
      </c>
      <c r="H97" s="15">
        <v>1</v>
      </c>
      <c r="I97">
        <v>1</v>
      </c>
    </row>
    <row r="98" spans="3:9" x14ac:dyDescent="0.25">
      <c r="C98" s="10" t="s">
        <v>320</v>
      </c>
      <c r="D98" s="15">
        <v>0</v>
      </c>
      <c r="E98" s="15">
        <v>1</v>
      </c>
      <c r="F98" s="15">
        <v>1</v>
      </c>
      <c r="G98" s="15">
        <v>0</v>
      </c>
      <c r="H98" s="15">
        <v>0</v>
      </c>
      <c r="I98">
        <v>1</v>
      </c>
    </row>
    <row r="99" spans="3:9" x14ac:dyDescent="0.25">
      <c r="C99" s="10" t="s">
        <v>321</v>
      </c>
      <c r="D99" s="15">
        <v>0</v>
      </c>
      <c r="E99" s="15">
        <v>1</v>
      </c>
      <c r="F99" s="15">
        <v>3</v>
      </c>
      <c r="G99" s="15">
        <v>1</v>
      </c>
      <c r="H99" s="15">
        <v>0</v>
      </c>
      <c r="I99">
        <v>1</v>
      </c>
    </row>
    <row r="100" spans="3:9" x14ac:dyDescent="0.25">
      <c r="C100" s="10" t="s">
        <v>322</v>
      </c>
      <c r="D100" s="15">
        <v>0</v>
      </c>
      <c r="E100" s="15">
        <v>1</v>
      </c>
      <c r="F100" s="15">
        <v>1</v>
      </c>
      <c r="G100" s="15">
        <v>1</v>
      </c>
      <c r="H100" s="15">
        <v>1</v>
      </c>
      <c r="I100">
        <v>1</v>
      </c>
    </row>
    <row r="101" spans="3:9" x14ac:dyDescent="0.25">
      <c r="C101" s="10" t="s">
        <v>325</v>
      </c>
      <c r="D101" s="15">
        <v>0</v>
      </c>
      <c r="E101" s="15">
        <v>1</v>
      </c>
      <c r="F101" s="15">
        <v>0</v>
      </c>
      <c r="G101" s="15">
        <v>1</v>
      </c>
      <c r="H101" s="15">
        <v>0</v>
      </c>
      <c r="I101">
        <v>1</v>
      </c>
    </row>
    <row r="102" spans="3:9" x14ac:dyDescent="0.25">
      <c r="C102" s="10" t="s">
        <v>326</v>
      </c>
      <c r="D102" s="15">
        <v>0</v>
      </c>
      <c r="E102" s="15">
        <v>1</v>
      </c>
      <c r="F102" s="15">
        <v>1</v>
      </c>
      <c r="G102" s="15">
        <v>0</v>
      </c>
      <c r="H102" s="15">
        <v>1</v>
      </c>
      <c r="I102">
        <v>0</v>
      </c>
    </row>
    <row r="103" spans="3:9" x14ac:dyDescent="0.25">
      <c r="C103" s="10" t="s">
        <v>327</v>
      </c>
      <c r="D103" s="15">
        <v>0</v>
      </c>
      <c r="E103" s="15">
        <v>1</v>
      </c>
      <c r="F103" s="15">
        <v>1</v>
      </c>
      <c r="G103" s="15">
        <v>0</v>
      </c>
      <c r="H103" s="15">
        <v>0</v>
      </c>
      <c r="I103">
        <v>1</v>
      </c>
    </row>
    <row r="104" spans="3:9" x14ac:dyDescent="0.25">
      <c r="C104" s="10" t="s">
        <v>329</v>
      </c>
      <c r="D104" s="15">
        <v>0</v>
      </c>
      <c r="E104" s="15">
        <v>1</v>
      </c>
      <c r="F104" s="15">
        <v>1</v>
      </c>
      <c r="G104" s="15">
        <v>0</v>
      </c>
      <c r="H104" s="15">
        <v>1</v>
      </c>
      <c r="I104">
        <v>1</v>
      </c>
    </row>
    <row r="105" spans="3:9" x14ac:dyDescent="0.25">
      <c r="C105" s="10" t="s">
        <v>330</v>
      </c>
      <c r="D105" s="15">
        <v>0</v>
      </c>
      <c r="E105" s="15">
        <v>2</v>
      </c>
      <c r="F105" s="15">
        <v>2</v>
      </c>
      <c r="G105" s="15">
        <v>1</v>
      </c>
      <c r="H105" s="15">
        <v>1</v>
      </c>
      <c r="I105">
        <v>1</v>
      </c>
    </row>
    <row r="106" spans="3:9" x14ac:dyDescent="0.25">
      <c r="C106" s="10" t="s">
        <v>335</v>
      </c>
      <c r="D106" s="15">
        <v>0</v>
      </c>
      <c r="E106" s="15">
        <v>1</v>
      </c>
      <c r="F106" s="15">
        <v>3</v>
      </c>
      <c r="G106" s="15">
        <v>0</v>
      </c>
      <c r="H106" s="15">
        <v>2</v>
      </c>
      <c r="I106">
        <v>0</v>
      </c>
    </row>
    <row r="107" spans="3:9" x14ac:dyDescent="0.25">
      <c r="C107" s="10" t="s">
        <v>336</v>
      </c>
      <c r="D107" s="15">
        <v>0</v>
      </c>
      <c r="E107" s="15">
        <v>1</v>
      </c>
      <c r="F107" s="15">
        <v>1</v>
      </c>
      <c r="G107" s="15">
        <v>0</v>
      </c>
      <c r="H107" s="15">
        <v>0</v>
      </c>
      <c r="I107">
        <v>0</v>
      </c>
    </row>
    <row r="108" spans="3:9" x14ac:dyDescent="0.25">
      <c r="C108" s="10" t="s">
        <v>337</v>
      </c>
      <c r="D108" s="15">
        <v>0</v>
      </c>
      <c r="E108" s="15">
        <v>1</v>
      </c>
      <c r="F108" s="15">
        <v>0</v>
      </c>
      <c r="G108" s="15">
        <v>1</v>
      </c>
      <c r="H108" s="15">
        <v>0</v>
      </c>
      <c r="I108">
        <v>1</v>
      </c>
    </row>
    <row r="109" spans="3:9" x14ac:dyDescent="0.25">
      <c r="C109" s="10" t="s">
        <v>339</v>
      </c>
      <c r="D109" s="15">
        <v>0</v>
      </c>
      <c r="E109" s="15">
        <v>1</v>
      </c>
      <c r="F109" s="15">
        <v>1</v>
      </c>
      <c r="G109" s="15">
        <v>0</v>
      </c>
      <c r="H109" s="15">
        <v>0</v>
      </c>
      <c r="I109">
        <v>1</v>
      </c>
    </row>
    <row r="110" spans="3:9" x14ac:dyDescent="0.25">
      <c r="C110" s="10" t="s">
        <v>340</v>
      </c>
      <c r="D110" s="15">
        <v>0</v>
      </c>
      <c r="E110" s="15">
        <v>1</v>
      </c>
      <c r="F110" s="15">
        <v>1</v>
      </c>
      <c r="G110" s="15">
        <v>0</v>
      </c>
      <c r="H110" s="15">
        <v>1</v>
      </c>
      <c r="I110">
        <v>1</v>
      </c>
    </row>
    <row r="111" spans="3:9" x14ac:dyDescent="0.25">
      <c r="C111" s="10" t="s">
        <v>341</v>
      </c>
      <c r="D111" s="15">
        <v>1</v>
      </c>
      <c r="E111" s="15">
        <v>0</v>
      </c>
      <c r="F111" s="15">
        <v>1</v>
      </c>
      <c r="G111" s="15">
        <v>1</v>
      </c>
      <c r="H111" s="15">
        <v>2</v>
      </c>
      <c r="I111">
        <v>1</v>
      </c>
    </row>
    <row r="112" spans="3:9" x14ac:dyDescent="0.25">
      <c r="C112" s="10" t="s">
        <v>343</v>
      </c>
      <c r="D112" s="15">
        <v>1</v>
      </c>
      <c r="E112" s="15">
        <v>1</v>
      </c>
      <c r="F112" s="15">
        <v>1</v>
      </c>
      <c r="G112" s="15">
        <v>0</v>
      </c>
      <c r="H112" s="15">
        <v>1</v>
      </c>
      <c r="I112">
        <v>1</v>
      </c>
    </row>
    <row r="113" spans="3:9" x14ac:dyDescent="0.25">
      <c r="C113" s="10" t="s">
        <v>312</v>
      </c>
      <c r="D113" s="15">
        <v>0</v>
      </c>
      <c r="E113" s="15">
        <v>1</v>
      </c>
      <c r="F113" s="15">
        <v>1</v>
      </c>
      <c r="G113" s="15">
        <v>0</v>
      </c>
      <c r="H113" s="15">
        <v>0</v>
      </c>
      <c r="I113">
        <v>0</v>
      </c>
    </row>
    <row r="114" spans="3:9" x14ac:dyDescent="0.25">
      <c r="C114" s="10" t="s">
        <v>277</v>
      </c>
      <c r="D114" s="15">
        <v>0</v>
      </c>
      <c r="E114" s="15">
        <v>1</v>
      </c>
      <c r="F114" s="15">
        <v>1</v>
      </c>
      <c r="G114" s="15">
        <v>1</v>
      </c>
      <c r="H114" s="15">
        <v>1</v>
      </c>
      <c r="I114">
        <v>1</v>
      </c>
    </row>
    <row r="115" spans="3:9" x14ac:dyDescent="0.25">
      <c r="C115" s="10" t="s">
        <v>257</v>
      </c>
      <c r="D115" s="15">
        <v>0</v>
      </c>
      <c r="E115" s="15">
        <v>1</v>
      </c>
      <c r="F115" s="15">
        <v>0</v>
      </c>
      <c r="G115" s="15">
        <v>1</v>
      </c>
      <c r="H115" s="15">
        <v>0</v>
      </c>
      <c r="I115">
        <v>1</v>
      </c>
    </row>
    <row r="116" spans="3:9" x14ac:dyDescent="0.25">
      <c r="C116" s="10" t="s">
        <v>324</v>
      </c>
      <c r="D116" s="15">
        <v>0</v>
      </c>
      <c r="E116" s="15">
        <v>1</v>
      </c>
      <c r="F116" s="15">
        <v>1</v>
      </c>
      <c r="G116" s="15">
        <v>0</v>
      </c>
      <c r="H116" s="15">
        <v>0</v>
      </c>
      <c r="I116">
        <v>0</v>
      </c>
    </row>
    <row r="117" spans="3:9" x14ac:dyDescent="0.25">
      <c r="C117" s="10" t="s">
        <v>262</v>
      </c>
      <c r="D117" s="15">
        <v>1</v>
      </c>
      <c r="E117" s="15">
        <v>1</v>
      </c>
      <c r="F117" s="15">
        <v>1</v>
      </c>
      <c r="G117" s="15">
        <v>3</v>
      </c>
      <c r="H117" s="15">
        <v>1</v>
      </c>
      <c r="I117">
        <v>0</v>
      </c>
    </row>
    <row r="118" spans="3:9" x14ac:dyDescent="0.25">
      <c r="C118" s="10" t="s">
        <v>284</v>
      </c>
      <c r="D118" s="15">
        <v>1</v>
      </c>
      <c r="E118" s="15">
        <v>1</v>
      </c>
      <c r="F118" s="15">
        <v>0</v>
      </c>
      <c r="G118" s="15">
        <v>1</v>
      </c>
      <c r="H118" s="15">
        <v>1</v>
      </c>
      <c r="I118">
        <v>1</v>
      </c>
    </row>
    <row r="119" spans="3:9" x14ac:dyDescent="0.25">
      <c r="C119" s="10" t="s">
        <v>260</v>
      </c>
      <c r="D119" s="15">
        <v>1</v>
      </c>
      <c r="E119" s="15">
        <v>0</v>
      </c>
      <c r="F119" s="15">
        <v>0</v>
      </c>
      <c r="G119" s="15">
        <v>1</v>
      </c>
      <c r="H119" s="15">
        <v>2</v>
      </c>
      <c r="I119">
        <v>1</v>
      </c>
    </row>
    <row r="120" spans="3:9" x14ac:dyDescent="0.25">
      <c r="C120" s="10" t="s">
        <v>332</v>
      </c>
      <c r="D120" s="15">
        <v>0</v>
      </c>
      <c r="E120" s="15">
        <v>1</v>
      </c>
      <c r="F120" s="15">
        <v>1</v>
      </c>
      <c r="G120" s="15">
        <v>0</v>
      </c>
      <c r="H120" s="15">
        <v>0</v>
      </c>
      <c r="I120">
        <v>1</v>
      </c>
    </row>
    <row r="121" spans="3:9" x14ac:dyDescent="0.25">
      <c r="C121" s="10" t="s">
        <v>209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>
        <v>0</v>
      </c>
    </row>
    <row r="122" spans="3:9" x14ac:dyDescent="0.25">
      <c r="C122" s="10" t="s">
        <v>311</v>
      </c>
      <c r="D122" s="15">
        <v>0</v>
      </c>
      <c r="E122" s="15">
        <v>1</v>
      </c>
      <c r="F122" s="15">
        <v>3</v>
      </c>
      <c r="G122" s="15">
        <v>0</v>
      </c>
      <c r="H122" s="15">
        <v>2</v>
      </c>
      <c r="I122">
        <v>0</v>
      </c>
    </row>
    <row r="123" spans="3:9" x14ac:dyDescent="0.25">
      <c r="C123" s="10" t="s">
        <v>333</v>
      </c>
      <c r="D123" s="15">
        <v>0</v>
      </c>
      <c r="E123" s="15">
        <v>1</v>
      </c>
      <c r="F123" s="15">
        <v>3</v>
      </c>
      <c r="G123" s="15">
        <v>1</v>
      </c>
      <c r="H123" s="15">
        <v>0</v>
      </c>
      <c r="I123">
        <v>1</v>
      </c>
    </row>
    <row r="124" spans="3:9" x14ac:dyDescent="0.25">
      <c r="C124" s="10" t="s">
        <v>220</v>
      </c>
      <c r="D124" s="15">
        <v>0</v>
      </c>
      <c r="E124" s="15">
        <v>1</v>
      </c>
      <c r="F124" s="15">
        <v>3</v>
      </c>
      <c r="G124" s="15">
        <v>0</v>
      </c>
      <c r="H124" s="15">
        <v>2</v>
      </c>
      <c r="I124">
        <v>0</v>
      </c>
    </row>
    <row r="125" spans="3:9" x14ac:dyDescent="0.25">
      <c r="C125" s="10" t="s">
        <v>245</v>
      </c>
      <c r="D125" s="15">
        <v>1</v>
      </c>
      <c r="E125" s="15">
        <v>0</v>
      </c>
      <c r="F125" s="15">
        <v>1</v>
      </c>
      <c r="G125" s="15">
        <v>1</v>
      </c>
      <c r="H125" s="15">
        <v>1</v>
      </c>
      <c r="I125">
        <v>0</v>
      </c>
    </row>
    <row r="126" spans="3:9" x14ac:dyDescent="0.25">
      <c r="C126" s="10" t="s">
        <v>306</v>
      </c>
      <c r="D126" s="15">
        <v>0</v>
      </c>
      <c r="E126" s="15">
        <v>2</v>
      </c>
      <c r="F126" s="15">
        <v>2</v>
      </c>
      <c r="G126" s="15">
        <v>1</v>
      </c>
      <c r="H126" s="15">
        <v>1</v>
      </c>
      <c r="I126">
        <v>1</v>
      </c>
    </row>
    <row r="127" spans="3:9" x14ac:dyDescent="0.25">
      <c r="C127" s="10" t="s">
        <v>345</v>
      </c>
      <c r="D127" s="15">
        <v>1</v>
      </c>
      <c r="E127" s="15">
        <v>1</v>
      </c>
      <c r="F127" s="15">
        <v>0</v>
      </c>
      <c r="G127" s="15">
        <v>1</v>
      </c>
      <c r="H127" s="15">
        <v>1</v>
      </c>
      <c r="I127">
        <v>1</v>
      </c>
    </row>
    <row r="128" spans="3:9" x14ac:dyDescent="0.25">
      <c r="C128" s="10" t="s">
        <v>238</v>
      </c>
      <c r="D128" s="15">
        <v>1</v>
      </c>
      <c r="E128" s="15">
        <v>1</v>
      </c>
      <c r="F128" s="15">
        <v>1</v>
      </c>
      <c r="G128" s="15">
        <v>0</v>
      </c>
      <c r="H128" s="15">
        <v>1</v>
      </c>
      <c r="I128">
        <v>1</v>
      </c>
    </row>
    <row r="129" spans="3:9" x14ac:dyDescent="0.25">
      <c r="C129" s="10" t="s">
        <v>234</v>
      </c>
      <c r="D129" s="15">
        <v>1</v>
      </c>
      <c r="E129" s="15">
        <v>1</v>
      </c>
      <c r="F129" s="15">
        <v>1</v>
      </c>
      <c r="G129" s="15">
        <v>3</v>
      </c>
      <c r="H129" s="15">
        <v>1</v>
      </c>
      <c r="I129">
        <v>0</v>
      </c>
    </row>
    <row r="130" spans="3:9" x14ac:dyDescent="0.25">
      <c r="C130" s="10" t="s">
        <v>301</v>
      </c>
      <c r="D130" s="15">
        <v>0</v>
      </c>
      <c r="E130" s="15">
        <v>1</v>
      </c>
      <c r="F130" s="15">
        <v>0</v>
      </c>
      <c r="G130" s="15">
        <v>1</v>
      </c>
      <c r="H130" s="15">
        <v>0</v>
      </c>
      <c r="I130">
        <v>1</v>
      </c>
    </row>
    <row r="131" spans="3:9" x14ac:dyDescent="0.25">
      <c r="C131" s="10" t="s">
        <v>221</v>
      </c>
      <c r="D131" s="15">
        <v>0</v>
      </c>
      <c r="E131" s="15">
        <v>1</v>
      </c>
      <c r="F131" s="15">
        <v>1</v>
      </c>
      <c r="G131" s="15">
        <v>0</v>
      </c>
      <c r="H131" s="15">
        <v>0</v>
      </c>
      <c r="I131">
        <v>0</v>
      </c>
    </row>
    <row r="132" spans="3:9" x14ac:dyDescent="0.25">
      <c r="C132" s="10" t="s">
        <v>224</v>
      </c>
      <c r="D132" s="15">
        <v>0</v>
      </c>
      <c r="E132" s="15">
        <v>1</v>
      </c>
      <c r="F132" s="15">
        <v>1</v>
      </c>
      <c r="G132" s="15">
        <v>0</v>
      </c>
      <c r="H132" s="15">
        <v>0</v>
      </c>
      <c r="I132">
        <v>1</v>
      </c>
    </row>
    <row r="133" spans="3:9" x14ac:dyDescent="0.25">
      <c r="C133" s="10" t="s">
        <v>279</v>
      </c>
      <c r="D133" s="15">
        <v>0</v>
      </c>
      <c r="E133" s="15">
        <v>1</v>
      </c>
      <c r="F133" s="15">
        <v>1</v>
      </c>
      <c r="G133" s="15">
        <v>0</v>
      </c>
      <c r="H133" s="15">
        <v>0</v>
      </c>
      <c r="I133">
        <v>0</v>
      </c>
    </row>
    <row r="134" spans="3:9" x14ac:dyDescent="0.25">
      <c r="C134" s="10" t="s">
        <v>211</v>
      </c>
      <c r="D134" s="15">
        <v>0</v>
      </c>
      <c r="E134" s="15">
        <v>0</v>
      </c>
      <c r="F134" s="15">
        <v>1</v>
      </c>
      <c r="G134" s="15">
        <v>0</v>
      </c>
      <c r="H134" s="15">
        <v>0</v>
      </c>
      <c r="I134">
        <v>1</v>
      </c>
    </row>
    <row r="135" spans="3:9" x14ac:dyDescent="0.25">
      <c r="C135" s="10" t="s">
        <v>250</v>
      </c>
      <c r="D135" s="15">
        <v>0</v>
      </c>
      <c r="E135" s="15">
        <v>2</v>
      </c>
      <c r="F135" s="15">
        <v>2</v>
      </c>
      <c r="G135" s="15">
        <v>1</v>
      </c>
      <c r="H135" s="15">
        <v>1</v>
      </c>
      <c r="I135">
        <v>1</v>
      </c>
    </row>
    <row r="136" spans="3:9" x14ac:dyDescent="0.25">
      <c r="C136" s="10" t="s">
        <v>243</v>
      </c>
      <c r="D136" s="15">
        <v>1</v>
      </c>
      <c r="E136" s="15">
        <v>1</v>
      </c>
      <c r="F136" s="15">
        <v>0</v>
      </c>
      <c r="G136" s="15">
        <v>1</v>
      </c>
      <c r="H136" s="15">
        <v>1</v>
      </c>
      <c r="I136">
        <v>1</v>
      </c>
    </row>
    <row r="137" spans="3:9" x14ac:dyDescent="0.25">
      <c r="C137" s="10" t="s">
        <v>323</v>
      </c>
      <c r="D137" s="15">
        <v>0</v>
      </c>
      <c r="E137" s="15">
        <v>1</v>
      </c>
      <c r="F137" s="15">
        <v>3</v>
      </c>
      <c r="G137" s="15">
        <v>0</v>
      </c>
      <c r="H137" s="15">
        <v>2</v>
      </c>
      <c r="I137">
        <v>0</v>
      </c>
    </row>
    <row r="138" spans="3:9" x14ac:dyDescent="0.25">
      <c r="C138" s="10" t="s">
        <v>217</v>
      </c>
      <c r="D138" s="15">
        <v>0</v>
      </c>
      <c r="E138" s="15">
        <v>1</v>
      </c>
      <c r="F138" s="15">
        <v>1</v>
      </c>
      <c r="G138" s="15">
        <v>0</v>
      </c>
      <c r="H138" s="15">
        <v>0</v>
      </c>
      <c r="I138">
        <v>1</v>
      </c>
    </row>
    <row r="139" spans="3:9" x14ac:dyDescent="0.25">
      <c r="C139" s="10" t="s">
        <v>213</v>
      </c>
      <c r="D139" s="15">
        <v>0</v>
      </c>
      <c r="E139" s="15">
        <v>0</v>
      </c>
      <c r="F139" s="15">
        <v>1</v>
      </c>
      <c r="G139" s="15">
        <v>0</v>
      </c>
      <c r="H139" s="15">
        <v>1</v>
      </c>
      <c r="I139">
        <v>1</v>
      </c>
    </row>
    <row r="140" spans="3:9" x14ac:dyDescent="0.25">
      <c r="C140" s="10" t="s">
        <v>271</v>
      </c>
      <c r="D140" s="15">
        <v>1</v>
      </c>
      <c r="E140" s="15">
        <v>1</v>
      </c>
      <c r="F140" s="15">
        <v>0</v>
      </c>
      <c r="G140" s="15">
        <v>1</v>
      </c>
      <c r="H140" s="15">
        <v>1</v>
      </c>
      <c r="I140">
        <v>1</v>
      </c>
    </row>
    <row r="141" spans="3:9" x14ac:dyDescent="0.25">
      <c r="C141" s="10" t="s">
        <v>346</v>
      </c>
      <c r="D141" s="15">
        <v>1</v>
      </c>
      <c r="E141" s="15">
        <v>1</v>
      </c>
      <c r="F141" s="15">
        <v>0</v>
      </c>
      <c r="G141" s="15">
        <v>1</v>
      </c>
      <c r="H141" s="15">
        <v>1</v>
      </c>
      <c r="I141">
        <v>1</v>
      </c>
    </row>
    <row r="142" spans="3:9" x14ac:dyDescent="0.25">
      <c r="C142" s="10" t="s">
        <v>258</v>
      </c>
      <c r="D142" s="15">
        <v>0</v>
      </c>
      <c r="E142" s="15">
        <v>1</v>
      </c>
      <c r="F142" s="15">
        <v>1</v>
      </c>
      <c r="G142" s="15">
        <v>0</v>
      </c>
      <c r="H142" s="15">
        <v>1</v>
      </c>
      <c r="I142">
        <v>0</v>
      </c>
    </row>
    <row r="143" spans="3:9" x14ac:dyDescent="0.25">
      <c r="C143" s="10" t="s">
        <v>276</v>
      </c>
      <c r="D143" s="15">
        <v>0</v>
      </c>
      <c r="E143" s="15">
        <v>1</v>
      </c>
      <c r="F143" s="15">
        <v>3</v>
      </c>
      <c r="G143" s="15">
        <v>1</v>
      </c>
      <c r="H143" s="15">
        <v>0</v>
      </c>
      <c r="I143">
        <v>1</v>
      </c>
    </row>
    <row r="144" spans="3:9" x14ac:dyDescent="0.25">
      <c r="C144" s="10" t="s">
        <v>347</v>
      </c>
      <c r="D144" s="15">
        <v>1</v>
      </c>
      <c r="E144" s="15">
        <v>1</v>
      </c>
      <c r="F144" s="15">
        <v>1</v>
      </c>
      <c r="G144" s="15">
        <v>1</v>
      </c>
      <c r="H144" s="15">
        <v>1</v>
      </c>
      <c r="I144">
        <v>1</v>
      </c>
    </row>
    <row r="145" spans="3:9" x14ac:dyDescent="0.25">
      <c r="C145" s="10" t="s">
        <v>294</v>
      </c>
      <c r="D145" s="15">
        <v>0</v>
      </c>
      <c r="E145" s="15">
        <v>2</v>
      </c>
      <c r="F145" s="15">
        <v>2</v>
      </c>
      <c r="G145" s="15">
        <v>1</v>
      </c>
      <c r="H145" s="15">
        <v>1</v>
      </c>
      <c r="I145">
        <v>1</v>
      </c>
    </row>
    <row r="146" spans="3:9" x14ac:dyDescent="0.25">
      <c r="C146" s="10" t="s">
        <v>251</v>
      </c>
      <c r="D146" s="15">
        <v>0</v>
      </c>
      <c r="E146" s="15">
        <v>1</v>
      </c>
      <c r="F146" s="15">
        <v>1</v>
      </c>
      <c r="G146" s="15">
        <v>1</v>
      </c>
      <c r="H146" s="15">
        <v>1</v>
      </c>
      <c r="I146">
        <v>1</v>
      </c>
    </row>
    <row r="147" spans="3:9" x14ac:dyDescent="0.25">
      <c r="C147" s="10" t="s">
        <v>210</v>
      </c>
      <c r="D147" s="15">
        <v>0</v>
      </c>
      <c r="E147" s="15">
        <v>2</v>
      </c>
      <c r="F147" s="15">
        <v>1</v>
      </c>
      <c r="G147" s="15">
        <v>1</v>
      </c>
      <c r="H147" s="15">
        <v>1</v>
      </c>
      <c r="I147">
        <v>1</v>
      </c>
    </row>
    <row r="148" spans="3:9" x14ac:dyDescent="0.25">
      <c r="C148" s="10" t="s">
        <v>226</v>
      </c>
      <c r="D148" s="15">
        <v>0</v>
      </c>
      <c r="E148" s="15">
        <v>0</v>
      </c>
      <c r="F148" s="15">
        <v>1</v>
      </c>
      <c r="G148" s="15">
        <v>1</v>
      </c>
      <c r="H148" s="15">
        <v>0</v>
      </c>
      <c r="I148">
        <v>0</v>
      </c>
    </row>
    <row r="149" spans="3:9" x14ac:dyDescent="0.25">
      <c r="C149" s="10" t="s">
        <v>281</v>
      </c>
      <c r="D149" s="15">
        <v>0</v>
      </c>
      <c r="E149" s="15">
        <v>1</v>
      </c>
      <c r="F149" s="15">
        <v>1</v>
      </c>
      <c r="G149" s="15">
        <v>0</v>
      </c>
      <c r="H149" s="15">
        <v>1</v>
      </c>
      <c r="I149">
        <v>0</v>
      </c>
    </row>
    <row r="150" spans="3:9" x14ac:dyDescent="0.25">
      <c r="C150" s="10" t="s">
        <v>308</v>
      </c>
      <c r="D150" s="15">
        <v>0</v>
      </c>
      <c r="E150" s="15">
        <v>1</v>
      </c>
      <c r="F150" s="15">
        <v>1</v>
      </c>
      <c r="G150" s="15">
        <v>0</v>
      </c>
      <c r="H150" s="15">
        <v>0</v>
      </c>
      <c r="I150">
        <v>1</v>
      </c>
    </row>
    <row r="151" spans="3:9" x14ac:dyDescent="0.25">
      <c r="C151" s="10" t="s">
        <v>265</v>
      </c>
      <c r="D151" s="15">
        <v>1</v>
      </c>
      <c r="E151" s="15">
        <v>1</v>
      </c>
      <c r="F151" s="15">
        <v>1</v>
      </c>
      <c r="G151" s="15">
        <v>1</v>
      </c>
      <c r="H151" s="15">
        <v>1</v>
      </c>
      <c r="I151">
        <v>0</v>
      </c>
    </row>
    <row r="152" spans="3:9" x14ac:dyDescent="0.25">
      <c r="C152" s="10" t="s">
        <v>309</v>
      </c>
      <c r="D152" s="15">
        <v>0</v>
      </c>
      <c r="E152" s="15">
        <v>1</v>
      </c>
      <c r="F152" s="15">
        <v>3</v>
      </c>
      <c r="G152" s="15">
        <v>1</v>
      </c>
      <c r="H152" s="15">
        <v>0</v>
      </c>
      <c r="I152">
        <v>1</v>
      </c>
    </row>
    <row r="153" spans="3:9" x14ac:dyDescent="0.25">
      <c r="C153" s="10" t="s">
        <v>270</v>
      </c>
      <c r="D153" s="15">
        <v>1</v>
      </c>
      <c r="E153" s="15">
        <v>1</v>
      </c>
      <c r="F153" s="15">
        <v>1</v>
      </c>
      <c r="G153" s="15">
        <v>0</v>
      </c>
      <c r="H153" s="15">
        <v>3</v>
      </c>
      <c r="I153">
        <v>1</v>
      </c>
    </row>
    <row r="154" spans="3:9" x14ac:dyDescent="0.25">
      <c r="C154" s="10" t="s">
        <v>214</v>
      </c>
      <c r="D154" s="15">
        <v>0</v>
      </c>
      <c r="E154" s="15">
        <v>1</v>
      </c>
      <c r="F154" s="15">
        <v>1</v>
      </c>
      <c r="G154" s="15">
        <v>0</v>
      </c>
      <c r="H154" s="15">
        <v>1</v>
      </c>
      <c r="I154">
        <v>1</v>
      </c>
    </row>
    <row r="155" spans="3:9" x14ac:dyDescent="0.25">
      <c r="C155" s="10" t="s">
        <v>293</v>
      </c>
      <c r="D155" s="15">
        <v>0</v>
      </c>
      <c r="E155" s="15">
        <v>1</v>
      </c>
      <c r="F155" s="15">
        <v>1</v>
      </c>
      <c r="G155" s="15">
        <v>0</v>
      </c>
      <c r="H155" s="15">
        <v>1</v>
      </c>
      <c r="I155">
        <v>1</v>
      </c>
    </row>
    <row r="156" spans="3:9" x14ac:dyDescent="0.25">
      <c r="C156" s="10" t="s">
        <v>237</v>
      </c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>
        <v>0</v>
      </c>
    </row>
    <row r="157" spans="3:9" x14ac:dyDescent="0.25">
      <c r="C157" s="10" t="s">
        <v>274</v>
      </c>
      <c r="D157" s="15">
        <v>0</v>
      </c>
      <c r="E157" s="15">
        <v>1</v>
      </c>
      <c r="F157" s="15">
        <v>1</v>
      </c>
      <c r="G157" s="15">
        <v>1</v>
      </c>
      <c r="H157" s="15">
        <v>1</v>
      </c>
      <c r="I157">
        <v>1</v>
      </c>
    </row>
    <row r="158" spans="3:9" x14ac:dyDescent="0.25">
      <c r="C158" s="10" t="s">
        <v>292</v>
      </c>
      <c r="D158" s="15">
        <v>1</v>
      </c>
      <c r="E158" s="15">
        <v>1</v>
      </c>
      <c r="F158" s="15">
        <v>0</v>
      </c>
      <c r="G158" s="15">
        <v>1</v>
      </c>
      <c r="H158" s="15">
        <v>1</v>
      </c>
      <c r="I158">
        <v>1</v>
      </c>
    </row>
    <row r="159" spans="3:9" x14ac:dyDescent="0.25">
      <c r="C159" s="10" t="s">
        <v>344</v>
      </c>
      <c r="D159" s="15">
        <v>1</v>
      </c>
      <c r="E159" s="15">
        <v>1</v>
      </c>
      <c r="F159" s="15">
        <v>0</v>
      </c>
      <c r="G159" s="15">
        <v>1</v>
      </c>
      <c r="H159" s="15">
        <v>1</v>
      </c>
      <c r="I159">
        <v>1</v>
      </c>
    </row>
    <row r="160" spans="3:9" x14ac:dyDescent="0.25">
      <c r="C160" s="10" t="s">
        <v>282</v>
      </c>
      <c r="D160" s="15">
        <v>0</v>
      </c>
      <c r="E160" s="15">
        <v>1</v>
      </c>
      <c r="F160" s="15">
        <v>1</v>
      </c>
      <c r="G160" s="15">
        <v>0</v>
      </c>
      <c r="H160" s="15">
        <v>0</v>
      </c>
      <c r="I160">
        <v>1</v>
      </c>
    </row>
    <row r="161" spans="3:9" x14ac:dyDescent="0.25">
      <c r="C161" s="10" t="s">
        <v>318</v>
      </c>
      <c r="D161" s="15">
        <v>0</v>
      </c>
      <c r="E161" s="15">
        <v>2</v>
      </c>
      <c r="F161" s="15">
        <v>2</v>
      </c>
      <c r="G161" s="15">
        <v>1</v>
      </c>
      <c r="H161" s="15">
        <v>1</v>
      </c>
      <c r="I161">
        <v>1</v>
      </c>
    </row>
    <row r="162" spans="3:9" x14ac:dyDescent="0.25">
      <c r="C162" s="10" t="s">
        <v>259</v>
      </c>
      <c r="D162" s="15">
        <v>0</v>
      </c>
      <c r="E162" s="15">
        <v>1</v>
      </c>
      <c r="F162" s="15">
        <v>1</v>
      </c>
      <c r="G162" s="15">
        <v>0</v>
      </c>
      <c r="H162" s="15">
        <v>0</v>
      </c>
      <c r="I162">
        <v>1</v>
      </c>
    </row>
    <row r="163" spans="3:9" x14ac:dyDescent="0.25">
      <c r="C163" s="10" t="s">
        <v>247</v>
      </c>
      <c r="D163" s="15">
        <v>1</v>
      </c>
      <c r="E163" s="15">
        <v>1</v>
      </c>
      <c r="F163" s="15">
        <v>1</v>
      </c>
      <c r="G163" s="15">
        <v>0</v>
      </c>
      <c r="H163" s="15">
        <v>1</v>
      </c>
      <c r="I163">
        <v>0</v>
      </c>
    </row>
    <row r="164" spans="3:9" x14ac:dyDescent="0.25">
      <c r="C164" s="10" t="s">
        <v>300</v>
      </c>
      <c r="D164" s="15">
        <v>0</v>
      </c>
      <c r="E164" s="15">
        <v>1</v>
      </c>
      <c r="F164" s="15">
        <v>1</v>
      </c>
      <c r="G164" s="15">
        <v>0</v>
      </c>
      <c r="H164" s="15">
        <v>0</v>
      </c>
      <c r="I164">
        <v>0</v>
      </c>
    </row>
    <row r="165" spans="3:9" x14ac:dyDescent="0.25">
      <c r="C165" s="10" t="s">
        <v>310</v>
      </c>
      <c r="D165" s="15">
        <v>0</v>
      </c>
      <c r="E165" s="15">
        <v>1</v>
      </c>
      <c r="F165" s="15">
        <v>1</v>
      </c>
      <c r="G165" s="15">
        <v>1</v>
      </c>
      <c r="H165" s="15">
        <v>1</v>
      </c>
      <c r="I165">
        <v>1</v>
      </c>
    </row>
    <row r="166" spans="3:9" x14ac:dyDescent="0.25">
      <c r="C166" s="10" t="s">
        <v>338</v>
      </c>
      <c r="D166" s="15">
        <v>0</v>
      </c>
      <c r="E166" s="15">
        <v>1</v>
      </c>
      <c r="F166" s="15">
        <v>1</v>
      </c>
      <c r="G166" s="15">
        <v>0</v>
      </c>
      <c r="H166" s="15">
        <v>1</v>
      </c>
      <c r="I166">
        <v>0</v>
      </c>
    </row>
    <row r="167" spans="3:9" x14ac:dyDescent="0.25">
      <c r="C167" s="10" t="s">
        <v>253</v>
      </c>
      <c r="D167" s="15">
        <v>0</v>
      </c>
      <c r="E167" s="15">
        <v>1</v>
      </c>
      <c r="F167" s="15">
        <v>3</v>
      </c>
      <c r="G167" s="15">
        <v>1</v>
      </c>
      <c r="H167" s="15">
        <v>0</v>
      </c>
      <c r="I167">
        <v>1</v>
      </c>
    </row>
    <row r="168" spans="3:9" x14ac:dyDescent="0.25">
      <c r="C168" s="10" t="s">
        <v>216</v>
      </c>
      <c r="D168" s="15">
        <v>0</v>
      </c>
      <c r="E168" s="15">
        <v>1</v>
      </c>
      <c r="F168" s="15">
        <v>1</v>
      </c>
      <c r="G168" s="15">
        <v>1</v>
      </c>
      <c r="H168" s="15">
        <v>1</v>
      </c>
      <c r="I168">
        <v>1</v>
      </c>
    </row>
    <row r="169" spans="3:9" x14ac:dyDescent="0.25">
      <c r="C169" s="10" t="s">
        <v>297</v>
      </c>
      <c r="D169" s="15">
        <v>0</v>
      </c>
      <c r="E169" s="15">
        <v>1</v>
      </c>
      <c r="F169" s="15">
        <v>3</v>
      </c>
      <c r="G169" s="15">
        <v>1</v>
      </c>
      <c r="H169" s="15">
        <v>0</v>
      </c>
      <c r="I169">
        <v>1</v>
      </c>
    </row>
    <row r="170" spans="3:9" x14ac:dyDescent="0.25">
      <c r="C170" s="10" t="s">
        <v>286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>
        <v>0</v>
      </c>
    </row>
    <row r="171" spans="3:9" x14ac:dyDescent="0.25">
      <c r="C171" s="10" t="s">
        <v>331</v>
      </c>
      <c r="D171" s="15">
        <v>0</v>
      </c>
      <c r="E171" s="15">
        <v>1</v>
      </c>
      <c r="F171" s="15">
        <v>1</v>
      </c>
      <c r="G171" s="15">
        <v>1</v>
      </c>
      <c r="H171" s="15">
        <v>1</v>
      </c>
      <c r="I171">
        <v>1</v>
      </c>
    </row>
    <row r="172" spans="3:9" x14ac:dyDescent="0.25">
      <c r="C172" s="10" t="s">
        <v>334</v>
      </c>
      <c r="D172" s="15">
        <v>0</v>
      </c>
      <c r="E172" s="15">
        <v>1</v>
      </c>
      <c r="F172" s="15">
        <v>1</v>
      </c>
      <c r="G172" s="15">
        <v>1</v>
      </c>
      <c r="H172" s="15">
        <v>1</v>
      </c>
      <c r="I172">
        <v>1</v>
      </c>
    </row>
    <row r="173" spans="3:9" x14ac:dyDescent="0.25">
      <c r="C173" s="10" t="s">
        <v>342</v>
      </c>
      <c r="D173" s="15">
        <v>1</v>
      </c>
      <c r="E173" s="15">
        <v>1</v>
      </c>
      <c r="F173" s="15">
        <v>1</v>
      </c>
      <c r="G173" s="15">
        <v>1</v>
      </c>
      <c r="H173" s="15">
        <v>1</v>
      </c>
      <c r="I173">
        <v>0</v>
      </c>
    </row>
    <row r="174" spans="3:9" x14ac:dyDescent="0.25">
      <c r="C174" s="10" t="s">
        <v>328</v>
      </c>
      <c r="D174" s="15">
        <v>0</v>
      </c>
      <c r="E174" s="15">
        <v>1</v>
      </c>
      <c r="F174" s="15">
        <v>1</v>
      </c>
      <c r="G174" s="15">
        <v>0</v>
      </c>
      <c r="H174" s="15">
        <v>1</v>
      </c>
      <c r="I174">
        <v>1</v>
      </c>
    </row>
    <row r="175" spans="3:9" x14ac:dyDescent="0.25">
      <c r="C175" s="10" t="s">
        <v>241</v>
      </c>
      <c r="D175" s="15">
        <v>1</v>
      </c>
      <c r="E175" s="15">
        <v>1</v>
      </c>
      <c r="F175" s="15">
        <v>1</v>
      </c>
      <c r="G175" s="15">
        <v>1</v>
      </c>
      <c r="H175" s="15">
        <v>1</v>
      </c>
      <c r="I175">
        <v>0</v>
      </c>
    </row>
    <row r="176" spans="3:9" x14ac:dyDescent="0.25">
      <c r="C176" s="10" t="s">
        <v>303</v>
      </c>
      <c r="D176" s="15">
        <v>0</v>
      </c>
      <c r="E176" s="15">
        <v>1</v>
      </c>
      <c r="F176" s="15">
        <v>1</v>
      </c>
      <c r="G176" s="15">
        <v>0</v>
      </c>
      <c r="H176" s="15">
        <v>0</v>
      </c>
      <c r="I176">
        <v>1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K18"/>
    <mergeCell ref="C19:E19"/>
    <mergeCell ref="C20:E20"/>
    <mergeCell ref="F19:K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2'!$B$10:$B$10" display="Inputs" xr:uid="{D8A5FCA4-ABC2-4125-A5CF-DB3DDC8F6834}"/>
    <hyperlink ref="D4" location="'STDPartition2'!$B$28:$B$28" display="Partition Summary" xr:uid="{E97D0D93-8CF5-4F31-9CA2-2718C39BBDA5}"/>
    <hyperlink ref="F4" location="'STDPartition2'!$B$34:$B$34" display="Partitioned Data" xr:uid="{35924A23-585F-4CB3-AE51-1A07CBC9A991}"/>
  </hyperlink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92DB-0728-4949-AFF0-0FCA8DD4BABB}">
  <dimension ref="B1:CV41"/>
  <sheetViews>
    <sheetView showGridLines="0" topLeftCell="A20" workbookViewId="0"/>
  </sheetViews>
  <sheetFormatPr defaultRowHeight="13.2" x14ac:dyDescent="0.25"/>
  <cols>
    <col min="12" max="12" width="29.109375" bestFit="1" customWidth="1"/>
  </cols>
  <sheetData>
    <row r="1" spans="2:100" ht="18" x14ac:dyDescent="0.35">
      <c r="B1" s="8" t="s">
        <v>473</v>
      </c>
      <c r="N1" t="s">
        <v>524</v>
      </c>
      <c r="CV1" s="14" t="s">
        <v>491</v>
      </c>
    </row>
    <row r="3" spans="2:100" ht="15.6" x14ac:dyDescent="0.3">
      <c r="B3" s="22" t="s">
        <v>172</v>
      </c>
      <c r="C3" s="23"/>
      <c r="D3" s="23"/>
      <c r="E3" s="23"/>
      <c r="F3" s="23"/>
      <c r="G3" s="23"/>
      <c r="H3" s="23"/>
      <c r="I3" s="24"/>
      <c r="L3" s="22" t="s">
        <v>195</v>
      </c>
      <c r="M3" s="23"/>
      <c r="N3" s="23"/>
      <c r="O3" s="24"/>
    </row>
    <row r="4" spans="2:100" ht="13.8" x14ac:dyDescent="0.3">
      <c r="B4" s="29" t="s">
        <v>173</v>
      </c>
      <c r="C4" s="30"/>
      <c r="D4" s="29" t="s">
        <v>366</v>
      </c>
      <c r="E4" s="30"/>
      <c r="F4" s="29" t="s">
        <v>448</v>
      </c>
      <c r="G4" s="30"/>
      <c r="H4" s="29" t="s">
        <v>449</v>
      </c>
      <c r="I4" s="30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00" ht="13.8" x14ac:dyDescent="0.3">
      <c r="L5" s="11">
        <v>59</v>
      </c>
      <c r="M5" s="11">
        <v>2</v>
      </c>
      <c r="N5" s="11">
        <v>7</v>
      </c>
      <c r="O5" s="11">
        <v>68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  <c r="J12" s="25"/>
      <c r="K12" s="25"/>
    </row>
    <row r="13" spans="2:100" ht="13.8" x14ac:dyDescent="0.3">
      <c r="C13" s="18" t="s">
        <v>176</v>
      </c>
      <c r="D13" s="18"/>
      <c r="E13" s="18"/>
      <c r="F13" s="19"/>
      <c r="G13" s="17" t="s">
        <v>190</v>
      </c>
      <c r="H13" s="17"/>
      <c r="I13" s="17"/>
      <c r="J13" s="17"/>
      <c r="K13" s="17"/>
    </row>
    <row r="14" spans="2:100" ht="13.8" x14ac:dyDescent="0.3">
      <c r="C14" s="18" t="s">
        <v>177</v>
      </c>
      <c r="D14" s="18"/>
      <c r="E14" s="18"/>
      <c r="F14" s="19"/>
      <c r="G14" s="17" t="s">
        <v>540</v>
      </c>
      <c r="H14" s="17"/>
      <c r="I14" s="17"/>
      <c r="J14" s="17"/>
      <c r="K14" s="17"/>
    </row>
    <row r="15" spans="2:100" ht="13.8" x14ac:dyDescent="0.3">
      <c r="C15" s="18" t="s">
        <v>474</v>
      </c>
      <c r="D15" s="18"/>
      <c r="E15" s="18"/>
      <c r="F15" s="19"/>
      <c r="G15" s="17" t="s">
        <v>541</v>
      </c>
      <c r="H15" s="17"/>
      <c r="I15" s="17"/>
      <c r="J15" s="17"/>
      <c r="K15" s="17"/>
    </row>
    <row r="16" spans="2:100" ht="13.8" x14ac:dyDescent="0.3">
      <c r="C16" s="18" t="s">
        <v>475</v>
      </c>
      <c r="D16" s="18"/>
      <c r="E16" s="18"/>
      <c r="F16" s="19"/>
      <c r="G16" s="17">
        <v>112</v>
      </c>
      <c r="H16" s="17"/>
      <c r="I16" s="17"/>
      <c r="J16" s="17"/>
      <c r="K16" s="17"/>
    </row>
    <row r="17" spans="3:11" ht="13.8" x14ac:dyDescent="0.3">
      <c r="C17" s="18" t="s">
        <v>476</v>
      </c>
      <c r="D17" s="18"/>
      <c r="E17" s="18"/>
      <c r="F17" s="19"/>
      <c r="G17" s="17" t="s">
        <v>542</v>
      </c>
      <c r="H17" s="17"/>
      <c r="I17" s="17"/>
      <c r="J17" s="17"/>
      <c r="K17" s="17"/>
    </row>
    <row r="18" spans="3:11" ht="13.8" x14ac:dyDescent="0.3">
      <c r="C18" s="18" t="s">
        <v>477</v>
      </c>
      <c r="D18" s="18"/>
      <c r="E18" s="18"/>
      <c r="F18" s="19"/>
      <c r="G18" s="17">
        <v>28</v>
      </c>
      <c r="H18" s="17"/>
      <c r="I18" s="17"/>
      <c r="J18" s="17"/>
      <c r="K18" s="17"/>
    </row>
    <row r="20" spans="3:11" ht="15.6" x14ac:dyDescent="0.3">
      <c r="C20" s="25" t="s">
        <v>180</v>
      </c>
      <c r="D20" s="25"/>
      <c r="E20" s="25"/>
      <c r="F20" s="25"/>
      <c r="G20" s="25"/>
      <c r="H20" s="25"/>
      <c r="I20" s="25"/>
    </row>
    <row r="21" spans="3:11" ht="13.8" x14ac:dyDescent="0.3">
      <c r="C21" s="18" t="s">
        <v>478</v>
      </c>
      <c r="D21" s="19"/>
      <c r="E21" s="17">
        <v>5</v>
      </c>
      <c r="F21" s="17"/>
      <c r="G21" s="17"/>
      <c r="H21" s="17"/>
      <c r="I21" s="17"/>
    </row>
    <row r="22" spans="3:11" ht="13.8" x14ac:dyDescent="0.3">
      <c r="C22" s="18" t="s">
        <v>479</v>
      </c>
      <c r="D22" s="19"/>
      <c r="E22" s="11" t="s">
        <v>203</v>
      </c>
      <c r="F22" s="11" t="s">
        <v>204</v>
      </c>
      <c r="G22" s="11" t="s">
        <v>205</v>
      </c>
      <c r="H22" s="11" t="s">
        <v>206</v>
      </c>
      <c r="I22" s="11" t="s">
        <v>207</v>
      </c>
    </row>
    <row r="23" spans="3:11" ht="13.8" x14ac:dyDescent="0.3">
      <c r="C23" s="18" t="s">
        <v>480</v>
      </c>
      <c r="D23" s="19"/>
      <c r="E23" s="16" t="s">
        <v>51</v>
      </c>
      <c r="F23" s="16"/>
      <c r="G23" s="16"/>
      <c r="H23" s="16"/>
      <c r="I23" s="16"/>
    </row>
    <row r="25" spans="3:11" ht="15.6" x14ac:dyDescent="0.3">
      <c r="C25" s="25" t="s">
        <v>481</v>
      </c>
      <c r="D25" s="25"/>
      <c r="E25" s="25"/>
      <c r="F25" s="25"/>
      <c r="G25" s="25"/>
      <c r="H25" s="25"/>
      <c r="I25" s="25"/>
    </row>
    <row r="26" spans="3:11" ht="13.8" x14ac:dyDescent="0.3">
      <c r="C26" s="18" t="s">
        <v>482</v>
      </c>
      <c r="D26" s="18"/>
      <c r="E26" s="19"/>
      <c r="F26" s="17" t="b">
        <v>1</v>
      </c>
      <c r="G26" s="17"/>
      <c r="H26" s="17"/>
      <c r="I26" s="17"/>
    </row>
    <row r="27" spans="3:11" ht="13.8" x14ac:dyDescent="0.3">
      <c r="C27" s="18" t="s">
        <v>483</v>
      </c>
      <c r="D27" s="18"/>
      <c r="E27" s="19"/>
      <c r="F27" s="17">
        <v>1</v>
      </c>
      <c r="G27" s="17"/>
      <c r="H27" s="17"/>
      <c r="I27" s="17"/>
    </row>
    <row r="28" spans="3:11" ht="13.8" x14ac:dyDescent="0.3">
      <c r="C28" s="18" t="s">
        <v>484</v>
      </c>
      <c r="D28" s="18"/>
      <c r="E28" s="19"/>
      <c r="F28" s="33" t="s">
        <v>487</v>
      </c>
      <c r="G28" s="34"/>
      <c r="H28" s="34"/>
      <c r="I28" s="35"/>
    </row>
    <row r="30" spans="3:11" ht="15.6" x14ac:dyDescent="0.3">
      <c r="C30" s="22" t="s">
        <v>485</v>
      </c>
      <c r="D30" s="23"/>
      <c r="E30" s="23"/>
      <c r="F30" s="23"/>
      <c r="G30" s="23"/>
      <c r="H30" s="23"/>
      <c r="I30" s="24"/>
    </row>
    <row r="31" spans="3:11" ht="13.8" x14ac:dyDescent="0.3">
      <c r="C31" s="19" t="s">
        <v>486</v>
      </c>
      <c r="D31" s="31"/>
      <c r="E31" s="32"/>
      <c r="F31" s="33">
        <v>2</v>
      </c>
      <c r="G31" s="34"/>
      <c r="H31" s="34"/>
      <c r="I31" s="35"/>
    </row>
    <row r="32" spans="3:11" ht="13.8" x14ac:dyDescent="0.3">
      <c r="C32" s="19" t="s">
        <v>463</v>
      </c>
      <c r="D32" s="31"/>
      <c r="E32" s="32"/>
      <c r="F32" s="33">
        <v>1</v>
      </c>
      <c r="G32" s="34"/>
      <c r="H32" s="34"/>
      <c r="I32" s="35"/>
    </row>
    <row r="33" spans="3:9" ht="13.8" x14ac:dyDescent="0.3">
      <c r="C33" s="19" t="s">
        <v>464</v>
      </c>
      <c r="D33" s="31"/>
      <c r="E33" s="32"/>
      <c r="F33" s="33">
        <v>0.5</v>
      </c>
      <c r="G33" s="34"/>
      <c r="H33" s="34"/>
      <c r="I33" s="35"/>
    </row>
    <row r="35" spans="3:9" ht="15.6" x14ac:dyDescent="0.3">
      <c r="C35" s="22" t="s">
        <v>492</v>
      </c>
      <c r="D35" s="23"/>
      <c r="E35" s="23"/>
      <c r="F35" s="23"/>
      <c r="G35" s="23"/>
      <c r="H35" s="23"/>
      <c r="I35" s="24"/>
    </row>
    <row r="36" spans="3:9" ht="13.8" x14ac:dyDescent="0.3">
      <c r="C36" s="19" t="s">
        <v>493</v>
      </c>
      <c r="D36" s="31"/>
      <c r="E36" s="32"/>
      <c r="F36" s="33" t="b">
        <v>0</v>
      </c>
      <c r="G36" s="34"/>
      <c r="H36" s="34"/>
      <c r="I36" s="35"/>
    </row>
    <row r="37" spans="3:9" ht="13.8" x14ac:dyDescent="0.3">
      <c r="C37" s="19" t="s">
        <v>494</v>
      </c>
      <c r="D37" s="31"/>
      <c r="E37" s="32"/>
      <c r="F37" s="33" t="b">
        <v>0</v>
      </c>
      <c r="G37" s="34"/>
      <c r="H37" s="34"/>
      <c r="I37" s="35"/>
    </row>
    <row r="39" spans="3:9" ht="15.6" x14ac:dyDescent="0.3">
      <c r="C39" s="22" t="s">
        <v>495</v>
      </c>
      <c r="D39" s="23"/>
      <c r="E39" s="23"/>
      <c r="F39" s="23"/>
      <c r="G39" s="24"/>
    </row>
    <row r="40" spans="3:9" ht="13.8" x14ac:dyDescent="0.3">
      <c r="C40" s="26" t="s">
        <v>496</v>
      </c>
      <c r="D40" s="27"/>
      <c r="E40" s="27"/>
      <c r="F40" s="27"/>
      <c r="G40" s="28"/>
    </row>
    <row r="41" spans="3:9" ht="13.8" x14ac:dyDescent="0.3">
      <c r="C41" s="26" t="s">
        <v>497</v>
      </c>
      <c r="D41" s="27"/>
      <c r="E41" s="27"/>
      <c r="F41" s="27"/>
      <c r="G41" s="28"/>
    </row>
  </sheetData>
  <mergeCells count="4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I20"/>
    <mergeCell ref="C21:D21"/>
    <mergeCell ref="C22:D22"/>
    <mergeCell ref="C23:D23"/>
    <mergeCell ref="E21:I21"/>
    <mergeCell ref="E23:I23"/>
    <mergeCell ref="C25:I25"/>
    <mergeCell ref="C26:E26"/>
    <mergeCell ref="C27:E27"/>
    <mergeCell ref="C28:E28"/>
    <mergeCell ref="F26:I26"/>
    <mergeCell ref="F27:I27"/>
    <mergeCell ref="F28:I28"/>
    <mergeCell ref="C32:E32"/>
    <mergeCell ref="C33:E33"/>
    <mergeCell ref="F31:I31"/>
    <mergeCell ref="F32:I32"/>
    <mergeCell ref="F33:I33"/>
    <mergeCell ref="B3:I3"/>
    <mergeCell ref="L3:O3"/>
    <mergeCell ref="C40:G40"/>
    <mergeCell ref="C41:G41"/>
    <mergeCell ref="B4:C4"/>
    <mergeCell ref="D4:E4"/>
    <mergeCell ref="F4:G4"/>
    <mergeCell ref="H4:I4"/>
    <mergeCell ref="C35:I35"/>
    <mergeCell ref="C36:E36"/>
    <mergeCell ref="C37:E37"/>
    <mergeCell ref="F36:I36"/>
    <mergeCell ref="F37:I37"/>
    <mergeCell ref="C39:G39"/>
    <mergeCell ref="C30:I30"/>
    <mergeCell ref="C31:E31"/>
  </mergeCells>
  <hyperlinks>
    <hyperlink ref="B4" location="'NB_Output2'!$B$10:$B$10" display="Inputs" xr:uid="{8E1E37C2-3E30-40E6-A5A0-875ACA7AB61B}"/>
    <hyperlink ref="D4" location="'NB_Stored2'!$B$10:$B$10" display="PMML Model" xr:uid="{F0B2F61C-B7F1-4B0B-A89A-D9981656DC9F}"/>
    <hyperlink ref="F4" location="'NB_TrainingScore2'!$B$10:$B$10" display="Training: Classification Summary" xr:uid="{7BA1CA42-6919-48E6-A46E-2F04A98C1E62}"/>
    <hyperlink ref="H4" location="'NB_ValidationScore2'!$B$10:$B$10" display="Validation: Classification Summary" xr:uid="{97E3D8F2-A7F2-4656-AF13-2AECDDE2DED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193D-4444-4A15-974A-A4C999EE33E4}">
  <dimension ref="B1:O32"/>
  <sheetViews>
    <sheetView showGridLines="0" topLeftCell="A6" workbookViewId="0">
      <selection activeCell="F21" sqref="F21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472</v>
      </c>
      <c r="N1" t="s">
        <v>524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59</v>
      </c>
      <c r="M5" s="11">
        <v>2</v>
      </c>
      <c r="N5" s="11">
        <v>7</v>
      </c>
      <c r="O5" s="11">
        <v>68</v>
      </c>
    </row>
    <row r="10" spans="2:15" ht="18" x14ac:dyDescent="0.35">
      <c r="B10" s="9" t="s">
        <v>448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72</v>
      </c>
      <c r="E14">
        <v>1</v>
      </c>
    </row>
    <row r="15" spans="2:15" x14ac:dyDescent="0.25">
      <c r="C15" s="10">
        <v>1</v>
      </c>
      <c r="D15" s="15">
        <v>13</v>
      </c>
      <c r="E15">
        <v>26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73</v>
      </c>
      <c r="E19">
        <f>SUM($D$14:$E$14) - $D$14</f>
        <v>1</v>
      </c>
      <c r="F19">
        <f>IF($D$19=0,"Undefined",$E$19*100 / $D$19)</f>
        <v>1.3698630136986301</v>
      </c>
    </row>
    <row r="20" spans="3:6" x14ac:dyDescent="0.25">
      <c r="C20" s="10">
        <v>1</v>
      </c>
      <c r="D20">
        <f>SUM($D$15:$E$15)</f>
        <v>39</v>
      </c>
      <c r="E20">
        <f>SUM($D$15:$E$15) - $E$15</f>
        <v>13</v>
      </c>
      <c r="F20">
        <f>IF($D$20=0,"Undefined",$E$20*100 / $D$20)</f>
        <v>33.333333333333336</v>
      </c>
    </row>
    <row r="21" spans="3:6" x14ac:dyDescent="0.25">
      <c r="C21" s="10" t="s">
        <v>454</v>
      </c>
      <c r="D21">
        <f>SUM($D$19:$D$20)</f>
        <v>112</v>
      </c>
      <c r="E21">
        <f>SUM($E$19:$E$20)</f>
        <v>14</v>
      </c>
      <c r="F21">
        <f>IF($D$21=0,"Undefined",$E$21*100 / $D$21)</f>
        <v>12.5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98</v>
      </c>
    </row>
    <row r="26" spans="3:6" x14ac:dyDescent="0.25">
      <c r="C26" t="s">
        <v>458</v>
      </c>
      <c r="D26">
        <v>87.5</v>
      </c>
    </row>
    <row r="27" spans="3:6" x14ac:dyDescent="0.25">
      <c r="C27" t="s">
        <v>459</v>
      </c>
      <c r="D27">
        <v>0.98630136986301364</v>
      </c>
    </row>
    <row r="28" spans="3:6" x14ac:dyDescent="0.25">
      <c r="C28" t="s">
        <v>460</v>
      </c>
      <c r="D28">
        <v>0.66666666666666663</v>
      </c>
    </row>
    <row r="29" spans="3:6" x14ac:dyDescent="0.25">
      <c r="C29" t="s">
        <v>461</v>
      </c>
      <c r="D29">
        <v>0.9629629629629628</v>
      </c>
    </row>
    <row r="30" spans="3:6" x14ac:dyDescent="0.25">
      <c r="C30" t="s">
        <v>462</v>
      </c>
      <c r="D30">
        <v>0.78787878787878785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2'!$B$10:$B$10" display="Inputs" xr:uid="{4EC6C2F7-5B25-4DB2-9F6C-E9F29429FE24}"/>
    <hyperlink ref="D4" location="'NB_Stored2'!$B$10:$B$10" display="PMML Model" xr:uid="{F0AF5498-9736-44E5-8471-C95053FB1E28}"/>
    <hyperlink ref="F4" location="'NB_TrainingScore2'!$B$10:$B$10" display="Training: Classification Summary" xr:uid="{908EFBD7-0CB1-4315-9791-721DBE24C924}"/>
    <hyperlink ref="H4" location="'NB_ValidationScore2'!$B$10:$B$10" display="Validation: Classification Summary" xr:uid="{478F280E-5019-4749-AE12-E2F8AA3D7DBE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56C9-519A-4B95-81B8-9CF646121AF7}">
  <dimension ref="B1:O32"/>
  <sheetViews>
    <sheetView showGridLines="0" topLeftCell="A6" workbookViewId="0">
      <selection activeCell="F21" sqref="F21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450</v>
      </c>
      <c r="N1" t="s">
        <v>524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59</v>
      </c>
      <c r="M5" s="11">
        <v>2</v>
      </c>
      <c r="N5" s="11">
        <v>7</v>
      </c>
      <c r="O5" s="11">
        <v>68</v>
      </c>
    </row>
    <row r="10" spans="2:15" ht="18" x14ac:dyDescent="0.35">
      <c r="B10" s="9" t="s">
        <v>449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19</v>
      </c>
      <c r="E14">
        <v>0</v>
      </c>
    </row>
    <row r="15" spans="2:15" x14ac:dyDescent="0.25">
      <c r="C15" s="10">
        <v>1</v>
      </c>
      <c r="D15" s="15">
        <v>6</v>
      </c>
      <c r="E15">
        <v>3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19</v>
      </c>
      <c r="E19">
        <f>SUM($D$14:$E$14) - $D$14</f>
        <v>0</v>
      </c>
      <c r="F19">
        <f>IF($D$19=0,"Undefined",$E$19*100 / $D$19)</f>
        <v>0</v>
      </c>
    </row>
    <row r="20" spans="3:6" x14ac:dyDescent="0.25">
      <c r="C20" s="10">
        <v>1</v>
      </c>
      <c r="D20">
        <f>SUM($D$15:$E$15)</f>
        <v>9</v>
      </c>
      <c r="E20">
        <f>SUM($D$15:$E$15) - $E$15</f>
        <v>6</v>
      </c>
      <c r="F20">
        <f>IF($D$20=0,"Undefined",$E$20*100 / $D$20)</f>
        <v>66.666666666666671</v>
      </c>
    </row>
    <row r="21" spans="3:6" x14ac:dyDescent="0.25">
      <c r="C21" s="10" t="s">
        <v>454</v>
      </c>
      <c r="D21">
        <f>SUM($D$19:$D$20)</f>
        <v>28</v>
      </c>
      <c r="E21">
        <f>SUM($E$19:$E$20)</f>
        <v>6</v>
      </c>
      <c r="F21">
        <f>IF($D$21=0,"Undefined",$E$21*100 / $D$21)</f>
        <v>21.428571428571427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22</v>
      </c>
    </row>
    <row r="26" spans="3:6" x14ac:dyDescent="0.25">
      <c r="C26" t="s">
        <v>458</v>
      </c>
      <c r="D26">
        <v>78.571428571428569</v>
      </c>
    </row>
    <row r="27" spans="3:6" x14ac:dyDescent="0.25">
      <c r="C27" t="s">
        <v>459</v>
      </c>
      <c r="D27">
        <v>1</v>
      </c>
    </row>
    <row r="28" spans="3:6" x14ac:dyDescent="0.25">
      <c r="C28" t="s">
        <v>460</v>
      </c>
      <c r="D28">
        <v>0.33333333333333331</v>
      </c>
    </row>
    <row r="29" spans="3:6" x14ac:dyDescent="0.25">
      <c r="C29" t="s">
        <v>461</v>
      </c>
      <c r="D29">
        <v>1</v>
      </c>
    </row>
    <row r="30" spans="3:6" x14ac:dyDescent="0.25">
      <c r="C30" t="s">
        <v>462</v>
      </c>
      <c r="D30">
        <v>0.5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2'!$B$10:$B$10" display="Inputs" xr:uid="{4C829791-1405-4D70-9232-A924B9E31BA7}"/>
    <hyperlink ref="D4" location="'NB_Stored2'!$B$10:$B$10" display="PMML Model" xr:uid="{8D81AB23-B0D3-4CE7-AD57-97E79F288C2B}"/>
    <hyperlink ref="F4" location="'NB_TrainingScore2'!$B$10:$B$10" display="Training: Classification Summary" xr:uid="{6AF123DD-C975-4653-AEC9-905F968D10EC}"/>
    <hyperlink ref="H4" location="'NB_ValidationScore2'!$B$10:$B$10" display="Validation: Classification Summary" xr:uid="{40112000-CFDD-4FEE-8966-D8B80850A8AA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E781-2993-44C9-AD72-58ECF27F1179}">
  <dimension ref="B1:O172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8" t="s">
        <v>365</v>
      </c>
      <c r="N1" t="s">
        <v>524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59</v>
      </c>
      <c r="M5" s="11">
        <v>2</v>
      </c>
      <c r="N5" s="11">
        <v>7</v>
      </c>
      <c r="O5" s="11">
        <v>68</v>
      </c>
    </row>
    <row r="10" spans="2:15" ht="18" x14ac:dyDescent="0.35">
      <c r="B10" s="9" t="s">
        <v>366</v>
      </c>
    </row>
    <row r="12" spans="2:15" x14ac:dyDescent="0.25">
      <c r="B12" t="s">
        <v>367</v>
      </c>
    </row>
    <row r="13" spans="2:15" x14ac:dyDescent="0.25">
      <c r="B13" t="s">
        <v>368</v>
      </c>
    </row>
    <row r="14" spans="2:15" x14ac:dyDescent="0.25">
      <c r="B14" t="s">
        <v>369</v>
      </c>
    </row>
    <row r="15" spans="2:15" x14ac:dyDescent="0.25">
      <c r="B15" t="s">
        <v>370</v>
      </c>
    </row>
    <row r="16" spans="2:15" x14ac:dyDescent="0.25">
      <c r="B16" t="s">
        <v>523</v>
      </c>
    </row>
    <row r="17" spans="2:2" x14ac:dyDescent="0.25">
      <c r="B17" t="s">
        <v>372</v>
      </c>
    </row>
    <row r="18" spans="2:2" x14ac:dyDescent="0.25">
      <c r="B18" t="s">
        <v>373</v>
      </c>
    </row>
    <row r="19" spans="2:2" x14ac:dyDescent="0.25">
      <c r="B19" t="s">
        <v>374</v>
      </c>
    </row>
    <row r="20" spans="2:2" x14ac:dyDescent="0.25">
      <c r="B20" t="s">
        <v>375</v>
      </c>
    </row>
    <row r="21" spans="2:2" x14ac:dyDescent="0.25">
      <c r="B21" t="s">
        <v>376</v>
      </c>
    </row>
    <row r="22" spans="2:2" x14ac:dyDescent="0.25">
      <c r="B22" t="s">
        <v>377</v>
      </c>
    </row>
    <row r="23" spans="2:2" x14ac:dyDescent="0.25">
      <c r="B23" t="s">
        <v>378</v>
      </c>
    </row>
    <row r="24" spans="2:2" x14ac:dyDescent="0.25">
      <c r="B24" t="s">
        <v>379</v>
      </c>
    </row>
    <row r="25" spans="2:2" x14ac:dyDescent="0.25">
      <c r="B25" t="s">
        <v>380</v>
      </c>
    </row>
    <row r="26" spans="2:2" x14ac:dyDescent="0.25">
      <c r="B26" t="s">
        <v>381</v>
      </c>
    </row>
    <row r="27" spans="2:2" x14ac:dyDescent="0.25">
      <c r="B27" t="s">
        <v>382</v>
      </c>
    </row>
    <row r="28" spans="2:2" x14ac:dyDescent="0.25">
      <c r="B28" t="s">
        <v>383</v>
      </c>
    </row>
    <row r="29" spans="2:2" x14ac:dyDescent="0.25">
      <c r="B29" t="s">
        <v>384</v>
      </c>
    </row>
    <row r="30" spans="2:2" x14ac:dyDescent="0.25">
      <c r="B30" t="s">
        <v>385</v>
      </c>
    </row>
    <row r="31" spans="2:2" x14ac:dyDescent="0.25">
      <c r="B31" t="s">
        <v>386</v>
      </c>
    </row>
    <row r="32" spans="2:2" x14ac:dyDescent="0.25">
      <c r="B32" t="s">
        <v>387</v>
      </c>
    </row>
    <row r="33" spans="2:2" x14ac:dyDescent="0.25">
      <c r="B33" t="s">
        <v>389</v>
      </c>
    </row>
    <row r="34" spans="2:2" x14ac:dyDescent="0.25">
      <c r="B34" t="s">
        <v>390</v>
      </c>
    </row>
    <row r="35" spans="2:2" x14ac:dyDescent="0.25">
      <c r="B35" t="s">
        <v>391</v>
      </c>
    </row>
    <row r="36" spans="2:2" x14ac:dyDescent="0.25">
      <c r="B36" t="s">
        <v>392</v>
      </c>
    </row>
    <row r="37" spans="2:2" x14ac:dyDescent="0.25">
      <c r="B37" t="s">
        <v>393</v>
      </c>
    </row>
    <row r="38" spans="2:2" x14ac:dyDescent="0.25">
      <c r="B38" t="s">
        <v>394</v>
      </c>
    </row>
    <row r="39" spans="2:2" x14ac:dyDescent="0.25">
      <c r="B39" t="s">
        <v>395</v>
      </c>
    </row>
    <row r="40" spans="2:2" x14ac:dyDescent="0.25">
      <c r="B40" t="s">
        <v>396</v>
      </c>
    </row>
    <row r="41" spans="2:2" x14ac:dyDescent="0.25">
      <c r="B41" t="s">
        <v>525</v>
      </c>
    </row>
    <row r="42" spans="2:2" x14ac:dyDescent="0.25">
      <c r="B42" t="s">
        <v>526</v>
      </c>
    </row>
    <row r="43" spans="2:2" x14ac:dyDescent="0.25">
      <c r="B43" t="s">
        <v>399</v>
      </c>
    </row>
    <row r="44" spans="2:2" x14ac:dyDescent="0.25">
      <c r="B44" t="s">
        <v>400</v>
      </c>
    </row>
    <row r="45" spans="2:2" x14ac:dyDescent="0.25">
      <c r="B45" t="s">
        <v>401</v>
      </c>
    </row>
    <row r="46" spans="2:2" x14ac:dyDescent="0.25">
      <c r="B46" t="s">
        <v>402</v>
      </c>
    </row>
    <row r="47" spans="2:2" x14ac:dyDescent="0.25">
      <c r="B47" t="s">
        <v>403</v>
      </c>
    </row>
    <row r="48" spans="2:2" x14ac:dyDescent="0.25">
      <c r="B48" t="s">
        <v>404</v>
      </c>
    </row>
    <row r="49" spans="2:2" x14ac:dyDescent="0.25">
      <c r="B49" t="s">
        <v>527</v>
      </c>
    </row>
    <row r="50" spans="2:2" x14ac:dyDescent="0.25">
      <c r="B50" t="s">
        <v>528</v>
      </c>
    </row>
    <row r="51" spans="2:2" x14ac:dyDescent="0.25">
      <c r="B51" t="s">
        <v>407</v>
      </c>
    </row>
    <row r="52" spans="2:2" x14ac:dyDescent="0.25">
      <c r="B52" t="s">
        <v>408</v>
      </c>
    </row>
    <row r="53" spans="2:2" x14ac:dyDescent="0.25">
      <c r="B53" t="s">
        <v>409</v>
      </c>
    </row>
    <row r="54" spans="2:2" x14ac:dyDescent="0.25">
      <c r="B54" t="s">
        <v>404</v>
      </c>
    </row>
    <row r="55" spans="2:2" x14ac:dyDescent="0.25">
      <c r="B55" t="s">
        <v>529</v>
      </c>
    </row>
    <row r="56" spans="2:2" x14ac:dyDescent="0.25">
      <c r="B56" t="s">
        <v>411</v>
      </c>
    </row>
    <row r="57" spans="2:2" x14ac:dyDescent="0.25">
      <c r="B57" t="s">
        <v>407</v>
      </c>
    </row>
    <row r="58" spans="2:2" x14ac:dyDescent="0.25">
      <c r="B58" t="s">
        <v>408</v>
      </c>
    </row>
    <row r="59" spans="2:2" x14ac:dyDescent="0.25">
      <c r="B59" t="s">
        <v>412</v>
      </c>
    </row>
    <row r="60" spans="2:2" x14ac:dyDescent="0.25">
      <c r="B60" t="s">
        <v>404</v>
      </c>
    </row>
    <row r="61" spans="2:2" x14ac:dyDescent="0.25">
      <c r="B61" t="s">
        <v>423</v>
      </c>
    </row>
    <row r="62" spans="2:2" x14ac:dyDescent="0.25">
      <c r="B62" t="s">
        <v>440</v>
      </c>
    </row>
    <row r="63" spans="2:2" x14ac:dyDescent="0.25">
      <c r="B63" t="s">
        <v>407</v>
      </c>
    </row>
    <row r="64" spans="2:2" x14ac:dyDescent="0.25">
      <c r="B64" t="s">
        <v>408</v>
      </c>
    </row>
    <row r="65" spans="2:2" x14ac:dyDescent="0.25">
      <c r="B65" t="s">
        <v>415</v>
      </c>
    </row>
    <row r="66" spans="2:2" x14ac:dyDescent="0.25">
      <c r="B66" t="s">
        <v>416</v>
      </c>
    </row>
    <row r="67" spans="2:2" x14ac:dyDescent="0.25">
      <c r="B67" t="s">
        <v>412</v>
      </c>
    </row>
    <row r="68" spans="2:2" x14ac:dyDescent="0.25">
      <c r="B68" t="s">
        <v>404</v>
      </c>
    </row>
    <row r="69" spans="2:2" x14ac:dyDescent="0.25">
      <c r="B69" t="s">
        <v>507</v>
      </c>
    </row>
    <row r="70" spans="2:2" x14ac:dyDescent="0.25">
      <c r="B70" t="s">
        <v>530</v>
      </c>
    </row>
    <row r="71" spans="2:2" x14ac:dyDescent="0.25">
      <c r="B71" t="s">
        <v>407</v>
      </c>
    </row>
    <row r="72" spans="2:2" x14ac:dyDescent="0.25">
      <c r="B72" t="s">
        <v>408</v>
      </c>
    </row>
    <row r="73" spans="2:2" x14ac:dyDescent="0.25">
      <c r="B73" t="s">
        <v>403</v>
      </c>
    </row>
    <row r="74" spans="2:2" x14ac:dyDescent="0.25">
      <c r="B74" t="s">
        <v>404</v>
      </c>
    </row>
    <row r="75" spans="2:2" x14ac:dyDescent="0.25">
      <c r="B75" t="s">
        <v>405</v>
      </c>
    </row>
    <row r="76" spans="2:2" x14ac:dyDescent="0.25">
      <c r="B76" t="s">
        <v>406</v>
      </c>
    </row>
    <row r="77" spans="2:2" x14ac:dyDescent="0.25">
      <c r="B77" t="s">
        <v>407</v>
      </c>
    </row>
    <row r="78" spans="2:2" x14ac:dyDescent="0.25">
      <c r="B78" t="s">
        <v>408</v>
      </c>
    </row>
    <row r="79" spans="2:2" x14ac:dyDescent="0.25">
      <c r="B79" t="s">
        <v>409</v>
      </c>
    </row>
    <row r="80" spans="2:2" x14ac:dyDescent="0.25">
      <c r="B80" t="s">
        <v>404</v>
      </c>
    </row>
    <row r="81" spans="2:2" x14ac:dyDescent="0.25">
      <c r="B81" t="s">
        <v>423</v>
      </c>
    </row>
    <row r="82" spans="2:2" x14ac:dyDescent="0.25">
      <c r="B82" t="s">
        <v>411</v>
      </c>
    </row>
    <row r="83" spans="2:2" x14ac:dyDescent="0.25">
      <c r="B83" t="s">
        <v>407</v>
      </c>
    </row>
    <row r="84" spans="2:2" x14ac:dyDescent="0.25">
      <c r="B84" t="s">
        <v>408</v>
      </c>
    </row>
    <row r="85" spans="2:2" x14ac:dyDescent="0.25">
      <c r="B85" t="s">
        <v>422</v>
      </c>
    </row>
    <row r="86" spans="2:2" x14ac:dyDescent="0.25">
      <c r="B86" t="s">
        <v>404</v>
      </c>
    </row>
    <row r="87" spans="2:2" x14ac:dyDescent="0.25">
      <c r="B87" t="s">
        <v>531</v>
      </c>
    </row>
    <row r="88" spans="2:2" x14ac:dyDescent="0.25">
      <c r="B88" t="s">
        <v>411</v>
      </c>
    </row>
    <row r="89" spans="2:2" x14ac:dyDescent="0.25">
      <c r="B89" t="s">
        <v>407</v>
      </c>
    </row>
    <row r="90" spans="2:2" x14ac:dyDescent="0.25">
      <c r="B90" t="s">
        <v>408</v>
      </c>
    </row>
    <row r="91" spans="2:2" x14ac:dyDescent="0.25">
      <c r="B91" t="s">
        <v>415</v>
      </c>
    </row>
    <row r="92" spans="2:2" x14ac:dyDescent="0.25">
      <c r="B92" t="s">
        <v>424</v>
      </c>
    </row>
    <row r="93" spans="2:2" x14ac:dyDescent="0.25">
      <c r="B93" t="s">
        <v>412</v>
      </c>
    </row>
    <row r="94" spans="2:2" x14ac:dyDescent="0.25">
      <c r="B94" t="s">
        <v>404</v>
      </c>
    </row>
    <row r="95" spans="2:2" x14ac:dyDescent="0.25">
      <c r="B95" t="s">
        <v>532</v>
      </c>
    </row>
    <row r="96" spans="2:2" x14ac:dyDescent="0.25">
      <c r="B96" t="s">
        <v>440</v>
      </c>
    </row>
    <row r="97" spans="2:2" x14ac:dyDescent="0.25">
      <c r="B97" t="s">
        <v>407</v>
      </c>
    </row>
    <row r="98" spans="2:2" x14ac:dyDescent="0.25">
      <c r="B98" t="s">
        <v>408</v>
      </c>
    </row>
    <row r="99" spans="2:2" x14ac:dyDescent="0.25">
      <c r="B99" t="s">
        <v>403</v>
      </c>
    </row>
    <row r="100" spans="2:2" x14ac:dyDescent="0.25">
      <c r="B100" t="s">
        <v>404</v>
      </c>
    </row>
    <row r="101" spans="2:2" x14ac:dyDescent="0.25">
      <c r="B101" t="s">
        <v>432</v>
      </c>
    </row>
    <row r="102" spans="2:2" x14ac:dyDescent="0.25">
      <c r="B102" t="s">
        <v>533</v>
      </c>
    </row>
    <row r="103" spans="2:2" x14ac:dyDescent="0.25">
      <c r="B103" t="s">
        <v>407</v>
      </c>
    </row>
    <row r="104" spans="2:2" x14ac:dyDescent="0.25">
      <c r="B104" t="s">
        <v>408</v>
      </c>
    </row>
    <row r="105" spans="2:2" x14ac:dyDescent="0.25">
      <c r="B105" t="s">
        <v>409</v>
      </c>
    </row>
    <row r="106" spans="2:2" x14ac:dyDescent="0.25">
      <c r="B106" t="s">
        <v>404</v>
      </c>
    </row>
    <row r="107" spans="2:2" x14ac:dyDescent="0.25">
      <c r="B107" t="s">
        <v>427</v>
      </c>
    </row>
    <row r="108" spans="2:2" x14ac:dyDescent="0.25">
      <c r="B108" t="s">
        <v>428</v>
      </c>
    </row>
    <row r="109" spans="2:2" x14ac:dyDescent="0.25">
      <c r="B109" t="s">
        <v>407</v>
      </c>
    </row>
    <row r="110" spans="2:2" x14ac:dyDescent="0.25">
      <c r="B110" t="s">
        <v>408</v>
      </c>
    </row>
    <row r="111" spans="2:2" x14ac:dyDescent="0.25">
      <c r="B111" t="s">
        <v>422</v>
      </c>
    </row>
    <row r="112" spans="2:2" x14ac:dyDescent="0.25">
      <c r="B112" t="s">
        <v>404</v>
      </c>
    </row>
    <row r="113" spans="2:2" x14ac:dyDescent="0.25">
      <c r="B113" t="s">
        <v>429</v>
      </c>
    </row>
    <row r="114" spans="2:2" x14ac:dyDescent="0.25">
      <c r="B114" t="s">
        <v>512</v>
      </c>
    </row>
    <row r="115" spans="2:2" x14ac:dyDescent="0.25">
      <c r="B115" t="s">
        <v>407</v>
      </c>
    </row>
    <row r="116" spans="2:2" x14ac:dyDescent="0.25">
      <c r="B116" t="s">
        <v>408</v>
      </c>
    </row>
    <row r="117" spans="2:2" x14ac:dyDescent="0.25">
      <c r="B117" t="s">
        <v>415</v>
      </c>
    </row>
    <row r="118" spans="2:2" x14ac:dyDescent="0.25">
      <c r="B118" t="s">
        <v>431</v>
      </c>
    </row>
    <row r="119" spans="2:2" x14ac:dyDescent="0.25">
      <c r="B119" t="s">
        <v>403</v>
      </c>
    </row>
    <row r="120" spans="2:2" x14ac:dyDescent="0.25">
      <c r="B120" t="s">
        <v>404</v>
      </c>
    </row>
    <row r="121" spans="2:2" x14ac:dyDescent="0.25">
      <c r="B121" t="s">
        <v>534</v>
      </c>
    </row>
    <row r="122" spans="2:2" x14ac:dyDescent="0.25">
      <c r="B122" t="s">
        <v>533</v>
      </c>
    </row>
    <row r="123" spans="2:2" x14ac:dyDescent="0.25">
      <c r="B123" t="s">
        <v>407</v>
      </c>
    </row>
    <row r="124" spans="2:2" x14ac:dyDescent="0.25">
      <c r="B124" t="s">
        <v>408</v>
      </c>
    </row>
    <row r="125" spans="2:2" x14ac:dyDescent="0.25">
      <c r="B125" t="s">
        <v>412</v>
      </c>
    </row>
    <row r="126" spans="2:2" x14ac:dyDescent="0.25">
      <c r="B126" t="s">
        <v>404</v>
      </c>
    </row>
    <row r="127" spans="2:2" x14ac:dyDescent="0.25">
      <c r="B127" t="s">
        <v>535</v>
      </c>
    </row>
    <row r="128" spans="2:2" x14ac:dyDescent="0.25">
      <c r="B128" t="s">
        <v>411</v>
      </c>
    </row>
    <row r="129" spans="2:2" x14ac:dyDescent="0.25">
      <c r="B129" t="s">
        <v>407</v>
      </c>
    </row>
    <row r="130" spans="2:2" x14ac:dyDescent="0.25">
      <c r="B130" t="s">
        <v>408</v>
      </c>
    </row>
    <row r="131" spans="2:2" x14ac:dyDescent="0.25">
      <c r="B131" t="s">
        <v>409</v>
      </c>
    </row>
    <row r="132" spans="2:2" x14ac:dyDescent="0.25">
      <c r="B132" t="s">
        <v>404</v>
      </c>
    </row>
    <row r="133" spans="2:2" x14ac:dyDescent="0.25">
      <c r="B133" t="s">
        <v>417</v>
      </c>
    </row>
    <row r="134" spans="2:2" x14ac:dyDescent="0.25">
      <c r="B134" t="s">
        <v>435</v>
      </c>
    </row>
    <row r="135" spans="2:2" x14ac:dyDescent="0.25">
      <c r="B135" t="s">
        <v>407</v>
      </c>
    </row>
    <row r="136" spans="2:2" x14ac:dyDescent="0.25">
      <c r="B136" t="s">
        <v>408</v>
      </c>
    </row>
    <row r="137" spans="2:2" x14ac:dyDescent="0.25">
      <c r="B137" t="s">
        <v>422</v>
      </c>
    </row>
    <row r="138" spans="2:2" x14ac:dyDescent="0.25">
      <c r="B138" t="s">
        <v>404</v>
      </c>
    </row>
    <row r="139" spans="2:2" x14ac:dyDescent="0.25">
      <c r="B139" t="s">
        <v>429</v>
      </c>
    </row>
    <row r="140" spans="2:2" x14ac:dyDescent="0.25">
      <c r="B140" t="s">
        <v>430</v>
      </c>
    </row>
    <row r="141" spans="2:2" x14ac:dyDescent="0.25">
      <c r="B141" t="s">
        <v>407</v>
      </c>
    </row>
    <row r="142" spans="2:2" x14ac:dyDescent="0.25">
      <c r="B142" t="s">
        <v>408</v>
      </c>
    </row>
    <row r="143" spans="2:2" x14ac:dyDescent="0.25">
      <c r="B143" t="s">
        <v>415</v>
      </c>
    </row>
    <row r="144" spans="2:2" x14ac:dyDescent="0.25">
      <c r="B144" t="s">
        <v>436</v>
      </c>
    </row>
    <row r="145" spans="2:2" x14ac:dyDescent="0.25">
      <c r="B145" t="s">
        <v>403</v>
      </c>
    </row>
    <row r="146" spans="2:2" x14ac:dyDescent="0.25">
      <c r="B146" t="s">
        <v>404</v>
      </c>
    </row>
    <row r="147" spans="2:2" x14ac:dyDescent="0.25">
      <c r="B147" t="s">
        <v>536</v>
      </c>
    </row>
    <row r="148" spans="2:2" x14ac:dyDescent="0.25">
      <c r="B148" t="s">
        <v>537</v>
      </c>
    </row>
    <row r="149" spans="2:2" x14ac:dyDescent="0.25">
      <c r="B149" t="s">
        <v>407</v>
      </c>
    </row>
    <row r="150" spans="2:2" x14ac:dyDescent="0.25">
      <c r="B150" t="s">
        <v>408</v>
      </c>
    </row>
    <row r="151" spans="2:2" x14ac:dyDescent="0.25">
      <c r="B151" t="s">
        <v>412</v>
      </c>
    </row>
    <row r="152" spans="2:2" x14ac:dyDescent="0.25">
      <c r="B152" t="s">
        <v>404</v>
      </c>
    </row>
    <row r="153" spans="2:2" x14ac:dyDescent="0.25">
      <c r="B153" t="s">
        <v>434</v>
      </c>
    </row>
    <row r="154" spans="2:2" x14ac:dyDescent="0.25">
      <c r="B154" t="s">
        <v>435</v>
      </c>
    </row>
    <row r="155" spans="2:2" x14ac:dyDescent="0.25">
      <c r="B155" t="s">
        <v>407</v>
      </c>
    </row>
    <row r="156" spans="2:2" x14ac:dyDescent="0.25">
      <c r="B156" t="s">
        <v>408</v>
      </c>
    </row>
    <row r="157" spans="2:2" x14ac:dyDescent="0.25">
      <c r="B157" t="s">
        <v>409</v>
      </c>
    </row>
    <row r="158" spans="2:2" x14ac:dyDescent="0.25">
      <c r="B158" t="s">
        <v>404</v>
      </c>
    </row>
    <row r="159" spans="2:2" x14ac:dyDescent="0.25">
      <c r="B159" t="s">
        <v>429</v>
      </c>
    </row>
    <row r="160" spans="2:2" x14ac:dyDescent="0.25">
      <c r="B160" t="s">
        <v>428</v>
      </c>
    </row>
    <row r="161" spans="2:2" x14ac:dyDescent="0.25">
      <c r="B161" t="s">
        <v>407</v>
      </c>
    </row>
    <row r="162" spans="2:2" x14ac:dyDescent="0.25">
      <c r="B162" t="s">
        <v>408</v>
      </c>
    </row>
    <row r="163" spans="2:2" x14ac:dyDescent="0.25">
      <c r="B163" t="s">
        <v>415</v>
      </c>
    </row>
    <row r="164" spans="2:2" x14ac:dyDescent="0.25">
      <c r="B164" t="s">
        <v>441</v>
      </c>
    </row>
    <row r="165" spans="2:2" x14ac:dyDescent="0.25">
      <c r="B165" t="s">
        <v>442</v>
      </c>
    </row>
    <row r="166" spans="2:2" x14ac:dyDescent="0.25">
      <c r="B166" t="s">
        <v>404</v>
      </c>
    </row>
    <row r="167" spans="2:2" x14ac:dyDescent="0.25">
      <c r="B167" t="s">
        <v>538</v>
      </c>
    </row>
    <row r="168" spans="2:2" x14ac:dyDescent="0.25">
      <c r="B168" t="s">
        <v>539</v>
      </c>
    </row>
    <row r="169" spans="2:2" x14ac:dyDescent="0.25">
      <c r="B169" t="s">
        <v>407</v>
      </c>
    </row>
    <row r="170" spans="2:2" x14ac:dyDescent="0.25">
      <c r="B170" t="s">
        <v>445</v>
      </c>
    </row>
    <row r="171" spans="2:2" x14ac:dyDescent="0.25">
      <c r="B171" t="s">
        <v>446</v>
      </c>
    </row>
    <row r="172" spans="2:2" x14ac:dyDescent="0.25">
      <c r="B172" t="s">
        <v>447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NB_Output2'!$B$10:$B$10" display="Inputs" xr:uid="{1C8F9AD1-B849-45A8-8B4A-5BCC7AF4CD2F}"/>
    <hyperlink ref="D4" location="'NB_Stored2'!$B$10:$B$10" display="PMML Model" xr:uid="{F0220276-AC90-4DBA-B4A9-04E0AAA28278}"/>
    <hyperlink ref="F4" location="'NB_TrainingScore2'!$B$10:$B$10" display="Training: Classification Summary" xr:uid="{3D9F5AD6-FEAB-4827-80BC-E71EAC307205}"/>
    <hyperlink ref="H4" location="'NB_ValidationScore2'!$B$10:$B$10" display="Validation: Classification Summary" xr:uid="{4C83A6C1-05A4-4D57-A6DD-2C2057BD093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169E-93E4-4D1C-9B1C-E9A8BF10552E}">
  <dimension ref="B1:CV176"/>
  <sheetViews>
    <sheetView showGridLines="0" topLeftCell="A17" workbookViewId="0">
      <selection activeCell="F49" sqref="F49"/>
    </sheetView>
  </sheetViews>
  <sheetFormatPr defaultRowHeight="13.2" x14ac:dyDescent="0.25"/>
  <cols>
    <col min="3" max="3" width="11.5546875" customWidth="1"/>
    <col min="4" max="4" width="20.109375" customWidth="1"/>
    <col min="5" max="9" width="14.5546875" customWidth="1"/>
    <col min="10" max="10" width="29.109375" bestFit="1" customWidth="1"/>
  </cols>
  <sheetData>
    <row r="1" spans="2:100" ht="18" x14ac:dyDescent="0.35">
      <c r="B1" s="8" t="s">
        <v>348</v>
      </c>
      <c r="N1" t="s">
        <v>498</v>
      </c>
      <c r="CV1" s="14" t="s">
        <v>499</v>
      </c>
    </row>
    <row r="3" spans="2:100" ht="15.6" x14ac:dyDescent="0.3">
      <c r="B3" s="22" t="s">
        <v>172</v>
      </c>
      <c r="C3" s="23"/>
      <c r="D3" s="23"/>
      <c r="E3" s="23"/>
      <c r="F3" s="23"/>
      <c r="G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349</v>
      </c>
      <c r="E4" s="21"/>
      <c r="F4" s="21" t="s">
        <v>360</v>
      </c>
      <c r="G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26</v>
      </c>
      <c r="K5" s="11">
        <v>3</v>
      </c>
      <c r="L5" s="11">
        <v>2</v>
      </c>
      <c r="M5" s="11">
        <v>31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355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356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140</v>
      </c>
      <c r="G16" s="17"/>
      <c r="H16" s="17"/>
      <c r="I16" s="17"/>
    </row>
    <row r="18" spans="2:11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</row>
    <row r="19" spans="2:11" ht="13.8" x14ac:dyDescent="0.3">
      <c r="C19" s="18" t="s">
        <v>181</v>
      </c>
      <c r="D19" s="18"/>
      <c r="E19" s="19"/>
      <c r="F19" s="17">
        <v>6</v>
      </c>
      <c r="G19" s="17"/>
      <c r="H19" s="17"/>
      <c r="I19" s="17"/>
      <c r="J19" s="17"/>
      <c r="K19" s="17"/>
    </row>
    <row r="20" spans="2:11" ht="13.8" x14ac:dyDescent="0.3">
      <c r="C20" s="18" t="s">
        <v>182</v>
      </c>
      <c r="D20" s="18"/>
      <c r="E20" s="19"/>
      <c r="F20" s="11" t="s">
        <v>51</v>
      </c>
      <c r="G20" s="11" t="s">
        <v>203</v>
      </c>
      <c r="H20" s="11" t="s">
        <v>204</v>
      </c>
      <c r="I20" s="11" t="s">
        <v>205</v>
      </c>
      <c r="J20" s="11" t="s">
        <v>206</v>
      </c>
      <c r="K20" s="11" t="s">
        <v>207</v>
      </c>
    </row>
    <row r="22" spans="2:11" ht="15.6" x14ac:dyDescent="0.3">
      <c r="C22" s="25" t="s">
        <v>350</v>
      </c>
      <c r="D22" s="25"/>
      <c r="E22" s="25"/>
      <c r="F22" s="25"/>
      <c r="G22" s="25"/>
      <c r="H22" s="25"/>
      <c r="I22" s="25"/>
    </row>
    <row r="23" spans="2:11" ht="13.8" x14ac:dyDescent="0.3">
      <c r="C23" s="18" t="s">
        <v>351</v>
      </c>
      <c r="D23" s="18"/>
      <c r="E23" s="19"/>
      <c r="F23" s="17" t="s">
        <v>357</v>
      </c>
      <c r="G23" s="17"/>
      <c r="H23" s="17"/>
      <c r="I23" s="17"/>
    </row>
    <row r="24" spans="2:11" ht="13.8" x14ac:dyDescent="0.3">
      <c r="C24" s="18" t="s">
        <v>352</v>
      </c>
      <c r="D24" s="18"/>
      <c r="E24" s="19"/>
      <c r="F24" s="17">
        <v>12345</v>
      </c>
      <c r="G24" s="17"/>
      <c r="H24" s="17"/>
      <c r="I24" s="17"/>
    </row>
    <row r="25" spans="2:11" ht="13.8" x14ac:dyDescent="0.3">
      <c r="C25" s="18" t="s">
        <v>353</v>
      </c>
      <c r="D25" s="18"/>
      <c r="E25" s="19"/>
      <c r="F25" s="17">
        <v>0.7</v>
      </c>
      <c r="G25" s="17"/>
      <c r="H25" s="17"/>
      <c r="I25" s="17"/>
    </row>
    <row r="26" spans="2:11" ht="13.8" x14ac:dyDescent="0.3">
      <c r="C26" s="18" t="s">
        <v>354</v>
      </c>
      <c r="D26" s="18"/>
      <c r="E26" s="19"/>
      <c r="F26" s="17">
        <v>0.3</v>
      </c>
      <c r="G26" s="17"/>
      <c r="H26" s="17"/>
      <c r="I26" s="17"/>
    </row>
    <row r="28" spans="2:11" ht="18" x14ac:dyDescent="0.35">
      <c r="B28" s="9" t="s">
        <v>349</v>
      </c>
    </row>
    <row r="30" spans="2:11" x14ac:dyDescent="0.25">
      <c r="C30" s="10" t="s">
        <v>361</v>
      </c>
      <c r="D30" t="s">
        <v>362</v>
      </c>
    </row>
    <row r="31" spans="2:11" x14ac:dyDescent="0.25">
      <c r="C31" s="10" t="s">
        <v>363</v>
      </c>
      <c r="D31">
        <v>98</v>
      </c>
    </row>
    <row r="32" spans="2:11" x14ac:dyDescent="0.25">
      <c r="C32" s="10" t="s">
        <v>364</v>
      </c>
      <c r="D32">
        <v>42</v>
      </c>
    </row>
    <row r="34" spans="2:9" ht="18" x14ac:dyDescent="0.35">
      <c r="B34" s="9" t="s">
        <v>360</v>
      </c>
    </row>
    <row r="36" spans="2:9" x14ac:dyDescent="0.25">
      <c r="C36" s="10" t="s">
        <v>202</v>
      </c>
      <c r="D36" t="s">
        <v>51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2:9" x14ac:dyDescent="0.25">
      <c r="C37" s="10" t="s">
        <v>208</v>
      </c>
      <c r="D37" s="15">
        <v>0</v>
      </c>
      <c r="E37" s="15">
        <v>1</v>
      </c>
      <c r="F37" s="15">
        <v>0</v>
      </c>
      <c r="G37" s="15">
        <v>0</v>
      </c>
      <c r="H37" s="15">
        <v>1</v>
      </c>
      <c r="I37">
        <v>1</v>
      </c>
    </row>
    <row r="38" spans="2:9" x14ac:dyDescent="0.25">
      <c r="C38" s="10" t="s">
        <v>212</v>
      </c>
      <c r="D38" s="15">
        <v>0</v>
      </c>
      <c r="E38" s="15">
        <v>2</v>
      </c>
      <c r="F38" s="15">
        <v>1</v>
      </c>
      <c r="G38" s="15">
        <v>0</v>
      </c>
      <c r="H38" s="15">
        <v>0</v>
      </c>
      <c r="I38">
        <v>0</v>
      </c>
    </row>
    <row r="39" spans="2:9" x14ac:dyDescent="0.25">
      <c r="C39" s="10" t="s">
        <v>215</v>
      </c>
      <c r="D39" s="15">
        <v>0</v>
      </c>
      <c r="E39" s="15">
        <v>2</v>
      </c>
      <c r="F39" s="15">
        <v>2</v>
      </c>
      <c r="G39" s="15">
        <v>1</v>
      </c>
      <c r="H39" s="15">
        <v>1</v>
      </c>
      <c r="I39">
        <v>1</v>
      </c>
    </row>
    <row r="40" spans="2:9" x14ac:dyDescent="0.25">
      <c r="C40" s="10" t="s">
        <v>222</v>
      </c>
      <c r="D40" s="15">
        <v>0</v>
      </c>
      <c r="E40" s="15">
        <v>1</v>
      </c>
      <c r="F40" s="15">
        <v>0</v>
      </c>
      <c r="G40" s="15">
        <v>1</v>
      </c>
      <c r="H40" s="15">
        <v>0</v>
      </c>
      <c r="I40">
        <v>1</v>
      </c>
    </row>
    <row r="41" spans="2:9" x14ac:dyDescent="0.25">
      <c r="C41" s="10" t="s">
        <v>225</v>
      </c>
      <c r="D41" s="15">
        <v>0</v>
      </c>
      <c r="E41" s="15">
        <v>1</v>
      </c>
      <c r="F41" s="15">
        <v>1</v>
      </c>
      <c r="G41" s="15">
        <v>0</v>
      </c>
      <c r="H41" s="15">
        <v>1</v>
      </c>
      <c r="I41">
        <v>1</v>
      </c>
    </row>
    <row r="42" spans="2:9" x14ac:dyDescent="0.25">
      <c r="C42" s="10" t="s">
        <v>227</v>
      </c>
      <c r="D42" s="15">
        <v>0</v>
      </c>
      <c r="E42" s="15">
        <v>0</v>
      </c>
      <c r="F42" s="15">
        <v>1</v>
      </c>
      <c r="G42" s="15">
        <v>2</v>
      </c>
      <c r="H42" s="15">
        <v>1</v>
      </c>
      <c r="I42">
        <v>1</v>
      </c>
    </row>
    <row r="43" spans="2:9" x14ac:dyDescent="0.25">
      <c r="C43" s="10" t="s">
        <v>228</v>
      </c>
      <c r="D43" s="15">
        <v>1</v>
      </c>
      <c r="E43" s="15">
        <v>1</v>
      </c>
      <c r="F43" s="15">
        <v>0</v>
      </c>
      <c r="G43" s="15">
        <v>0</v>
      </c>
      <c r="H43" s="15">
        <v>2</v>
      </c>
      <c r="I43">
        <v>1</v>
      </c>
    </row>
    <row r="44" spans="2:9" x14ac:dyDescent="0.25">
      <c r="C44" s="10" t="s">
        <v>229</v>
      </c>
      <c r="D44" s="15">
        <v>1</v>
      </c>
      <c r="E44" s="15">
        <v>1</v>
      </c>
      <c r="F44" s="15">
        <v>1</v>
      </c>
      <c r="G44" s="15">
        <v>0</v>
      </c>
      <c r="H44" s="15">
        <v>1</v>
      </c>
      <c r="I44">
        <v>1</v>
      </c>
    </row>
    <row r="45" spans="2:9" x14ac:dyDescent="0.25">
      <c r="C45" s="10" t="s">
        <v>230</v>
      </c>
      <c r="D45" s="15">
        <v>1</v>
      </c>
      <c r="E45" s="15">
        <v>1</v>
      </c>
      <c r="F45" s="15">
        <v>1</v>
      </c>
      <c r="G45" s="15">
        <v>2</v>
      </c>
      <c r="H45" s="15">
        <v>2</v>
      </c>
      <c r="I45">
        <v>1</v>
      </c>
    </row>
    <row r="46" spans="2:9" x14ac:dyDescent="0.25">
      <c r="C46" s="10" t="s">
        <v>232</v>
      </c>
      <c r="D46" s="15">
        <v>1</v>
      </c>
      <c r="E46" s="15">
        <v>0</v>
      </c>
      <c r="F46" s="15">
        <v>0</v>
      </c>
      <c r="G46" s="15">
        <v>1</v>
      </c>
      <c r="H46" s="15">
        <v>2</v>
      </c>
      <c r="I46">
        <v>1</v>
      </c>
    </row>
    <row r="47" spans="2:9" x14ac:dyDescent="0.25">
      <c r="C47" s="10" t="s">
        <v>233</v>
      </c>
      <c r="D47" s="15">
        <v>1</v>
      </c>
      <c r="E47" s="15">
        <v>0</v>
      </c>
      <c r="F47" s="15">
        <v>0</v>
      </c>
      <c r="G47" s="15">
        <v>3</v>
      </c>
      <c r="H47" s="15">
        <v>1</v>
      </c>
      <c r="I47">
        <v>0</v>
      </c>
    </row>
    <row r="48" spans="2:9" x14ac:dyDescent="0.25">
      <c r="C48" s="10" t="s">
        <v>235</v>
      </c>
      <c r="D48" s="15">
        <v>1</v>
      </c>
      <c r="E48" s="15">
        <v>1</v>
      </c>
      <c r="F48" s="15">
        <v>0</v>
      </c>
      <c r="G48" s="15">
        <v>1</v>
      </c>
      <c r="H48" s="15">
        <v>1</v>
      </c>
      <c r="I48">
        <v>1</v>
      </c>
    </row>
    <row r="49" spans="3:9" x14ac:dyDescent="0.25">
      <c r="C49" s="10" t="s">
        <v>236</v>
      </c>
      <c r="D49" s="15">
        <v>1</v>
      </c>
      <c r="E49" s="15">
        <v>1</v>
      </c>
      <c r="F49" s="15">
        <v>0</v>
      </c>
      <c r="G49" s="15">
        <v>1</v>
      </c>
      <c r="H49" s="15">
        <v>2</v>
      </c>
      <c r="I49">
        <v>1</v>
      </c>
    </row>
    <row r="50" spans="3:9" x14ac:dyDescent="0.25">
      <c r="C50" s="10" t="s">
        <v>239</v>
      </c>
      <c r="D50" s="15">
        <v>1</v>
      </c>
      <c r="E50" s="15">
        <v>1</v>
      </c>
      <c r="F50" s="15">
        <v>1</v>
      </c>
      <c r="G50" s="15">
        <v>1</v>
      </c>
      <c r="H50" s="15">
        <v>1</v>
      </c>
      <c r="I50">
        <v>0</v>
      </c>
    </row>
    <row r="51" spans="3:9" x14ac:dyDescent="0.25">
      <c r="C51" s="10" t="s">
        <v>240</v>
      </c>
      <c r="D51" s="15">
        <v>1</v>
      </c>
      <c r="E51" s="15">
        <v>0</v>
      </c>
      <c r="F51" s="15">
        <v>1</v>
      </c>
      <c r="G51" s="15">
        <v>1</v>
      </c>
      <c r="H51" s="15">
        <v>2</v>
      </c>
      <c r="I51">
        <v>1</v>
      </c>
    </row>
    <row r="52" spans="3:9" x14ac:dyDescent="0.25">
      <c r="C52" s="10" t="s">
        <v>242</v>
      </c>
      <c r="D52" s="15">
        <v>1</v>
      </c>
      <c r="E52" s="15">
        <v>1</v>
      </c>
      <c r="F52" s="15">
        <v>1</v>
      </c>
      <c r="G52" s="15">
        <v>0</v>
      </c>
      <c r="H52" s="15">
        <v>3</v>
      </c>
      <c r="I52">
        <v>1</v>
      </c>
    </row>
    <row r="53" spans="3:9" x14ac:dyDescent="0.25">
      <c r="C53" s="10" t="s">
        <v>244</v>
      </c>
      <c r="D53" s="15">
        <v>1</v>
      </c>
      <c r="E53" s="15">
        <v>1</v>
      </c>
      <c r="F53" s="15">
        <v>1</v>
      </c>
      <c r="G53" s="15">
        <v>1</v>
      </c>
      <c r="H53" s="15">
        <v>1</v>
      </c>
      <c r="I53">
        <v>0</v>
      </c>
    </row>
    <row r="54" spans="3:9" x14ac:dyDescent="0.25">
      <c r="C54" s="10" t="s">
        <v>249</v>
      </c>
      <c r="D54" s="15">
        <v>0</v>
      </c>
      <c r="E54" s="15">
        <v>1</v>
      </c>
      <c r="F54" s="15">
        <v>1</v>
      </c>
      <c r="G54" s="15">
        <v>0</v>
      </c>
      <c r="H54" s="15">
        <v>1</v>
      </c>
      <c r="I54">
        <v>1</v>
      </c>
    </row>
    <row r="55" spans="3:9" x14ac:dyDescent="0.25">
      <c r="C55" s="10" t="s">
        <v>252</v>
      </c>
      <c r="D55" s="15">
        <v>0</v>
      </c>
      <c r="E55" s="15">
        <v>1</v>
      </c>
      <c r="F55" s="15">
        <v>1</v>
      </c>
      <c r="G55" s="15">
        <v>0</v>
      </c>
      <c r="H55" s="15">
        <v>0</v>
      </c>
      <c r="I55">
        <v>1</v>
      </c>
    </row>
    <row r="56" spans="3:9" x14ac:dyDescent="0.25">
      <c r="C56" s="10" t="s">
        <v>254</v>
      </c>
      <c r="D56" s="15">
        <v>0</v>
      </c>
      <c r="E56" s="15">
        <v>1</v>
      </c>
      <c r="F56" s="15">
        <v>1</v>
      </c>
      <c r="G56" s="15">
        <v>1</v>
      </c>
      <c r="H56" s="15">
        <v>1</v>
      </c>
      <c r="I56">
        <v>1</v>
      </c>
    </row>
    <row r="57" spans="3:9" x14ac:dyDescent="0.25">
      <c r="C57" s="10" t="s">
        <v>255</v>
      </c>
      <c r="D57" s="15">
        <v>0</v>
      </c>
      <c r="E57" s="15">
        <v>1</v>
      </c>
      <c r="F57" s="15">
        <v>3</v>
      </c>
      <c r="G57" s="15">
        <v>0</v>
      </c>
      <c r="H57" s="15">
        <v>2</v>
      </c>
      <c r="I57">
        <v>0</v>
      </c>
    </row>
    <row r="58" spans="3:9" x14ac:dyDescent="0.25">
      <c r="C58" s="10" t="s">
        <v>256</v>
      </c>
      <c r="D58" s="15">
        <v>0</v>
      </c>
      <c r="E58" s="15">
        <v>1</v>
      </c>
      <c r="F58" s="15">
        <v>1</v>
      </c>
      <c r="G58" s="15">
        <v>0</v>
      </c>
      <c r="H58" s="15">
        <v>0</v>
      </c>
      <c r="I58">
        <v>0</v>
      </c>
    </row>
    <row r="59" spans="3:9" x14ac:dyDescent="0.25">
      <c r="C59" s="10" t="s">
        <v>261</v>
      </c>
      <c r="D59" s="15">
        <v>1</v>
      </c>
      <c r="E59" s="15">
        <v>0</v>
      </c>
      <c r="F59" s="15">
        <v>0</v>
      </c>
      <c r="G59" s="15">
        <v>3</v>
      </c>
      <c r="H59" s="15">
        <v>1</v>
      </c>
      <c r="I59">
        <v>0</v>
      </c>
    </row>
    <row r="60" spans="3:9" x14ac:dyDescent="0.25">
      <c r="C60" s="10" t="s">
        <v>263</v>
      </c>
      <c r="D60" s="15">
        <v>1</v>
      </c>
      <c r="E60" s="15">
        <v>1</v>
      </c>
      <c r="F60" s="15">
        <v>0</v>
      </c>
      <c r="G60" s="15">
        <v>1</v>
      </c>
      <c r="H60" s="15">
        <v>1</v>
      </c>
      <c r="I60">
        <v>1</v>
      </c>
    </row>
    <row r="61" spans="3:9" x14ac:dyDescent="0.25">
      <c r="C61" s="10" t="s">
        <v>264</v>
      </c>
      <c r="D61" s="15">
        <v>1</v>
      </c>
      <c r="E61" s="15">
        <v>1</v>
      </c>
      <c r="F61" s="15">
        <v>0</v>
      </c>
      <c r="G61" s="15">
        <v>1</v>
      </c>
      <c r="H61" s="15">
        <v>2</v>
      </c>
      <c r="I61">
        <v>1</v>
      </c>
    </row>
    <row r="62" spans="3:9" x14ac:dyDescent="0.25">
      <c r="C62" s="10" t="s">
        <v>266</v>
      </c>
      <c r="D62" s="15">
        <v>1</v>
      </c>
      <c r="E62" s="15">
        <v>1</v>
      </c>
      <c r="F62" s="15">
        <v>1</v>
      </c>
      <c r="G62" s="15">
        <v>0</v>
      </c>
      <c r="H62" s="15">
        <v>1</v>
      </c>
      <c r="I62">
        <v>1</v>
      </c>
    </row>
    <row r="63" spans="3:9" x14ac:dyDescent="0.25">
      <c r="C63" s="10" t="s">
        <v>267</v>
      </c>
      <c r="D63" s="15">
        <v>1</v>
      </c>
      <c r="E63" s="15">
        <v>1</v>
      </c>
      <c r="F63" s="15">
        <v>1</v>
      </c>
      <c r="G63" s="15">
        <v>1</v>
      </c>
      <c r="H63" s="15">
        <v>1</v>
      </c>
      <c r="I63">
        <v>0</v>
      </c>
    </row>
    <row r="64" spans="3:9" x14ac:dyDescent="0.25">
      <c r="C64" s="10" t="s">
        <v>268</v>
      </c>
      <c r="D64" s="15">
        <v>1</v>
      </c>
      <c r="E64" s="15">
        <v>0</v>
      </c>
      <c r="F64" s="15">
        <v>1</v>
      </c>
      <c r="G64" s="15">
        <v>1</v>
      </c>
      <c r="H64" s="15">
        <v>2</v>
      </c>
      <c r="I64">
        <v>1</v>
      </c>
    </row>
    <row r="65" spans="3:9" x14ac:dyDescent="0.25">
      <c r="C65" s="10" t="s">
        <v>269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>
        <v>0</v>
      </c>
    </row>
    <row r="66" spans="3:9" x14ac:dyDescent="0.25">
      <c r="C66" s="10" t="s">
        <v>272</v>
      </c>
      <c r="D66" s="15">
        <v>0</v>
      </c>
      <c r="E66" s="15">
        <v>1</v>
      </c>
      <c r="F66" s="15">
        <v>1</v>
      </c>
      <c r="G66" s="15">
        <v>0</v>
      </c>
      <c r="H66" s="15">
        <v>1</v>
      </c>
      <c r="I66">
        <v>1</v>
      </c>
    </row>
    <row r="67" spans="3:9" x14ac:dyDescent="0.25">
      <c r="C67" s="10" t="s">
        <v>273</v>
      </c>
      <c r="D67" s="15">
        <v>0</v>
      </c>
      <c r="E67" s="15">
        <v>2</v>
      </c>
      <c r="F67" s="15">
        <v>2</v>
      </c>
      <c r="G67" s="15">
        <v>1</v>
      </c>
      <c r="H67" s="15">
        <v>1</v>
      </c>
      <c r="I67">
        <v>1</v>
      </c>
    </row>
    <row r="68" spans="3:9" x14ac:dyDescent="0.25">
      <c r="C68" s="10" t="s">
        <v>275</v>
      </c>
      <c r="D68" s="15">
        <v>0</v>
      </c>
      <c r="E68" s="15">
        <v>1</v>
      </c>
      <c r="F68" s="15">
        <v>1</v>
      </c>
      <c r="G68" s="15">
        <v>0</v>
      </c>
      <c r="H68" s="15">
        <v>0</v>
      </c>
      <c r="I68">
        <v>1</v>
      </c>
    </row>
    <row r="69" spans="3:9" x14ac:dyDescent="0.25">
      <c r="C69" s="10" t="s">
        <v>280</v>
      </c>
      <c r="D69" s="15">
        <v>0</v>
      </c>
      <c r="E69" s="15">
        <v>1</v>
      </c>
      <c r="F69" s="15">
        <v>0</v>
      </c>
      <c r="G69" s="15">
        <v>1</v>
      </c>
      <c r="H69" s="15">
        <v>0</v>
      </c>
      <c r="I69">
        <v>1</v>
      </c>
    </row>
    <row r="70" spans="3:9" x14ac:dyDescent="0.25">
      <c r="C70" s="10" t="s">
        <v>288</v>
      </c>
      <c r="D70" s="15">
        <v>1</v>
      </c>
      <c r="E70" s="15">
        <v>1</v>
      </c>
      <c r="F70" s="15">
        <v>1</v>
      </c>
      <c r="G70" s="15">
        <v>1</v>
      </c>
      <c r="H70" s="15">
        <v>1</v>
      </c>
      <c r="I70">
        <v>0</v>
      </c>
    </row>
    <row r="71" spans="3:9" x14ac:dyDescent="0.25">
      <c r="C71" s="10" t="s">
        <v>289</v>
      </c>
      <c r="D71" s="15">
        <v>1</v>
      </c>
      <c r="E71" s="15">
        <v>0</v>
      </c>
      <c r="F71" s="15">
        <v>1</v>
      </c>
      <c r="G71" s="15">
        <v>1</v>
      </c>
      <c r="H71" s="15">
        <v>2</v>
      </c>
      <c r="I71">
        <v>1</v>
      </c>
    </row>
    <row r="72" spans="3:9" x14ac:dyDescent="0.25">
      <c r="C72" s="10" t="s">
        <v>290</v>
      </c>
      <c r="D72" s="15">
        <v>1</v>
      </c>
      <c r="E72" s="15">
        <v>1</v>
      </c>
      <c r="F72" s="15">
        <v>1</v>
      </c>
      <c r="G72" s="15">
        <v>1</v>
      </c>
      <c r="H72" s="15">
        <v>1</v>
      </c>
      <c r="I72">
        <v>0</v>
      </c>
    </row>
    <row r="73" spans="3:9" x14ac:dyDescent="0.25">
      <c r="C73" s="10" t="s">
        <v>291</v>
      </c>
      <c r="D73" s="15">
        <v>1</v>
      </c>
      <c r="E73" s="15">
        <v>1</v>
      </c>
      <c r="F73" s="15">
        <v>1</v>
      </c>
      <c r="G73" s="15">
        <v>0</v>
      </c>
      <c r="H73" s="15">
        <v>3</v>
      </c>
      <c r="I73">
        <v>1</v>
      </c>
    </row>
    <row r="74" spans="3:9" x14ac:dyDescent="0.25">
      <c r="C74" s="10" t="s">
        <v>295</v>
      </c>
      <c r="D74" s="15">
        <v>0</v>
      </c>
      <c r="E74" s="15">
        <v>1</v>
      </c>
      <c r="F74" s="15">
        <v>1</v>
      </c>
      <c r="G74" s="15">
        <v>1</v>
      </c>
      <c r="H74" s="15">
        <v>1</v>
      </c>
      <c r="I74">
        <v>1</v>
      </c>
    </row>
    <row r="75" spans="3:9" x14ac:dyDescent="0.25">
      <c r="C75" s="10" t="s">
        <v>298</v>
      </c>
      <c r="D75" s="15">
        <v>0</v>
      </c>
      <c r="E75" s="15">
        <v>1</v>
      </c>
      <c r="F75" s="15">
        <v>1</v>
      </c>
      <c r="G75" s="15">
        <v>1</v>
      </c>
      <c r="H75" s="15">
        <v>1</v>
      </c>
      <c r="I75">
        <v>1</v>
      </c>
    </row>
    <row r="76" spans="3:9" x14ac:dyDescent="0.25">
      <c r="C76" s="10" t="s">
        <v>299</v>
      </c>
      <c r="D76" s="15">
        <v>0</v>
      </c>
      <c r="E76" s="15">
        <v>1</v>
      </c>
      <c r="F76" s="15">
        <v>3</v>
      </c>
      <c r="G76" s="15">
        <v>0</v>
      </c>
      <c r="H76" s="15">
        <v>2</v>
      </c>
      <c r="I76">
        <v>0</v>
      </c>
    </row>
    <row r="77" spans="3:9" x14ac:dyDescent="0.25">
      <c r="C77" s="10" t="s">
        <v>302</v>
      </c>
      <c r="D77" s="15">
        <v>0</v>
      </c>
      <c r="E77" s="15">
        <v>1</v>
      </c>
      <c r="F77" s="15">
        <v>1</v>
      </c>
      <c r="G77" s="15">
        <v>0</v>
      </c>
      <c r="H77" s="15">
        <v>1</v>
      </c>
      <c r="I77">
        <v>0</v>
      </c>
    </row>
    <row r="78" spans="3:9" x14ac:dyDescent="0.25">
      <c r="C78" s="10" t="s">
        <v>304</v>
      </c>
      <c r="D78" s="15">
        <v>0</v>
      </c>
      <c r="E78" s="15">
        <v>1</v>
      </c>
      <c r="F78" s="15">
        <v>1</v>
      </c>
      <c r="G78" s="15">
        <v>0</v>
      </c>
      <c r="H78" s="15">
        <v>1</v>
      </c>
      <c r="I78">
        <v>1</v>
      </c>
    </row>
    <row r="79" spans="3:9" x14ac:dyDescent="0.25">
      <c r="C79" s="10" t="s">
        <v>305</v>
      </c>
      <c r="D79" s="15">
        <v>0</v>
      </c>
      <c r="E79" s="15">
        <v>1</v>
      </c>
      <c r="F79" s="15">
        <v>1</v>
      </c>
      <c r="G79" s="15">
        <v>0</v>
      </c>
      <c r="H79" s="15">
        <v>1</v>
      </c>
      <c r="I79">
        <v>1</v>
      </c>
    </row>
    <row r="80" spans="3:9" x14ac:dyDescent="0.25">
      <c r="C80" s="10" t="s">
        <v>313</v>
      </c>
      <c r="D80" s="15">
        <v>0</v>
      </c>
      <c r="E80" s="15">
        <v>1</v>
      </c>
      <c r="F80" s="15">
        <v>0</v>
      </c>
      <c r="G80" s="15">
        <v>1</v>
      </c>
      <c r="H80" s="15">
        <v>0</v>
      </c>
      <c r="I80">
        <v>1</v>
      </c>
    </row>
    <row r="81" spans="3:9" x14ac:dyDescent="0.25">
      <c r="C81" s="10" t="s">
        <v>315</v>
      </c>
      <c r="D81" s="15">
        <v>0</v>
      </c>
      <c r="E81" s="15">
        <v>1</v>
      </c>
      <c r="F81" s="15">
        <v>1</v>
      </c>
      <c r="G81" s="15">
        <v>0</v>
      </c>
      <c r="H81" s="15">
        <v>0</v>
      </c>
      <c r="I81">
        <v>1</v>
      </c>
    </row>
    <row r="82" spans="3:9" x14ac:dyDescent="0.25">
      <c r="C82" s="10" t="s">
        <v>316</v>
      </c>
      <c r="D82" s="15">
        <v>0</v>
      </c>
      <c r="E82" s="15">
        <v>1</v>
      </c>
      <c r="F82" s="15">
        <v>1</v>
      </c>
      <c r="G82" s="15">
        <v>0</v>
      </c>
      <c r="H82" s="15">
        <v>1</v>
      </c>
      <c r="I82">
        <v>1</v>
      </c>
    </row>
    <row r="83" spans="3:9" x14ac:dyDescent="0.25">
      <c r="C83" s="10" t="s">
        <v>317</v>
      </c>
      <c r="D83" s="15">
        <v>0</v>
      </c>
      <c r="E83" s="15">
        <v>1</v>
      </c>
      <c r="F83" s="15">
        <v>1</v>
      </c>
      <c r="G83" s="15">
        <v>0</v>
      </c>
      <c r="H83" s="15">
        <v>1</v>
      </c>
      <c r="I83">
        <v>1</v>
      </c>
    </row>
    <row r="84" spans="3:9" x14ac:dyDescent="0.25">
      <c r="C84" s="10" t="s">
        <v>319</v>
      </c>
      <c r="D84" s="15">
        <v>0</v>
      </c>
      <c r="E84" s="15">
        <v>1</v>
      </c>
      <c r="F84" s="15">
        <v>1</v>
      </c>
      <c r="G84" s="15">
        <v>1</v>
      </c>
      <c r="H84" s="15">
        <v>1</v>
      </c>
      <c r="I84">
        <v>1</v>
      </c>
    </row>
    <row r="85" spans="3:9" x14ac:dyDescent="0.25">
      <c r="C85" s="10" t="s">
        <v>320</v>
      </c>
      <c r="D85" s="15">
        <v>0</v>
      </c>
      <c r="E85" s="15">
        <v>1</v>
      </c>
      <c r="F85" s="15">
        <v>1</v>
      </c>
      <c r="G85" s="15">
        <v>0</v>
      </c>
      <c r="H85" s="15">
        <v>0</v>
      </c>
      <c r="I85">
        <v>1</v>
      </c>
    </row>
    <row r="86" spans="3:9" x14ac:dyDescent="0.25">
      <c r="C86" s="10" t="s">
        <v>321</v>
      </c>
      <c r="D86" s="15">
        <v>0</v>
      </c>
      <c r="E86" s="15">
        <v>1</v>
      </c>
      <c r="F86" s="15">
        <v>3</v>
      </c>
      <c r="G86" s="15">
        <v>1</v>
      </c>
      <c r="H86" s="15">
        <v>0</v>
      </c>
      <c r="I86">
        <v>1</v>
      </c>
    </row>
    <row r="87" spans="3:9" x14ac:dyDescent="0.25">
      <c r="C87" s="10" t="s">
        <v>322</v>
      </c>
      <c r="D87" s="15">
        <v>0</v>
      </c>
      <c r="E87" s="15">
        <v>1</v>
      </c>
      <c r="F87" s="15">
        <v>1</v>
      </c>
      <c r="G87" s="15">
        <v>1</v>
      </c>
      <c r="H87" s="15">
        <v>1</v>
      </c>
      <c r="I87">
        <v>1</v>
      </c>
    </row>
    <row r="88" spans="3:9" x14ac:dyDescent="0.25">
      <c r="C88" s="10" t="s">
        <v>325</v>
      </c>
      <c r="D88" s="15">
        <v>0</v>
      </c>
      <c r="E88" s="15">
        <v>1</v>
      </c>
      <c r="F88" s="15">
        <v>0</v>
      </c>
      <c r="G88" s="15">
        <v>1</v>
      </c>
      <c r="H88" s="15">
        <v>0</v>
      </c>
      <c r="I88">
        <v>1</v>
      </c>
    </row>
    <row r="89" spans="3:9" x14ac:dyDescent="0.25">
      <c r="C89" s="10" t="s">
        <v>326</v>
      </c>
      <c r="D89" s="15">
        <v>0</v>
      </c>
      <c r="E89" s="15">
        <v>1</v>
      </c>
      <c r="F89" s="15">
        <v>1</v>
      </c>
      <c r="G89" s="15">
        <v>0</v>
      </c>
      <c r="H89" s="15">
        <v>1</v>
      </c>
      <c r="I89">
        <v>0</v>
      </c>
    </row>
    <row r="90" spans="3:9" x14ac:dyDescent="0.25">
      <c r="C90" s="10" t="s">
        <v>327</v>
      </c>
      <c r="D90" s="15">
        <v>0</v>
      </c>
      <c r="E90" s="15">
        <v>1</v>
      </c>
      <c r="F90" s="15">
        <v>1</v>
      </c>
      <c r="G90" s="15">
        <v>0</v>
      </c>
      <c r="H90" s="15">
        <v>0</v>
      </c>
      <c r="I90">
        <v>1</v>
      </c>
    </row>
    <row r="91" spans="3:9" x14ac:dyDescent="0.25">
      <c r="C91" s="10" t="s">
        <v>329</v>
      </c>
      <c r="D91" s="15">
        <v>0</v>
      </c>
      <c r="E91" s="15">
        <v>1</v>
      </c>
      <c r="F91" s="15">
        <v>1</v>
      </c>
      <c r="G91" s="15">
        <v>0</v>
      </c>
      <c r="H91" s="15">
        <v>1</v>
      </c>
      <c r="I91">
        <v>1</v>
      </c>
    </row>
    <row r="92" spans="3:9" x14ac:dyDescent="0.25">
      <c r="C92" s="10" t="s">
        <v>330</v>
      </c>
      <c r="D92" s="15">
        <v>0</v>
      </c>
      <c r="E92" s="15">
        <v>2</v>
      </c>
      <c r="F92" s="15">
        <v>2</v>
      </c>
      <c r="G92" s="15">
        <v>1</v>
      </c>
      <c r="H92" s="15">
        <v>1</v>
      </c>
      <c r="I92">
        <v>1</v>
      </c>
    </row>
    <row r="93" spans="3:9" x14ac:dyDescent="0.25">
      <c r="C93" s="10" t="s">
        <v>335</v>
      </c>
      <c r="D93" s="15">
        <v>0</v>
      </c>
      <c r="E93" s="15">
        <v>1</v>
      </c>
      <c r="F93" s="15">
        <v>3</v>
      </c>
      <c r="G93" s="15">
        <v>0</v>
      </c>
      <c r="H93" s="15">
        <v>2</v>
      </c>
      <c r="I93">
        <v>0</v>
      </c>
    </row>
    <row r="94" spans="3:9" x14ac:dyDescent="0.25">
      <c r="C94" s="10" t="s">
        <v>336</v>
      </c>
      <c r="D94" s="15">
        <v>0</v>
      </c>
      <c r="E94" s="15">
        <v>1</v>
      </c>
      <c r="F94" s="15">
        <v>1</v>
      </c>
      <c r="G94" s="15">
        <v>0</v>
      </c>
      <c r="H94" s="15">
        <v>0</v>
      </c>
      <c r="I94">
        <v>0</v>
      </c>
    </row>
    <row r="95" spans="3:9" x14ac:dyDescent="0.25">
      <c r="C95" s="10" t="s">
        <v>339</v>
      </c>
      <c r="D95" s="15">
        <v>0</v>
      </c>
      <c r="E95" s="15">
        <v>1</v>
      </c>
      <c r="F95" s="15">
        <v>1</v>
      </c>
      <c r="G95" s="15">
        <v>0</v>
      </c>
      <c r="H95" s="15">
        <v>0</v>
      </c>
      <c r="I95">
        <v>1</v>
      </c>
    </row>
    <row r="96" spans="3:9" x14ac:dyDescent="0.25">
      <c r="C96" s="10" t="s">
        <v>340</v>
      </c>
      <c r="D96" s="15">
        <v>0</v>
      </c>
      <c r="E96" s="15">
        <v>1</v>
      </c>
      <c r="F96" s="15">
        <v>1</v>
      </c>
      <c r="G96" s="15">
        <v>0</v>
      </c>
      <c r="H96" s="15">
        <v>1</v>
      </c>
      <c r="I96">
        <v>1</v>
      </c>
    </row>
    <row r="97" spans="3:9" x14ac:dyDescent="0.25">
      <c r="C97" s="10" t="s">
        <v>341</v>
      </c>
      <c r="D97" s="15">
        <v>1</v>
      </c>
      <c r="E97" s="15">
        <v>0</v>
      </c>
      <c r="F97" s="15">
        <v>1</v>
      </c>
      <c r="G97" s="15">
        <v>1</v>
      </c>
      <c r="H97" s="15">
        <v>2</v>
      </c>
      <c r="I97">
        <v>1</v>
      </c>
    </row>
    <row r="98" spans="3:9" x14ac:dyDescent="0.25">
      <c r="C98" s="10" t="s">
        <v>343</v>
      </c>
      <c r="D98" s="15">
        <v>1</v>
      </c>
      <c r="E98" s="15">
        <v>1</v>
      </c>
      <c r="F98" s="15">
        <v>1</v>
      </c>
      <c r="G98" s="15">
        <v>0</v>
      </c>
      <c r="H98" s="15">
        <v>1</v>
      </c>
      <c r="I98">
        <v>1</v>
      </c>
    </row>
    <row r="99" spans="3:9" x14ac:dyDescent="0.25">
      <c r="C99" s="10" t="s">
        <v>296</v>
      </c>
      <c r="D99" s="15">
        <v>0</v>
      </c>
      <c r="E99" s="15">
        <v>1</v>
      </c>
      <c r="F99" s="15">
        <v>1</v>
      </c>
      <c r="G99" s="15">
        <v>0</v>
      </c>
      <c r="H99" s="15">
        <v>0</v>
      </c>
      <c r="I99">
        <v>1</v>
      </c>
    </row>
    <row r="100" spans="3:9" x14ac:dyDescent="0.25">
      <c r="C100" s="10" t="s">
        <v>223</v>
      </c>
      <c r="D100" s="15">
        <v>0</v>
      </c>
      <c r="E100" s="15">
        <v>1</v>
      </c>
      <c r="F100" s="15">
        <v>1</v>
      </c>
      <c r="G100" s="15">
        <v>0</v>
      </c>
      <c r="H100" s="15">
        <v>1</v>
      </c>
      <c r="I100">
        <v>0</v>
      </c>
    </row>
    <row r="101" spans="3:9" x14ac:dyDescent="0.25">
      <c r="C101" s="10" t="s">
        <v>307</v>
      </c>
      <c r="D101" s="15">
        <v>0</v>
      </c>
      <c r="E101" s="15">
        <v>1</v>
      </c>
      <c r="F101" s="15">
        <v>1</v>
      </c>
      <c r="G101" s="15">
        <v>1</v>
      </c>
      <c r="H101" s="15">
        <v>1</v>
      </c>
      <c r="I101">
        <v>1</v>
      </c>
    </row>
    <row r="102" spans="3:9" x14ac:dyDescent="0.25">
      <c r="C102" s="10" t="s">
        <v>287</v>
      </c>
      <c r="D102" s="15">
        <v>1</v>
      </c>
      <c r="E102" s="15">
        <v>1</v>
      </c>
      <c r="F102" s="15">
        <v>1</v>
      </c>
      <c r="G102" s="15">
        <v>0</v>
      </c>
      <c r="H102" s="15">
        <v>1</v>
      </c>
      <c r="I102">
        <v>1</v>
      </c>
    </row>
    <row r="103" spans="3:9" x14ac:dyDescent="0.25">
      <c r="C103" s="10" t="s">
        <v>285</v>
      </c>
      <c r="D103" s="15">
        <v>1</v>
      </c>
      <c r="E103" s="15">
        <v>1</v>
      </c>
      <c r="F103" s="15">
        <v>0</v>
      </c>
      <c r="G103" s="15">
        <v>1</v>
      </c>
      <c r="H103" s="15">
        <v>2</v>
      </c>
      <c r="I103">
        <v>1</v>
      </c>
    </row>
    <row r="104" spans="3:9" x14ac:dyDescent="0.25">
      <c r="C104" s="10" t="s">
        <v>283</v>
      </c>
      <c r="D104" s="15">
        <v>0</v>
      </c>
      <c r="E104" s="15">
        <v>1</v>
      </c>
      <c r="F104" s="15">
        <v>1</v>
      </c>
      <c r="G104" s="15">
        <v>0</v>
      </c>
      <c r="H104" s="15">
        <v>1</v>
      </c>
      <c r="I104">
        <v>1</v>
      </c>
    </row>
    <row r="105" spans="3:9" x14ac:dyDescent="0.25">
      <c r="C105" s="10" t="s">
        <v>219</v>
      </c>
      <c r="D105" s="15">
        <v>0</v>
      </c>
      <c r="E105" s="15">
        <v>1</v>
      </c>
      <c r="F105" s="15">
        <v>1</v>
      </c>
      <c r="G105" s="15">
        <v>1</v>
      </c>
      <c r="H105" s="15">
        <v>1</v>
      </c>
      <c r="I105">
        <v>1</v>
      </c>
    </row>
    <row r="106" spans="3:9" x14ac:dyDescent="0.25">
      <c r="C106" s="10" t="s">
        <v>218</v>
      </c>
      <c r="D106" s="15">
        <v>0</v>
      </c>
      <c r="E106" s="15">
        <v>1</v>
      </c>
      <c r="F106" s="15">
        <v>3</v>
      </c>
      <c r="G106" s="15">
        <v>1</v>
      </c>
      <c r="H106" s="15">
        <v>0</v>
      </c>
      <c r="I106">
        <v>1</v>
      </c>
    </row>
    <row r="107" spans="3:9" x14ac:dyDescent="0.25">
      <c r="C107" s="10" t="s">
        <v>248</v>
      </c>
      <c r="D107" s="15">
        <v>0</v>
      </c>
      <c r="E107" s="15">
        <v>0</v>
      </c>
      <c r="F107" s="15">
        <v>1</v>
      </c>
      <c r="G107" s="15">
        <v>0</v>
      </c>
      <c r="H107" s="15">
        <v>1</v>
      </c>
      <c r="I107">
        <v>1</v>
      </c>
    </row>
    <row r="108" spans="3:9" x14ac:dyDescent="0.25">
      <c r="C108" s="10" t="s">
        <v>278</v>
      </c>
      <c r="D108" s="15">
        <v>0</v>
      </c>
      <c r="E108" s="15">
        <v>1</v>
      </c>
      <c r="F108" s="15">
        <v>3</v>
      </c>
      <c r="G108" s="15">
        <v>0</v>
      </c>
      <c r="H108" s="15">
        <v>2</v>
      </c>
      <c r="I108">
        <v>0</v>
      </c>
    </row>
    <row r="109" spans="3:9" x14ac:dyDescent="0.25">
      <c r="C109" s="10" t="s">
        <v>231</v>
      </c>
      <c r="D109" s="15">
        <v>1</v>
      </c>
      <c r="E109" s="15">
        <v>1</v>
      </c>
      <c r="F109" s="15">
        <v>0</v>
      </c>
      <c r="G109" s="15">
        <v>0</v>
      </c>
      <c r="H109" s="15">
        <v>1</v>
      </c>
      <c r="I109">
        <v>1</v>
      </c>
    </row>
    <row r="110" spans="3:9" x14ac:dyDescent="0.25">
      <c r="C110" s="10" t="s">
        <v>246</v>
      </c>
      <c r="D110" s="15">
        <v>1</v>
      </c>
      <c r="E110" s="15">
        <v>1</v>
      </c>
      <c r="F110" s="15">
        <v>1</v>
      </c>
      <c r="G110" s="15">
        <v>1</v>
      </c>
      <c r="H110" s="15">
        <v>3</v>
      </c>
      <c r="I110">
        <v>2</v>
      </c>
    </row>
    <row r="111" spans="3:9" x14ac:dyDescent="0.25">
      <c r="C111" s="10" t="s">
        <v>337</v>
      </c>
      <c r="D111" s="15">
        <v>0</v>
      </c>
      <c r="E111" s="15">
        <v>1</v>
      </c>
      <c r="F111" s="15">
        <v>0</v>
      </c>
      <c r="G111" s="15">
        <v>1</v>
      </c>
      <c r="H111" s="15">
        <v>0</v>
      </c>
      <c r="I111">
        <v>1</v>
      </c>
    </row>
    <row r="112" spans="3:9" x14ac:dyDescent="0.25">
      <c r="C112" s="10" t="s">
        <v>314</v>
      </c>
      <c r="D112" s="15">
        <v>0</v>
      </c>
      <c r="E112" s="15">
        <v>1</v>
      </c>
      <c r="F112" s="15">
        <v>1</v>
      </c>
      <c r="G112" s="15">
        <v>0</v>
      </c>
      <c r="H112" s="15">
        <v>1</v>
      </c>
      <c r="I112">
        <v>0</v>
      </c>
    </row>
    <row r="113" spans="3:9" x14ac:dyDescent="0.25">
      <c r="C113" s="10" t="s">
        <v>312</v>
      </c>
      <c r="D113" s="15">
        <v>0</v>
      </c>
      <c r="E113" s="15">
        <v>1</v>
      </c>
      <c r="F113" s="15">
        <v>1</v>
      </c>
      <c r="G113" s="15">
        <v>0</v>
      </c>
      <c r="H113" s="15">
        <v>0</v>
      </c>
      <c r="I113">
        <v>0</v>
      </c>
    </row>
    <row r="114" spans="3:9" x14ac:dyDescent="0.25">
      <c r="C114" s="10" t="s">
        <v>277</v>
      </c>
      <c r="D114" s="15">
        <v>0</v>
      </c>
      <c r="E114" s="15">
        <v>1</v>
      </c>
      <c r="F114" s="15">
        <v>1</v>
      </c>
      <c r="G114" s="15">
        <v>1</v>
      </c>
      <c r="H114" s="15">
        <v>1</v>
      </c>
      <c r="I114">
        <v>1</v>
      </c>
    </row>
    <row r="115" spans="3:9" x14ac:dyDescent="0.25">
      <c r="C115" s="10" t="s">
        <v>257</v>
      </c>
      <c r="D115" s="15">
        <v>0</v>
      </c>
      <c r="E115" s="15">
        <v>1</v>
      </c>
      <c r="F115" s="15">
        <v>0</v>
      </c>
      <c r="G115" s="15">
        <v>1</v>
      </c>
      <c r="H115" s="15">
        <v>0</v>
      </c>
      <c r="I115">
        <v>1</v>
      </c>
    </row>
    <row r="116" spans="3:9" x14ac:dyDescent="0.25">
      <c r="C116" s="10" t="s">
        <v>324</v>
      </c>
      <c r="D116" s="15">
        <v>0</v>
      </c>
      <c r="E116" s="15">
        <v>1</v>
      </c>
      <c r="F116" s="15">
        <v>1</v>
      </c>
      <c r="G116" s="15">
        <v>0</v>
      </c>
      <c r="H116" s="15">
        <v>0</v>
      </c>
      <c r="I116">
        <v>0</v>
      </c>
    </row>
    <row r="117" spans="3:9" x14ac:dyDescent="0.25">
      <c r="C117" s="10" t="s">
        <v>262</v>
      </c>
      <c r="D117" s="15">
        <v>1</v>
      </c>
      <c r="E117" s="15">
        <v>1</v>
      </c>
      <c r="F117" s="15">
        <v>1</v>
      </c>
      <c r="G117" s="15">
        <v>3</v>
      </c>
      <c r="H117" s="15">
        <v>1</v>
      </c>
      <c r="I117">
        <v>0</v>
      </c>
    </row>
    <row r="118" spans="3:9" x14ac:dyDescent="0.25">
      <c r="C118" s="10" t="s">
        <v>284</v>
      </c>
      <c r="D118" s="15">
        <v>1</v>
      </c>
      <c r="E118" s="15">
        <v>1</v>
      </c>
      <c r="F118" s="15">
        <v>0</v>
      </c>
      <c r="G118" s="15">
        <v>1</v>
      </c>
      <c r="H118" s="15">
        <v>1</v>
      </c>
      <c r="I118">
        <v>1</v>
      </c>
    </row>
    <row r="119" spans="3:9" x14ac:dyDescent="0.25">
      <c r="C119" s="10" t="s">
        <v>260</v>
      </c>
      <c r="D119" s="15">
        <v>1</v>
      </c>
      <c r="E119" s="15">
        <v>0</v>
      </c>
      <c r="F119" s="15">
        <v>0</v>
      </c>
      <c r="G119" s="15">
        <v>1</v>
      </c>
      <c r="H119" s="15">
        <v>2</v>
      </c>
      <c r="I119">
        <v>1</v>
      </c>
    </row>
    <row r="120" spans="3:9" x14ac:dyDescent="0.25">
      <c r="C120" s="10" t="s">
        <v>332</v>
      </c>
      <c r="D120" s="15">
        <v>0</v>
      </c>
      <c r="E120" s="15">
        <v>1</v>
      </c>
      <c r="F120" s="15">
        <v>1</v>
      </c>
      <c r="G120" s="15">
        <v>0</v>
      </c>
      <c r="H120" s="15">
        <v>0</v>
      </c>
      <c r="I120">
        <v>1</v>
      </c>
    </row>
    <row r="121" spans="3:9" x14ac:dyDescent="0.25">
      <c r="C121" s="10" t="s">
        <v>209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>
        <v>0</v>
      </c>
    </row>
    <row r="122" spans="3:9" x14ac:dyDescent="0.25">
      <c r="C122" s="10" t="s">
        <v>311</v>
      </c>
      <c r="D122" s="15">
        <v>0</v>
      </c>
      <c r="E122" s="15">
        <v>1</v>
      </c>
      <c r="F122" s="15">
        <v>3</v>
      </c>
      <c r="G122" s="15">
        <v>0</v>
      </c>
      <c r="H122" s="15">
        <v>2</v>
      </c>
      <c r="I122">
        <v>0</v>
      </c>
    </row>
    <row r="123" spans="3:9" x14ac:dyDescent="0.25">
      <c r="C123" s="10" t="s">
        <v>333</v>
      </c>
      <c r="D123" s="15">
        <v>0</v>
      </c>
      <c r="E123" s="15">
        <v>1</v>
      </c>
      <c r="F123" s="15">
        <v>3</v>
      </c>
      <c r="G123" s="15">
        <v>1</v>
      </c>
      <c r="H123" s="15">
        <v>0</v>
      </c>
      <c r="I123">
        <v>1</v>
      </c>
    </row>
    <row r="124" spans="3:9" x14ac:dyDescent="0.25">
      <c r="C124" s="10" t="s">
        <v>220</v>
      </c>
      <c r="D124" s="15">
        <v>0</v>
      </c>
      <c r="E124" s="15">
        <v>1</v>
      </c>
      <c r="F124" s="15">
        <v>3</v>
      </c>
      <c r="G124" s="15">
        <v>0</v>
      </c>
      <c r="H124" s="15">
        <v>2</v>
      </c>
      <c r="I124">
        <v>0</v>
      </c>
    </row>
    <row r="125" spans="3:9" x14ac:dyDescent="0.25">
      <c r="C125" s="10" t="s">
        <v>245</v>
      </c>
      <c r="D125" s="15">
        <v>1</v>
      </c>
      <c r="E125" s="15">
        <v>0</v>
      </c>
      <c r="F125" s="15">
        <v>1</v>
      </c>
      <c r="G125" s="15">
        <v>1</v>
      </c>
      <c r="H125" s="15">
        <v>1</v>
      </c>
      <c r="I125">
        <v>0</v>
      </c>
    </row>
    <row r="126" spans="3:9" x14ac:dyDescent="0.25">
      <c r="C126" s="10" t="s">
        <v>306</v>
      </c>
      <c r="D126" s="15">
        <v>0</v>
      </c>
      <c r="E126" s="15">
        <v>2</v>
      </c>
      <c r="F126" s="15">
        <v>2</v>
      </c>
      <c r="G126" s="15">
        <v>1</v>
      </c>
      <c r="H126" s="15">
        <v>1</v>
      </c>
      <c r="I126">
        <v>1</v>
      </c>
    </row>
    <row r="127" spans="3:9" x14ac:dyDescent="0.25">
      <c r="C127" s="10" t="s">
        <v>345</v>
      </c>
      <c r="D127" s="15">
        <v>1</v>
      </c>
      <c r="E127" s="15">
        <v>1</v>
      </c>
      <c r="F127" s="15">
        <v>0</v>
      </c>
      <c r="G127" s="15">
        <v>1</v>
      </c>
      <c r="H127" s="15">
        <v>1</v>
      </c>
      <c r="I127">
        <v>1</v>
      </c>
    </row>
    <row r="128" spans="3:9" x14ac:dyDescent="0.25">
      <c r="C128" s="10" t="s">
        <v>238</v>
      </c>
      <c r="D128" s="15">
        <v>1</v>
      </c>
      <c r="E128" s="15">
        <v>1</v>
      </c>
      <c r="F128" s="15">
        <v>1</v>
      </c>
      <c r="G128" s="15">
        <v>0</v>
      </c>
      <c r="H128" s="15">
        <v>1</v>
      </c>
      <c r="I128">
        <v>1</v>
      </c>
    </row>
    <row r="129" spans="3:9" x14ac:dyDescent="0.25">
      <c r="C129" s="10" t="s">
        <v>234</v>
      </c>
      <c r="D129" s="15">
        <v>1</v>
      </c>
      <c r="E129" s="15">
        <v>1</v>
      </c>
      <c r="F129" s="15">
        <v>1</v>
      </c>
      <c r="G129" s="15">
        <v>3</v>
      </c>
      <c r="H129" s="15">
        <v>1</v>
      </c>
      <c r="I129">
        <v>0</v>
      </c>
    </row>
    <row r="130" spans="3:9" x14ac:dyDescent="0.25">
      <c r="C130" s="10" t="s">
        <v>301</v>
      </c>
      <c r="D130" s="15">
        <v>0</v>
      </c>
      <c r="E130" s="15">
        <v>1</v>
      </c>
      <c r="F130" s="15">
        <v>0</v>
      </c>
      <c r="G130" s="15">
        <v>1</v>
      </c>
      <c r="H130" s="15">
        <v>0</v>
      </c>
      <c r="I130">
        <v>1</v>
      </c>
    </row>
    <row r="131" spans="3:9" x14ac:dyDescent="0.25">
      <c r="C131" s="10" t="s">
        <v>221</v>
      </c>
      <c r="D131" s="15">
        <v>0</v>
      </c>
      <c r="E131" s="15">
        <v>1</v>
      </c>
      <c r="F131" s="15">
        <v>1</v>
      </c>
      <c r="G131" s="15">
        <v>0</v>
      </c>
      <c r="H131" s="15">
        <v>0</v>
      </c>
      <c r="I131">
        <v>0</v>
      </c>
    </row>
    <row r="132" spans="3:9" x14ac:dyDescent="0.25">
      <c r="C132" s="10" t="s">
        <v>224</v>
      </c>
      <c r="D132" s="15">
        <v>0</v>
      </c>
      <c r="E132" s="15">
        <v>1</v>
      </c>
      <c r="F132" s="15">
        <v>1</v>
      </c>
      <c r="G132" s="15">
        <v>0</v>
      </c>
      <c r="H132" s="15">
        <v>0</v>
      </c>
      <c r="I132">
        <v>1</v>
      </c>
    </row>
    <row r="133" spans="3:9" x14ac:dyDescent="0.25">
      <c r="C133" s="10" t="s">
        <v>279</v>
      </c>
      <c r="D133" s="15">
        <v>0</v>
      </c>
      <c r="E133" s="15">
        <v>1</v>
      </c>
      <c r="F133" s="15">
        <v>1</v>
      </c>
      <c r="G133" s="15">
        <v>0</v>
      </c>
      <c r="H133" s="15">
        <v>0</v>
      </c>
      <c r="I133">
        <v>0</v>
      </c>
    </row>
    <row r="134" spans="3:9" x14ac:dyDescent="0.25">
      <c r="C134" s="10" t="s">
        <v>211</v>
      </c>
      <c r="D134" s="15">
        <v>0</v>
      </c>
      <c r="E134" s="15">
        <v>0</v>
      </c>
      <c r="F134" s="15">
        <v>1</v>
      </c>
      <c r="G134" s="15">
        <v>0</v>
      </c>
      <c r="H134" s="15">
        <v>0</v>
      </c>
      <c r="I134">
        <v>1</v>
      </c>
    </row>
    <row r="135" spans="3:9" x14ac:dyDescent="0.25">
      <c r="C135" s="10" t="s">
        <v>250</v>
      </c>
      <c r="D135" s="15">
        <v>0</v>
      </c>
      <c r="E135" s="15">
        <v>2</v>
      </c>
      <c r="F135" s="15">
        <v>2</v>
      </c>
      <c r="G135" s="15">
        <v>1</v>
      </c>
      <c r="H135" s="15">
        <v>1</v>
      </c>
      <c r="I135">
        <v>1</v>
      </c>
    </row>
    <row r="136" spans="3:9" x14ac:dyDescent="0.25">
      <c r="C136" s="10" t="s">
        <v>243</v>
      </c>
      <c r="D136" s="15">
        <v>1</v>
      </c>
      <c r="E136" s="15">
        <v>1</v>
      </c>
      <c r="F136" s="15">
        <v>0</v>
      </c>
      <c r="G136" s="15">
        <v>1</v>
      </c>
      <c r="H136" s="15">
        <v>1</v>
      </c>
      <c r="I136">
        <v>1</v>
      </c>
    </row>
    <row r="137" spans="3:9" x14ac:dyDescent="0.25">
      <c r="C137" s="10" t="s">
        <v>323</v>
      </c>
      <c r="D137" s="15">
        <v>0</v>
      </c>
      <c r="E137" s="15">
        <v>1</v>
      </c>
      <c r="F137" s="15">
        <v>3</v>
      </c>
      <c r="G137" s="15">
        <v>0</v>
      </c>
      <c r="H137" s="15">
        <v>2</v>
      </c>
      <c r="I137">
        <v>0</v>
      </c>
    </row>
    <row r="138" spans="3:9" x14ac:dyDescent="0.25">
      <c r="C138" s="10" t="s">
        <v>217</v>
      </c>
      <c r="D138" s="15">
        <v>0</v>
      </c>
      <c r="E138" s="15">
        <v>1</v>
      </c>
      <c r="F138" s="15">
        <v>1</v>
      </c>
      <c r="G138" s="15">
        <v>0</v>
      </c>
      <c r="H138" s="15">
        <v>0</v>
      </c>
      <c r="I138">
        <v>1</v>
      </c>
    </row>
    <row r="139" spans="3:9" x14ac:dyDescent="0.25">
      <c r="C139" s="10" t="s">
        <v>213</v>
      </c>
      <c r="D139" s="15">
        <v>0</v>
      </c>
      <c r="E139" s="15">
        <v>0</v>
      </c>
      <c r="F139" s="15">
        <v>1</v>
      </c>
      <c r="G139" s="15">
        <v>0</v>
      </c>
      <c r="H139" s="15">
        <v>1</v>
      </c>
      <c r="I139">
        <v>1</v>
      </c>
    </row>
    <row r="140" spans="3:9" x14ac:dyDescent="0.25">
      <c r="C140" s="10" t="s">
        <v>271</v>
      </c>
      <c r="D140" s="15">
        <v>1</v>
      </c>
      <c r="E140" s="15">
        <v>1</v>
      </c>
      <c r="F140" s="15">
        <v>0</v>
      </c>
      <c r="G140" s="15">
        <v>1</v>
      </c>
      <c r="H140" s="15">
        <v>1</v>
      </c>
      <c r="I140">
        <v>1</v>
      </c>
    </row>
    <row r="141" spans="3:9" x14ac:dyDescent="0.25">
      <c r="C141" s="10" t="s">
        <v>346</v>
      </c>
      <c r="D141" s="15">
        <v>1</v>
      </c>
      <c r="E141" s="15">
        <v>1</v>
      </c>
      <c r="F141" s="15">
        <v>0</v>
      </c>
      <c r="G141" s="15">
        <v>1</v>
      </c>
      <c r="H141" s="15">
        <v>1</v>
      </c>
      <c r="I141">
        <v>1</v>
      </c>
    </row>
    <row r="142" spans="3:9" x14ac:dyDescent="0.25">
      <c r="C142" s="10" t="s">
        <v>258</v>
      </c>
      <c r="D142" s="15">
        <v>0</v>
      </c>
      <c r="E142" s="15">
        <v>1</v>
      </c>
      <c r="F142" s="15">
        <v>1</v>
      </c>
      <c r="G142" s="15">
        <v>0</v>
      </c>
      <c r="H142" s="15">
        <v>1</v>
      </c>
      <c r="I142">
        <v>0</v>
      </c>
    </row>
    <row r="143" spans="3:9" x14ac:dyDescent="0.25">
      <c r="C143" s="10" t="s">
        <v>276</v>
      </c>
      <c r="D143" s="15">
        <v>0</v>
      </c>
      <c r="E143" s="15">
        <v>1</v>
      </c>
      <c r="F143" s="15">
        <v>3</v>
      </c>
      <c r="G143" s="15">
        <v>1</v>
      </c>
      <c r="H143" s="15">
        <v>0</v>
      </c>
      <c r="I143">
        <v>1</v>
      </c>
    </row>
    <row r="144" spans="3:9" x14ac:dyDescent="0.25">
      <c r="C144" s="10" t="s">
        <v>347</v>
      </c>
      <c r="D144" s="15">
        <v>1</v>
      </c>
      <c r="E144" s="15">
        <v>1</v>
      </c>
      <c r="F144" s="15">
        <v>1</v>
      </c>
      <c r="G144" s="15">
        <v>1</v>
      </c>
      <c r="H144" s="15">
        <v>1</v>
      </c>
      <c r="I144">
        <v>1</v>
      </c>
    </row>
    <row r="145" spans="3:9" x14ac:dyDescent="0.25">
      <c r="C145" s="10" t="s">
        <v>294</v>
      </c>
      <c r="D145" s="15">
        <v>0</v>
      </c>
      <c r="E145" s="15">
        <v>2</v>
      </c>
      <c r="F145" s="15">
        <v>2</v>
      </c>
      <c r="G145" s="15">
        <v>1</v>
      </c>
      <c r="H145" s="15">
        <v>1</v>
      </c>
      <c r="I145">
        <v>1</v>
      </c>
    </row>
    <row r="146" spans="3:9" x14ac:dyDescent="0.25">
      <c r="C146" s="10" t="s">
        <v>251</v>
      </c>
      <c r="D146" s="15">
        <v>0</v>
      </c>
      <c r="E146" s="15">
        <v>1</v>
      </c>
      <c r="F146" s="15">
        <v>1</v>
      </c>
      <c r="G146" s="15">
        <v>1</v>
      </c>
      <c r="H146" s="15">
        <v>1</v>
      </c>
      <c r="I146">
        <v>1</v>
      </c>
    </row>
    <row r="147" spans="3:9" x14ac:dyDescent="0.25">
      <c r="C147" s="10" t="s">
        <v>210</v>
      </c>
      <c r="D147" s="15">
        <v>0</v>
      </c>
      <c r="E147" s="15">
        <v>2</v>
      </c>
      <c r="F147" s="15">
        <v>1</v>
      </c>
      <c r="G147" s="15">
        <v>1</v>
      </c>
      <c r="H147" s="15">
        <v>1</v>
      </c>
      <c r="I147">
        <v>1</v>
      </c>
    </row>
    <row r="148" spans="3:9" x14ac:dyDescent="0.25">
      <c r="C148" s="10" t="s">
        <v>226</v>
      </c>
      <c r="D148" s="15">
        <v>0</v>
      </c>
      <c r="E148" s="15">
        <v>0</v>
      </c>
      <c r="F148" s="15">
        <v>1</v>
      </c>
      <c r="G148" s="15">
        <v>1</v>
      </c>
      <c r="H148" s="15">
        <v>0</v>
      </c>
      <c r="I148">
        <v>0</v>
      </c>
    </row>
    <row r="149" spans="3:9" x14ac:dyDescent="0.25">
      <c r="C149" s="10" t="s">
        <v>281</v>
      </c>
      <c r="D149" s="15">
        <v>0</v>
      </c>
      <c r="E149" s="15">
        <v>1</v>
      </c>
      <c r="F149" s="15">
        <v>1</v>
      </c>
      <c r="G149" s="15">
        <v>0</v>
      </c>
      <c r="H149" s="15">
        <v>1</v>
      </c>
      <c r="I149">
        <v>0</v>
      </c>
    </row>
    <row r="150" spans="3:9" x14ac:dyDescent="0.25">
      <c r="C150" s="10" t="s">
        <v>308</v>
      </c>
      <c r="D150" s="15">
        <v>0</v>
      </c>
      <c r="E150" s="15">
        <v>1</v>
      </c>
      <c r="F150" s="15">
        <v>1</v>
      </c>
      <c r="G150" s="15">
        <v>0</v>
      </c>
      <c r="H150" s="15">
        <v>0</v>
      </c>
      <c r="I150">
        <v>1</v>
      </c>
    </row>
    <row r="151" spans="3:9" x14ac:dyDescent="0.25">
      <c r="C151" s="10" t="s">
        <v>265</v>
      </c>
      <c r="D151" s="15">
        <v>1</v>
      </c>
      <c r="E151" s="15">
        <v>1</v>
      </c>
      <c r="F151" s="15">
        <v>1</v>
      </c>
      <c r="G151" s="15">
        <v>1</v>
      </c>
      <c r="H151" s="15">
        <v>1</v>
      </c>
      <c r="I151">
        <v>0</v>
      </c>
    </row>
    <row r="152" spans="3:9" x14ac:dyDescent="0.25">
      <c r="C152" s="10" t="s">
        <v>309</v>
      </c>
      <c r="D152" s="15">
        <v>0</v>
      </c>
      <c r="E152" s="15">
        <v>1</v>
      </c>
      <c r="F152" s="15">
        <v>3</v>
      </c>
      <c r="G152" s="15">
        <v>1</v>
      </c>
      <c r="H152" s="15">
        <v>0</v>
      </c>
      <c r="I152">
        <v>1</v>
      </c>
    </row>
    <row r="153" spans="3:9" x14ac:dyDescent="0.25">
      <c r="C153" s="10" t="s">
        <v>270</v>
      </c>
      <c r="D153" s="15">
        <v>1</v>
      </c>
      <c r="E153" s="15">
        <v>1</v>
      </c>
      <c r="F153" s="15">
        <v>1</v>
      </c>
      <c r="G153" s="15">
        <v>0</v>
      </c>
      <c r="H153" s="15">
        <v>3</v>
      </c>
      <c r="I153">
        <v>1</v>
      </c>
    </row>
    <row r="154" spans="3:9" x14ac:dyDescent="0.25">
      <c r="C154" s="10" t="s">
        <v>214</v>
      </c>
      <c r="D154" s="15">
        <v>0</v>
      </c>
      <c r="E154" s="15">
        <v>1</v>
      </c>
      <c r="F154" s="15">
        <v>1</v>
      </c>
      <c r="G154" s="15">
        <v>0</v>
      </c>
      <c r="H154" s="15">
        <v>1</v>
      </c>
      <c r="I154">
        <v>1</v>
      </c>
    </row>
    <row r="155" spans="3:9" x14ac:dyDescent="0.25">
      <c r="C155" s="10" t="s">
        <v>293</v>
      </c>
      <c r="D155" s="15">
        <v>0</v>
      </c>
      <c r="E155" s="15">
        <v>1</v>
      </c>
      <c r="F155" s="15">
        <v>1</v>
      </c>
      <c r="G155" s="15">
        <v>0</v>
      </c>
      <c r="H155" s="15">
        <v>1</v>
      </c>
      <c r="I155">
        <v>1</v>
      </c>
    </row>
    <row r="156" spans="3:9" x14ac:dyDescent="0.25">
      <c r="C156" s="10" t="s">
        <v>237</v>
      </c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>
        <v>0</v>
      </c>
    </row>
    <row r="157" spans="3:9" x14ac:dyDescent="0.25">
      <c r="C157" s="10" t="s">
        <v>274</v>
      </c>
      <c r="D157" s="15">
        <v>0</v>
      </c>
      <c r="E157" s="15">
        <v>1</v>
      </c>
      <c r="F157" s="15">
        <v>1</v>
      </c>
      <c r="G157" s="15">
        <v>1</v>
      </c>
      <c r="H157" s="15">
        <v>1</v>
      </c>
      <c r="I157">
        <v>1</v>
      </c>
    </row>
    <row r="158" spans="3:9" x14ac:dyDescent="0.25">
      <c r="C158" s="10" t="s">
        <v>292</v>
      </c>
      <c r="D158" s="15">
        <v>1</v>
      </c>
      <c r="E158" s="15">
        <v>1</v>
      </c>
      <c r="F158" s="15">
        <v>0</v>
      </c>
      <c r="G158" s="15">
        <v>1</v>
      </c>
      <c r="H158" s="15">
        <v>1</v>
      </c>
      <c r="I158">
        <v>1</v>
      </c>
    </row>
    <row r="159" spans="3:9" x14ac:dyDescent="0.25">
      <c r="C159" s="10" t="s">
        <v>344</v>
      </c>
      <c r="D159" s="15">
        <v>1</v>
      </c>
      <c r="E159" s="15">
        <v>1</v>
      </c>
      <c r="F159" s="15">
        <v>0</v>
      </c>
      <c r="G159" s="15">
        <v>1</v>
      </c>
      <c r="H159" s="15">
        <v>1</v>
      </c>
      <c r="I159">
        <v>1</v>
      </c>
    </row>
    <row r="160" spans="3:9" x14ac:dyDescent="0.25">
      <c r="C160" s="10" t="s">
        <v>282</v>
      </c>
      <c r="D160" s="15">
        <v>0</v>
      </c>
      <c r="E160" s="15">
        <v>1</v>
      </c>
      <c r="F160" s="15">
        <v>1</v>
      </c>
      <c r="G160" s="15">
        <v>0</v>
      </c>
      <c r="H160" s="15">
        <v>0</v>
      </c>
      <c r="I160">
        <v>1</v>
      </c>
    </row>
    <row r="161" spans="3:9" x14ac:dyDescent="0.25">
      <c r="C161" s="10" t="s">
        <v>318</v>
      </c>
      <c r="D161" s="15">
        <v>0</v>
      </c>
      <c r="E161" s="15">
        <v>2</v>
      </c>
      <c r="F161" s="15">
        <v>2</v>
      </c>
      <c r="G161" s="15">
        <v>1</v>
      </c>
      <c r="H161" s="15">
        <v>1</v>
      </c>
      <c r="I161">
        <v>1</v>
      </c>
    </row>
    <row r="162" spans="3:9" x14ac:dyDescent="0.25">
      <c r="C162" s="10" t="s">
        <v>259</v>
      </c>
      <c r="D162" s="15">
        <v>0</v>
      </c>
      <c r="E162" s="15">
        <v>1</v>
      </c>
      <c r="F162" s="15">
        <v>1</v>
      </c>
      <c r="G162" s="15">
        <v>0</v>
      </c>
      <c r="H162" s="15">
        <v>0</v>
      </c>
      <c r="I162">
        <v>1</v>
      </c>
    </row>
    <row r="163" spans="3:9" x14ac:dyDescent="0.25">
      <c r="C163" s="10" t="s">
        <v>247</v>
      </c>
      <c r="D163" s="15">
        <v>1</v>
      </c>
      <c r="E163" s="15">
        <v>1</v>
      </c>
      <c r="F163" s="15">
        <v>1</v>
      </c>
      <c r="G163" s="15">
        <v>0</v>
      </c>
      <c r="H163" s="15">
        <v>1</v>
      </c>
      <c r="I163">
        <v>0</v>
      </c>
    </row>
    <row r="164" spans="3:9" x14ac:dyDescent="0.25">
      <c r="C164" s="10" t="s">
        <v>300</v>
      </c>
      <c r="D164" s="15">
        <v>0</v>
      </c>
      <c r="E164" s="15">
        <v>1</v>
      </c>
      <c r="F164" s="15">
        <v>1</v>
      </c>
      <c r="G164" s="15">
        <v>0</v>
      </c>
      <c r="H164" s="15">
        <v>0</v>
      </c>
      <c r="I164">
        <v>0</v>
      </c>
    </row>
    <row r="165" spans="3:9" x14ac:dyDescent="0.25">
      <c r="C165" s="10" t="s">
        <v>310</v>
      </c>
      <c r="D165" s="15">
        <v>0</v>
      </c>
      <c r="E165" s="15">
        <v>1</v>
      </c>
      <c r="F165" s="15">
        <v>1</v>
      </c>
      <c r="G165" s="15">
        <v>1</v>
      </c>
      <c r="H165" s="15">
        <v>1</v>
      </c>
      <c r="I165">
        <v>1</v>
      </c>
    </row>
    <row r="166" spans="3:9" x14ac:dyDescent="0.25">
      <c r="C166" s="10" t="s">
        <v>338</v>
      </c>
      <c r="D166" s="15">
        <v>0</v>
      </c>
      <c r="E166" s="15">
        <v>1</v>
      </c>
      <c r="F166" s="15">
        <v>1</v>
      </c>
      <c r="G166" s="15">
        <v>0</v>
      </c>
      <c r="H166" s="15">
        <v>1</v>
      </c>
      <c r="I166">
        <v>0</v>
      </c>
    </row>
    <row r="167" spans="3:9" x14ac:dyDescent="0.25">
      <c r="C167" s="10" t="s">
        <v>253</v>
      </c>
      <c r="D167" s="15">
        <v>0</v>
      </c>
      <c r="E167" s="15">
        <v>1</v>
      </c>
      <c r="F167" s="15">
        <v>3</v>
      </c>
      <c r="G167" s="15">
        <v>1</v>
      </c>
      <c r="H167" s="15">
        <v>0</v>
      </c>
      <c r="I167">
        <v>1</v>
      </c>
    </row>
    <row r="168" spans="3:9" x14ac:dyDescent="0.25">
      <c r="C168" s="10" t="s">
        <v>216</v>
      </c>
      <c r="D168" s="15">
        <v>0</v>
      </c>
      <c r="E168" s="15">
        <v>1</v>
      </c>
      <c r="F168" s="15">
        <v>1</v>
      </c>
      <c r="G168" s="15">
        <v>1</v>
      </c>
      <c r="H168" s="15">
        <v>1</v>
      </c>
      <c r="I168">
        <v>1</v>
      </c>
    </row>
    <row r="169" spans="3:9" x14ac:dyDescent="0.25">
      <c r="C169" s="10" t="s">
        <v>297</v>
      </c>
      <c r="D169" s="15">
        <v>0</v>
      </c>
      <c r="E169" s="15">
        <v>1</v>
      </c>
      <c r="F169" s="15">
        <v>3</v>
      </c>
      <c r="G169" s="15">
        <v>1</v>
      </c>
      <c r="H169" s="15">
        <v>0</v>
      </c>
      <c r="I169">
        <v>1</v>
      </c>
    </row>
    <row r="170" spans="3:9" x14ac:dyDescent="0.25">
      <c r="C170" s="10" t="s">
        <v>286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>
        <v>0</v>
      </c>
    </row>
    <row r="171" spans="3:9" x14ac:dyDescent="0.25">
      <c r="C171" s="10" t="s">
        <v>331</v>
      </c>
      <c r="D171" s="15">
        <v>0</v>
      </c>
      <c r="E171" s="15">
        <v>1</v>
      </c>
      <c r="F171" s="15">
        <v>1</v>
      </c>
      <c r="G171" s="15">
        <v>1</v>
      </c>
      <c r="H171" s="15">
        <v>1</v>
      </c>
      <c r="I171">
        <v>1</v>
      </c>
    </row>
    <row r="172" spans="3:9" x14ac:dyDescent="0.25">
      <c r="C172" s="10" t="s">
        <v>334</v>
      </c>
      <c r="D172" s="15">
        <v>0</v>
      </c>
      <c r="E172" s="15">
        <v>1</v>
      </c>
      <c r="F172" s="15">
        <v>1</v>
      </c>
      <c r="G172" s="15">
        <v>1</v>
      </c>
      <c r="H172" s="15">
        <v>1</v>
      </c>
      <c r="I172">
        <v>1</v>
      </c>
    </row>
    <row r="173" spans="3:9" x14ac:dyDescent="0.25">
      <c r="C173" s="10" t="s">
        <v>342</v>
      </c>
      <c r="D173" s="15">
        <v>1</v>
      </c>
      <c r="E173" s="15">
        <v>1</v>
      </c>
      <c r="F173" s="15">
        <v>1</v>
      </c>
      <c r="G173" s="15">
        <v>1</v>
      </c>
      <c r="H173" s="15">
        <v>1</v>
      </c>
      <c r="I173">
        <v>0</v>
      </c>
    </row>
    <row r="174" spans="3:9" x14ac:dyDescent="0.25">
      <c r="C174" s="10" t="s">
        <v>328</v>
      </c>
      <c r="D174" s="15">
        <v>0</v>
      </c>
      <c r="E174" s="15">
        <v>1</v>
      </c>
      <c r="F174" s="15">
        <v>1</v>
      </c>
      <c r="G174" s="15">
        <v>0</v>
      </c>
      <c r="H174" s="15">
        <v>1</v>
      </c>
      <c r="I174">
        <v>1</v>
      </c>
    </row>
    <row r="175" spans="3:9" x14ac:dyDescent="0.25">
      <c r="C175" s="10" t="s">
        <v>241</v>
      </c>
      <c r="D175" s="15">
        <v>1</v>
      </c>
      <c r="E175" s="15">
        <v>1</v>
      </c>
      <c r="F175" s="15">
        <v>1</v>
      </c>
      <c r="G175" s="15">
        <v>1</v>
      </c>
      <c r="H175" s="15">
        <v>1</v>
      </c>
      <c r="I175">
        <v>0</v>
      </c>
    </row>
    <row r="176" spans="3:9" x14ac:dyDescent="0.25">
      <c r="C176" s="10" t="s">
        <v>303</v>
      </c>
      <c r="D176" s="15">
        <v>0</v>
      </c>
      <c r="E176" s="15">
        <v>1</v>
      </c>
      <c r="F176" s="15">
        <v>1</v>
      </c>
      <c r="G176" s="15">
        <v>0</v>
      </c>
      <c r="H176" s="15">
        <v>0</v>
      </c>
      <c r="I176">
        <v>1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K18"/>
    <mergeCell ref="C19:E19"/>
    <mergeCell ref="C20:E20"/>
    <mergeCell ref="F19:K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1'!$B$10:$B$10" display="Inputs" xr:uid="{4059E4E7-0C81-4CDA-9CBD-AB50B738FEF5}"/>
    <hyperlink ref="D4" location="'STDPartition1'!$B$28:$B$28" display="Partition Summary" xr:uid="{7A2A9323-933D-45ED-AFCD-79FC786AFC0E}"/>
    <hyperlink ref="F4" location="'STDPartition1'!$B$34:$B$34" display="Partitioned Data" xr:uid="{FE2E4A98-8B8E-464F-AA32-883FD0879A08}"/>
  </hyperlink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5FED-A14E-4FED-A294-F5331E242731}">
  <dimension ref="B1:CV41"/>
  <sheetViews>
    <sheetView showGridLines="0" topLeftCell="A20" workbookViewId="0"/>
  </sheetViews>
  <sheetFormatPr defaultRowHeight="13.2" x14ac:dyDescent="0.25"/>
  <cols>
    <col min="12" max="12" width="29.109375" bestFit="1" customWidth="1"/>
  </cols>
  <sheetData>
    <row r="1" spans="2:100" ht="18" x14ac:dyDescent="0.35">
      <c r="B1" s="8" t="s">
        <v>473</v>
      </c>
      <c r="N1" t="s">
        <v>501</v>
      </c>
      <c r="CV1" s="14" t="s">
        <v>491</v>
      </c>
    </row>
    <row r="3" spans="2:100" ht="15.6" x14ac:dyDescent="0.3">
      <c r="B3" s="22" t="s">
        <v>172</v>
      </c>
      <c r="C3" s="23"/>
      <c r="D3" s="23"/>
      <c r="E3" s="23"/>
      <c r="F3" s="23"/>
      <c r="G3" s="23"/>
      <c r="H3" s="23"/>
      <c r="I3" s="24"/>
      <c r="L3" s="22" t="s">
        <v>195</v>
      </c>
      <c r="M3" s="23"/>
      <c r="N3" s="23"/>
      <c r="O3" s="24"/>
    </row>
    <row r="4" spans="2:100" ht="13.8" x14ac:dyDescent="0.3">
      <c r="B4" s="29" t="s">
        <v>173</v>
      </c>
      <c r="C4" s="30"/>
      <c r="D4" s="29" t="s">
        <v>366</v>
      </c>
      <c r="E4" s="30"/>
      <c r="F4" s="29" t="s">
        <v>448</v>
      </c>
      <c r="G4" s="30"/>
      <c r="H4" s="29" t="s">
        <v>449</v>
      </c>
      <c r="I4" s="30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00" ht="13.8" x14ac:dyDescent="0.3">
      <c r="L5" s="11">
        <v>48</v>
      </c>
      <c r="M5" s="11">
        <v>10</v>
      </c>
      <c r="N5" s="11">
        <v>35</v>
      </c>
      <c r="O5" s="11">
        <v>93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  <c r="J12" s="25"/>
      <c r="K12" s="25"/>
    </row>
    <row r="13" spans="2:100" ht="13.8" x14ac:dyDescent="0.3">
      <c r="C13" s="18" t="s">
        <v>176</v>
      </c>
      <c r="D13" s="18"/>
      <c r="E13" s="18"/>
      <c r="F13" s="19"/>
      <c r="G13" s="17" t="s">
        <v>190</v>
      </c>
      <c r="H13" s="17"/>
      <c r="I13" s="17"/>
      <c r="J13" s="17"/>
      <c r="K13" s="17"/>
    </row>
    <row r="14" spans="2:100" ht="13.8" x14ac:dyDescent="0.3">
      <c r="C14" s="18" t="s">
        <v>177</v>
      </c>
      <c r="D14" s="18"/>
      <c r="E14" s="18"/>
      <c r="F14" s="19"/>
      <c r="G14" s="17" t="s">
        <v>518</v>
      </c>
      <c r="H14" s="17"/>
      <c r="I14" s="17"/>
      <c r="J14" s="17"/>
      <c r="K14" s="17"/>
    </row>
    <row r="15" spans="2:100" ht="13.8" x14ac:dyDescent="0.3">
      <c r="C15" s="18" t="s">
        <v>474</v>
      </c>
      <c r="D15" s="18"/>
      <c r="E15" s="18"/>
      <c r="F15" s="19"/>
      <c r="G15" s="17" t="s">
        <v>519</v>
      </c>
      <c r="H15" s="17"/>
      <c r="I15" s="17"/>
      <c r="J15" s="17"/>
      <c r="K15" s="17"/>
    </row>
    <row r="16" spans="2:100" ht="13.8" x14ac:dyDescent="0.3">
      <c r="C16" s="18" t="s">
        <v>475</v>
      </c>
      <c r="D16" s="18"/>
      <c r="E16" s="18"/>
      <c r="F16" s="19"/>
      <c r="G16" s="17">
        <v>98</v>
      </c>
      <c r="H16" s="17"/>
      <c r="I16" s="17"/>
      <c r="J16" s="17"/>
      <c r="K16" s="17"/>
    </row>
    <row r="17" spans="3:11" ht="13.8" x14ac:dyDescent="0.3">
      <c r="C17" s="18" t="s">
        <v>476</v>
      </c>
      <c r="D17" s="18"/>
      <c r="E17" s="18"/>
      <c r="F17" s="19"/>
      <c r="G17" s="17" t="s">
        <v>520</v>
      </c>
      <c r="H17" s="17"/>
      <c r="I17" s="17"/>
      <c r="J17" s="17"/>
      <c r="K17" s="17"/>
    </row>
    <row r="18" spans="3:11" ht="13.8" x14ac:dyDescent="0.3">
      <c r="C18" s="18" t="s">
        <v>477</v>
      </c>
      <c r="D18" s="18"/>
      <c r="E18" s="18"/>
      <c r="F18" s="19"/>
      <c r="G18" s="17">
        <v>42</v>
      </c>
      <c r="H18" s="17"/>
      <c r="I18" s="17"/>
      <c r="J18" s="17"/>
      <c r="K18" s="17"/>
    </row>
    <row r="20" spans="3:11" ht="15.6" x14ac:dyDescent="0.3">
      <c r="C20" s="25" t="s">
        <v>180</v>
      </c>
      <c r="D20" s="25"/>
      <c r="E20" s="25"/>
      <c r="F20" s="25"/>
      <c r="G20" s="25"/>
      <c r="H20" s="25"/>
      <c r="I20" s="25"/>
    </row>
    <row r="21" spans="3:11" ht="13.8" x14ac:dyDescent="0.3">
      <c r="C21" s="18" t="s">
        <v>478</v>
      </c>
      <c r="D21" s="19"/>
      <c r="E21" s="17">
        <v>5</v>
      </c>
      <c r="F21" s="17"/>
      <c r="G21" s="17"/>
      <c r="H21" s="17"/>
      <c r="I21" s="17"/>
    </row>
    <row r="22" spans="3:11" ht="13.8" x14ac:dyDescent="0.3">
      <c r="C22" s="18" t="s">
        <v>479</v>
      </c>
      <c r="D22" s="19"/>
      <c r="E22" s="11" t="s">
        <v>203</v>
      </c>
      <c r="F22" s="11" t="s">
        <v>204</v>
      </c>
      <c r="G22" s="11" t="s">
        <v>205</v>
      </c>
      <c r="H22" s="11" t="s">
        <v>206</v>
      </c>
      <c r="I22" s="11" t="s">
        <v>207</v>
      </c>
    </row>
    <row r="23" spans="3:11" ht="13.8" x14ac:dyDescent="0.3">
      <c r="C23" s="18" t="s">
        <v>480</v>
      </c>
      <c r="D23" s="19"/>
      <c r="E23" s="16" t="s">
        <v>51</v>
      </c>
      <c r="F23" s="16"/>
      <c r="G23" s="16"/>
      <c r="H23" s="16"/>
      <c r="I23" s="16"/>
    </row>
    <row r="25" spans="3:11" ht="15.6" x14ac:dyDescent="0.3">
      <c r="C25" s="25" t="s">
        <v>481</v>
      </c>
      <c r="D25" s="25"/>
      <c r="E25" s="25"/>
      <c r="F25" s="25"/>
      <c r="G25" s="25"/>
      <c r="H25" s="25"/>
      <c r="I25" s="25"/>
    </row>
    <row r="26" spans="3:11" ht="13.8" x14ac:dyDescent="0.3">
      <c r="C26" s="18" t="s">
        <v>482</v>
      </c>
      <c r="D26" s="18"/>
      <c r="E26" s="19"/>
      <c r="F26" s="17" t="b">
        <v>1</v>
      </c>
      <c r="G26" s="17"/>
      <c r="H26" s="17"/>
      <c r="I26" s="17"/>
    </row>
    <row r="27" spans="3:11" ht="13.8" x14ac:dyDescent="0.3">
      <c r="C27" s="18" t="s">
        <v>483</v>
      </c>
      <c r="D27" s="18"/>
      <c r="E27" s="19"/>
      <c r="F27" s="17">
        <v>1</v>
      </c>
      <c r="G27" s="17"/>
      <c r="H27" s="17"/>
      <c r="I27" s="17"/>
    </row>
    <row r="28" spans="3:11" ht="13.8" x14ac:dyDescent="0.3">
      <c r="C28" s="18" t="s">
        <v>484</v>
      </c>
      <c r="D28" s="18"/>
      <c r="E28" s="19"/>
      <c r="F28" s="33" t="s">
        <v>487</v>
      </c>
      <c r="G28" s="34"/>
      <c r="H28" s="34"/>
      <c r="I28" s="35"/>
    </row>
    <row r="30" spans="3:11" ht="15.6" x14ac:dyDescent="0.3">
      <c r="C30" s="22" t="s">
        <v>485</v>
      </c>
      <c r="D30" s="23"/>
      <c r="E30" s="23"/>
      <c r="F30" s="23"/>
      <c r="G30" s="23"/>
      <c r="H30" s="23"/>
      <c r="I30" s="24"/>
    </row>
    <row r="31" spans="3:11" ht="13.8" x14ac:dyDescent="0.3">
      <c r="C31" s="19" t="s">
        <v>486</v>
      </c>
      <c r="D31" s="31"/>
      <c r="E31" s="32"/>
      <c r="F31" s="33">
        <v>2</v>
      </c>
      <c r="G31" s="34"/>
      <c r="H31" s="34"/>
      <c r="I31" s="35"/>
    </row>
    <row r="32" spans="3:11" ht="13.8" x14ac:dyDescent="0.3">
      <c r="C32" s="19" t="s">
        <v>463</v>
      </c>
      <c r="D32" s="31"/>
      <c r="E32" s="32"/>
      <c r="F32" s="33">
        <v>1</v>
      </c>
      <c r="G32" s="34"/>
      <c r="H32" s="34"/>
      <c r="I32" s="35"/>
    </row>
    <row r="33" spans="3:9" ht="13.8" x14ac:dyDescent="0.3">
      <c r="C33" s="19" t="s">
        <v>464</v>
      </c>
      <c r="D33" s="31"/>
      <c r="E33" s="32"/>
      <c r="F33" s="33">
        <v>0.5</v>
      </c>
      <c r="G33" s="34"/>
      <c r="H33" s="34"/>
      <c r="I33" s="35"/>
    </row>
    <row r="35" spans="3:9" ht="15.6" x14ac:dyDescent="0.3">
      <c r="C35" s="22" t="s">
        <v>492</v>
      </c>
      <c r="D35" s="23"/>
      <c r="E35" s="23"/>
      <c r="F35" s="23"/>
      <c r="G35" s="23"/>
      <c r="H35" s="23"/>
      <c r="I35" s="24"/>
    </row>
    <row r="36" spans="3:9" ht="13.8" x14ac:dyDescent="0.3">
      <c r="C36" s="19" t="s">
        <v>493</v>
      </c>
      <c r="D36" s="31"/>
      <c r="E36" s="32"/>
      <c r="F36" s="33" t="b">
        <v>0</v>
      </c>
      <c r="G36" s="34"/>
      <c r="H36" s="34"/>
      <c r="I36" s="35"/>
    </row>
    <row r="37" spans="3:9" ht="13.8" x14ac:dyDescent="0.3">
      <c r="C37" s="19" t="s">
        <v>494</v>
      </c>
      <c r="D37" s="31"/>
      <c r="E37" s="32"/>
      <c r="F37" s="33" t="b">
        <v>0</v>
      </c>
      <c r="G37" s="34"/>
      <c r="H37" s="34"/>
      <c r="I37" s="35"/>
    </row>
    <row r="39" spans="3:9" ht="15.6" x14ac:dyDescent="0.3">
      <c r="C39" s="22" t="s">
        <v>495</v>
      </c>
      <c r="D39" s="23"/>
      <c r="E39" s="23"/>
      <c r="F39" s="23"/>
      <c r="G39" s="24"/>
    </row>
    <row r="40" spans="3:9" ht="13.8" x14ac:dyDescent="0.3">
      <c r="C40" s="26" t="s">
        <v>496</v>
      </c>
      <c r="D40" s="27"/>
      <c r="E40" s="27"/>
      <c r="F40" s="27"/>
      <c r="G40" s="28"/>
    </row>
    <row r="41" spans="3:9" ht="13.8" x14ac:dyDescent="0.3">
      <c r="C41" s="26" t="s">
        <v>497</v>
      </c>
      <c r="D41" s="27"/>
      <c r="E41" s="27"/>
      <c r="F41" s="27"/>
      <c r="G41" s="28"/>
    </row>
  </sheetData>
  <mergeCells count="4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I20"/>
    <mergeCell ref="C21:D21"/>
    <mergeCell ref="C22:D22"/>
    <mergeCell ref="C23:D23"/>
    <mergeCell ref="E21:I21"/>
    <mergeCell ref="E23:I23"/>
    <mergeCell ref="C25:I25"/>
    <mergeCell ref="C26:E26"/>
    <mergeCell ref="C27:E27"/>
    <mergeCell ref="C28:E28"/>
    <mergeCell ref="F26:I26"/>
    <mergeCell ref="F27:I27"/>
    <mergeCell ref="F28:I28"/>
    <mergeCell ref="C32:E32"/>
    <mergeCell ref="C33:E33"/>
    <mergeCell ref="F31:I31"/>
    <mergeCell ref="F32:I32"/>
    <mergeCell ref="F33:I33"/>
    <mergeCell ref="B3:I3"/>
    <mergeCell ref="L3:O3"/>
    <mergeCell ref="C40:G40"/>
    <mergeCell ref="C41:G41"/>
    <mergeCell ref="B4:C4"/>
    <mergeCell ref="D4:E4"/>
    <mergeCell ref="F4:G4"/>
    <mergeCell ref="H4:I4"/>
    <mergeCell ref="C35:I35"/>
    <mergeCell ref="C36:E36"/>
    <mergeCell ref="C37:E37"/>
    <mergeCell ref="F36:I36"/>
    <mergeCell ref="F37:I37"/>
    <mergeCell ref="C39:G39"/>
    <mergeCell ref="C30:I30"/>
    <mergeCell ref="C31:E31"/>
  </mergeCells>
  <hyperlinks>
    <hyperlink ref="B4" location="'NB_Output1'!$B$10:$B$10" display="Inputs" xr:uid="{17596F93-E028-4F5C-82CD-15489E6DE910}"/>
    <hyperlink ref="D4" location="'NB_Stored1'!$B$10:$B$10" display="PMML Model" xr:uid="{90104DD5-9E90-454D-A71E-E25A30297118}"/>
    <hyperlink ref="F4" location="'NB_TrainingScore1'!$B$10:$B$10" display="Training: Classification Summary" xr:uid="{5B1D7F50-BB45-4F01-8A3D-C6B06EAC2CF2}"/>
    <hyperlink ref="H4" location="'NB_ValidationScore1'!$B$10:$B$10" display="Validation: Classification Summary" xr:uid="{1EC13CB9-49A0-4524-BD26-5D0FDDDBE63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6D00-BE03-4203-BB3E-D8D5291E0307}">
  <dimension ref="B1:O32"/>
  <sheetViews>
    <sheetView showGridLines="0" topLeftCell="A9" workbookViewId="0">
      <selection activeCell="F21" sqref="F21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472</v>
      </c>
      <c r="N1" t="s">
        <v>501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48</v>
      </c>
      <c r="M5" s="11">
        <v>10</v>
      </c>
      <c r="N5" s="11">
        <v>35</v>
      </c>
      <c r="O5" s="11">
        <v>93</v>
      </c>
    </row>
    <row r="10" spans="2:15" ht="18" x14ac:dyDescent="0.35">
      <c r="B10" s="9" t="s">
        <v>448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62</v>
      </c>
      <c r="E14">
        <v>1</v>
      </c>
    </row>
    <row r="15" spans="2:15" x14ac:dyDescent="0.25">
      <c r="C15" s="10">
        <v>1</v>
      </c>
      <c r="D15" s="15">
        <v>6</v>
      </c>
      <c r="E15">
        <v>29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63</v>
      </c>
      <c r="E19">
        <f>SUM($D$14:$E$14) - $D$14</f>
        <v>1</v>
      </c>
      <c r="F19">
        <f>IF($D$19=0,"Undefined",$E$19*100 / $D$19)</f>
        <v>1.5873015873015872</v>
      </c>
    </row>
    <row r="20" spans="3:6" x14ac:dyDescent="0.25">
      <c r="C20" s="10">
        <v>1</v>
      </c>
      <c r="D20">
        <f>SUM($D$15:$E$15)</f>
        <v>35</v>
      </c>
      <c r="E20">
        <f>SUM($D$15:$E$15) - $E$15</f>
        <v>6</v>
      </c>
      <c r="F20">
        <f>IF($D$20=0,"Undefined",$E$20*100 / $D$20)</f>
        <v>17.142857142857142</v>
      </c>
    </row>
    <row r="21" spans="3:6" x14ac:dyDescent="0.25">
      <c r="C21" s="10" t="s">
        <v>454</v>
      </c>
      <c r="D21">
        <f>SUM($D$19:$D$20)</f>
        <v>98</v>
      </c>
      <c r="E21">
        <f>SUM($E$19:$E$20)</f>
        <v>7</v>
      </c>
      <c r="F21">
        <f>IF($D$21=0,"Undefined",$E$21*100 / $D$21)</f>
        <v>7.1428571428571432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91</v>
      </c>
    </row>
    <row r="26" spans="3:6" x14ac:dyDescent="0.25">
      <c r="C26" t="s">
        <v>458</v>
      </c>
      <c r="D26">
        <v>92.857142857142861</v>
      </c>
    </row>
    <row r="27" spans="3:6" x14ac:dyDescent="0.25">
      <c r="C27" t="s">
        <v>459</v>
      </c>
      <c r="D27">
        <v>0.98412698412698396</v>
      </c>
    </row>
    <row r="28" spans="3:6" x14ac:dyDescent="0.25">
      <c r="C28" t="s">
        <v>460</v>
      </c>
      <c r="D28">
        <v>0.82857142857142863</v>
      </c>
    </row>
    <row r="29" spans="3:6" x14ac:dyDescent="0.25">
      <c r="C29" t="s">
        <v>461</v>
      </c>
      <c r="D29">
        <v>0.96666666666666679</v>
      </c>
    </row>
    <row r="30" spans="3:6" x14ac:dyDescent="0.25">
      <c r="C30" t="s">
        <v>462</v>
      </c>
      <c r="D30">
        <v>0.89230769230769225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1'!$B$10:$B$10" display="Inputs" xr:uid="{06F51C7D-41DA-453D-9125-14CE4DE1F327}"/>
    <hyperlink ref="D4" location="'NB_Stored1'!$B$10:$B$10" display="PMML Model" xr:uid="{EDF2277D-B5B9-495E-AEB9-70E5E4886D2F}"/>
    <hyperlink ref="F4" location="'NB_TrainingScore1'!$B$10:$B$10" display="Training: Classification Summary" xr:uid="{74847C4A-14CC-4432-BC59-07340CB47770}"/>
    <hyperlink ref="H4" location="'NB_ValidationScore1'!$B$10:$B$10" display="Validation: Classification Summary" xr:uid="{EDA17FF8-049F-405C-8B5E-A9ADA3B94FA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65E4-986C-46F6-81C1-19A6C202E1C6}">
  <dimension ref="B1:O32"/>
  <sheetViews>
    <sheetView showGridLines="0" topLeftCell="A12" workbookViewId="0">
      <selection activeCell="D26" sqref="D26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450</v>
      </c>
      <c r="N1" t="s">
        <v>501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48</v>
      </c>
      <c r="M5" s="11">
        <v>10</v>
      </c>
      <c r="N5" s="11">
        <v>35</v>
      </c>
      <c r="O5" s="11">
        <v>93</v>
      </c>
    </row>
    <row r="10" spans="2:15" ht="18" x14ac:dyDescent="0.35">
      <c r="B10" s="9" t="s">
        <v>449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29</v>
      </c>
      <c r="E14">
        <v>0</v>
      </c>
    </row>
    <row r="15" spans="2:15" x14ac:dyDescent="0.25">
      <c r="C15" s="10">
        <v>1</v>
      </c>
      <c r="D15" s="15">
        <v>2</v>
      </c>
      <c r="E15">
        <v>11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29</v>
      </c>
      <c r="E19">
        <f>SUM($D$14:$E$14) - $D$14</f>
        <v>0</v>
      </c>
      <c r="F19">
        <f>IF($D$19=0,"Undefined",$E$19*100 / $D$19)</f>
        <v>0</v>
      </c>
    </row>
    <row r="20" spans="3:6" x14ac:dyDescent="0.25">
      <c r="C20" s="10">
        <v>1</v>
      </c>
      <c r="D20">
        <f>SUM($D$15:$E$15)</f>
        <v>13</v>
      </c>
      <c r="E20">
        <f>SUM($D$15:$E$15) - $E$15</f>
        <v>2</v>
      </c>
      <c r="F20">
        <f>IF($D$20=0,"Undefined",$E$20*100 / $D$20)</f>
        <v>15.384615384615385</v>
      </c>
    </row>
    <row r="21" spans="3:6" x14ac:dyDescent="0.25">
      <c r="C21" s="10" t="s">
        <v>454</v>
      </c>
      <c r="D21">
        <f>SUM($D$19:$D$20)</f>
        <v>42</v>
      </c>
      <c r="E21">
        <f>SUM($E$19:$E$20)</f>
        <v>2</v>
      </c>
      <c r="F21">
        <f>IF($D$21=0,"Undefined",$E$21*100 / $D$21)</f>
        <v>4.7619047619047619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40</v>
      </c>
    </row>
    <row r="26" spans="3:6" x14ac:dyDescent="0.25">
      <c r="C26" t="s">
        <v>458</v>
      </c>
      <c r="D26">
        <v>95.238095238095241</v>
      </c>
    </row>
    <row r="27" spans="3:6" x14ac:dyDescent="0.25">
      <c r="C27" t="s">
        <v>459</v>
      </c>
      <c r="D27">
        <v>1</v>
      </c>
    </row>
    <row r="28" spans="3:6" x14ac:dyDescent="0.25">
      <c r="C28" t="s">
        <v>460</v>
      </c>
      <c r="D28">
        <v>0.84615384615384615</v>
      </c>
    </row>
    <row r="29" spans="3:6" x14ac:dyDescent="0.25">
      <c r="C29" t="s">
        <v>461</v>
      </c>
      <c r="D29">
        <v>1</v>
      </c>
    </row>
    <row r="30" spans="3:6" x14ac:dyDescent="0.25">
      <c r="C30" t="s">
        <v>462</v>
      </c>
      <c r="D30">
        <v>0.91666666666666663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1'!$B$10:$B$10" display="Inputs" xr:uid="{5427A222-0C60-44B5-8B9F-63991B4CAC02}"/>
    <hyperlink ref="D4" location="'NB_Stored1'!$B$10:$B$10" display="PMML Model" xr:uid="{CE2B5550-A3EB-4B3A-A917-95EB6CB3AF7A}"/>
    <hyperlink ref="F4" location="'NB_TrainingScore1'!$B$10:$B$10" display="Training: Classification Summary" xr:uid="{A876C0C5-0164-4A44-82FD-D030CFF5B425}"/>
    <hyperlink ref="H4" location="'NB_ValidationScore1'!$B$10:$B$10" display="Validation: Classification Summary" xr:uid="{B9BBB831-A872-4612-927D-B2A70F4D92B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76B3-08F6-451D-BBA8-13A542BA1463}">
  <dimension ref="B1:O172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8" t="s">
        <v>365</v>
      </c>
      <c r="N1" t="s">
        <v>501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48</v>
      </c>
      <c r="M5" s="11">
        <v>10</v>
      </c>
      <c r="N5" s="11">
        <v>35</v>
      </c>
      <c r="O5" s="11">
        <v>93</v>
      </c>
    </row>
    <row r="10" spans="2:15" ht="18" x14ac:dyDescent="0.35">
      <c r="B10" s="9" t="s">
        <v>366</v>
      </c>
    </row>
    <row r="12" spans="2:15" x14ac:dyDescent="0.25">
      <c r="B12" t="s">
        <v>367</v>
      </c>
    </row>
    <row r="13" spans="2:15" x14ac:dyDescent="0.25">
      <c r="B13" t="s">
        <v>368</v>
      </c>
    </row>
    <row r="14" spans="2:15" x14ac:dyDescent="0.25">
      <c r="B14" t="s">
        <v>369</v>
      </c>
    </row>
    <row r="15" spans="2:15" x14ac:dyDescent="0.25">
      <c r="B15" t="s">
        <v>370</v>
      </c>
    </row>
    <row r="16" spans="2:15" x14ac:dyDescent="0.25">
      <c r="B16" t="s">
        <v>500</v>
      </c>
    </row>
    <row r="17" spans="2:2" x14ac:dyDescent="0.25">
      <c r="B17" t="s">
        <v>372</v>
      </c>
    </row>
    <row r="18" spans="2:2" x14ac:dyDescent="0.25">
      <c r="B18" t="s">
        <v>373</v>
      </c>
    </row>
    <row r="19" spans="2:2" x14ac:dyDescent="0.25">
      <c r="B19" t="s">
        <v>374</v>
      </c>
    </row>
    <row r="20" spans="2:2" x14ac:dyDescent="0.25">
      <c r="B20" t="s">
        <v>375</v>
      </c>
    </row>
    <row r="21" spans="2:2" x14ac:dyDescent="0.25">
      <c r="B21" t="s">
        <v>376</v>
      </c>
    </row>
    <row r="22" spans="2:2" x14ac:dyDescent="0.25">
      <c r="B22" t="s">
        <v>377</v>
      </c>
    </row>
    <row r="23" spans="2:2" x14ac:dyDescent="0.25">
      <c r="B23" t="s">
        <v>378</v>
      </c>
    </row>
    <row r="24" spans="2:2" x14ac:dyDescent="0.25">
      <c r="B24" t="s">
        <v>379</v>
      </c>
    </row>
    <row r="25" spans="2:2" x14ac:dyDescent="0.25">
      <c r="B25" t="s">
        <v>380</v>
      </c>
    </row>
    <row r="26" spans="2:2" x14ac:dyDescent="0.25">
      <c r="B26" t="s">
        <v>381</v>
      </c>
    </row>
    <row r="27" spans="2:2" x14ac:dyDescent="0.25">
      <c r="B27" t="s">
        <v>382</v>
      </c>
    </row>
    <row r="28" spans="2:2" x14ac:dyDescent="0.25">
      <c r="B28" t="s">
        <v>383</v>
      </c>
    </row>
    <row r="29" spans="2:2" x14ac:dyDescent="0.25">
      <c r="B29" t="s">
        <v>384</v>
      </c>
    </row>
    <row r="30" spans="2:2" x14ac:dyDescent="0.25">
      <c r="B30" t="s">
        <v>385</v>
      </c>
    </row>
    <row r="31" spans="2:2" x14ac:dyDescent="0.25">
      <c r="B31" t="s">
        <v>386</v>
      </c>
    </row>
    <row r="32" spans="2:2" x14ac:dyDescent="0.25">
      <c r="B32" t="s">
        <v>387</v>
      </c>
    </row>
    <row r="33" spans="2:2" x14ac:dyDescent="0.25">
      <c r="B33" t="s">
        <v>389</v>
      </c>
    </row>
    <row r="34" spans="2:2" x14ac:dyDescent="0.25">
      <c r="B34" t="s">
        <v>390</v>
      </c>
    </row>
    <row r="35" spans="2:2" x14ac:dyDescent="0.25">
      <c r="B35" t="s">
        <v>391</v>
      </c>
    </row>
    <row r="36" spans="2:2" x14ac:dyDescent="0.25">
      <c r="B36" t="s">
        <v>392</v>
      </c>
    </row>
    <row r="37" spans="2:2" x14ac:dyDescent="0.25">
      <c r="B37" t="s">
        <v>393</v>
      </c>
    </row>
    <row r="38" spans="2:2" x14ac:dyDescent="0.25">
      <c r="B38" t="s">
        <v>394</v>
      </c>
    </row>
    <row r="39" spans="2:2" x14ac:dyDescent="0.25">
      <c r="B39" t="s">
        <v>395</v>
      </c>
    </row>
    <row r="40" spans="2:2" x14ac:dyDescent="0.25">
      <c r="B40" t="s">
        <v>396</v>
      </c>
    </row>
    <row r="41" spans="2:2" x14ac:dyDescent="0.25">
      <c r="B41" t="s">
        <v>502</v>
      </c>
    </row>
    <row r="42" spans="2:2" x14ac:dyDescent="0.25">
      <c r="B42" t="s">
        <v>503</v>
      </c>
    </row>
    <row r="43" spans="2:2" x14ac:dyDescent="0.25">
      <c r="B43" t="s">
        <v>399</v>
      </c>
    </row>
    <row r="44" spans="2:2" x14ac:dyDescent="0.25">
      <c r="B44" t="s">
        <v>400</v>
      </c>
    </row>
    <row r="45" spans="2:2" x14ac:dyDescent="0.25">
      <c r="B45" t="s">
        <v>401</v>
      </c>
    </row>
    <row r="46" spans="2:2" x14ac:dyDescent="0.25">
      <c r="B46" t="s">
        <v>402</v>
      </c>
    </row>
    <row r="47" spans="2:2" x14ac:dyDescent="0.25">
      <c r="B47" t="s">
        <v>403</v>
      </c>
    </row>
    <row r="48" spans="2:2" x14ac:dyDescent="0.25">
      <c r="B48" t="s">
        <v>404</v>
      </c>
    </row>
    <row r="49" spans="2:2" x14ac:dyDescent="0.25">
      <c r="B49" t="s">
        <v>504</v>
      </c>
    </row>
    <row r="50" spans="2:2" x14ac:dyDescent="0.25">
      <c r="B50" t="s">
        <v>505</v>
      </c>
    </row>
    <row r="51" spans="2:2" x14ac:dyDescent="0.25">
      <c r="B51" t="s">
        <v>407</v>
      </c>
    </row>
    <row r="52" spans="2:2" x14ac:dyDescent="0.25">
      <c r="B52" t="s">
        <v>408</v>
      </c>
    </row>
    <row r="53" spans="2:2" x14ac:dyDescent="0.25">
      <c r="B53" t="s">
        <v>409</v>
      </c>
    </row>
    <row r="54" spans="2:2" x14ac:dyDescent="0.25">
      <c r="B54" t="s">
        <v>404</v>
      </c>
    </row>
    <row r="55" spans="2:2" x14ac:dyDescent="0.25">
      <c r="B55" t="s">
        <v>506</v>
      </c>
    </row>
    <row r="56" spans="2:2" x14ac:dyDescent="0.25">
      <c r="B56" t="s">
        <v>411</v>
      </c>
    </row>
    <row r="57" spans="2:2" x14ac:dyDescent="0.25">
      <c r="B57" t="s">
        <v>407</v>
      </c>
    </row>
    <row r="58" spans="2:2" x14ac:dyDescent="0.25">
      <c r="B58" t="s">
        <v>408</v>
      </c>
    </row>
    <row r="59" spans="2:2" x14ac:dyDescent="0.25">
      <c r="B59" t="s">
        <v>412</v>
      </c>
    </row>
    <row r="60" spans="2:2" x14ac:dyDescent="0.25">
      <c r="B60" t="s">
        <v>404</v>
      </c>
    </row>
    <row r="61" spans="2:2" x14ac:dyDescent="0.25">
      <c r="B61" t="s">
        <v>410</v>
      </c>
    </row>
    <row r="62" spans="2:2" x14ac:dyDescent="0.25">
      <c r="B62" t="s">
        <v>440</v>
      </c>
    </row>
    <row r="63" spans="2:2" x14ac:dyDescent="0.25">
      <c r="B63" t="s">
        <v>407</v>
      </c>
    </row>
    <row r="64" spans="2:2" x14ac:dyDescent="0.25">
      <c r="B64" t="s">
        <v>408</v>
      </c>
    </row>
    <row r="65" spans="2:2" x14ac:dyDescent="0.25">
      <c r="B65" t="s">
        <v>415</v>
      </c>
    </row>
    <row r="66" spans="2:2" x14ac:dyDescent="0.25">
      <c r="B66" t="s">
        <v>416</v>
      </c>
    </row>
    <row r="67" spans="2:2" x14ac:dyDescent="0.25">
      <c r="B67" t="s">
        <v>412</v>
      </c>
    </row>
    <row r="68" spans="2:2" x14ac:dyDescent="0.25">
      <c r="B68" t="s">
        <v>404</v>
      </c>
    </row>
    <row r="69" spans="2:2" x14ac:dyDescent="0.25">
      <c r="B69" t="s">
        <v>507</v>
      </c>
    </row>
    <row r="70" spans="2:2" x14ac:dyDescent="0.25">
      <c r="B70" t="s">
        <v>508</v>
      </c>
    </row>
    <row r="71" spans="2:2" x14ac:dyDescent="0.25">
      <c r="B71" t="s">
        <v>407</v>
      </c>
    </row>
    <row r="72" spans="2:2" x14ac:dyDescent="0.25">
      <c r="B72" t="s">
        <v>408</v>
      </c>
    </row>
    <row r="73" spans="2:2" x14ac:dyDescent="0.25">
      <c r="B73" t="s">
        <v>403</v>
      </c>
    </row>
    <row r="74" spans="2:2" x14ac:dyDescent="0.25">
      <c r="B74" t="s">
        <v>404</v>
      </c>
    </row>
    <row r="75" spans="2:2" x14ac:dyDescent="0.25">
      <c r="B75" t="s">
        <v>509</v>
      </c>
    </row>
    <row r="76" spans="2:2" x14ac:dyDescent="0.25">
      <c r="B76" t="s">
        <v>510</v>
      </c>
    </row>
    <row r="77" spans="2:2" x14ac:dyDescent="0.25">
      <c r="B77" t="s">
        <v>407</v>
      </c>
    </row>
    <row r="78" spans="2:2" x14ac:dyDescent="0.25">
      <c r="B78" t="s">
        <v>408</v>
      </c>
    </row>
    <row r="79" spans="2:2" x14ac:dyDescent="0.25">
      <c r="B79" t="s">
        <v>409</v>
      </c>
    </row>
    <row r="80" spans="2:2" x14ac:dyDescent="0.25">
      <c r="B80" t="s">
        <v>404</v>
      </c>
    </row>
    <row r="81" spans="2:2" x14ac:dyDescent="0.25">
      <c r="B81" t="s">
        <v>410</v>
      </c>
    </row>
    <row r="82" spans="2:2" x14ac:dyDescent="0.25">
      <c r="B82" t="s">
        <v>411</v>
      </c>
    </row>
    <row r="83" spans="2:2" x14ac:dyDescent="0.25">
      <c r="B83" t="s">
        <v>407</v>
      </c>
    </row>
    <row r="84" spans="2:2" x14ac:dyDescent="0.25">
      <c r="B84" t="s">
        <v>408</v>
      </c>
    </row>
    <row r="85" spans="2:2" x14ac:dyDescent="0.25">
      <c r="B85" t="s">
        <v>422</v>
      </c>
    </row>
    <row r="86" spans="2:2" x14ac:dyDescent="0.25">
      <c r="B86" t="s">
        <v>404</v>
      </c>
    </row>
    <row r="87" spans="2:2" x14ac:dyDescent="0.25">
      <c r="B87" t="s">
        <v>507</v>
      </c>
    </row>
    <row r="88" spans="2:2" x14ac:dyDescent="0.25">
      <c r="B88" t="s">
        <v>411</v>
      </c>
    </row>
    <row r="89" spans="2:2" x14ac:dyDescent="0.25">
      <c r="B89" t="s">
        <v>407</v>
      </c>
    </row>
    <row r="90" spans="2:2" x14ac:dyDescent="0.25">
      <c r="B90" t="s">
        <v>408</v>
      </c>
    </row>
    <row r="91" spans="2:2" x14ac:dyDescent="0.25">
      <c r="B91" t="s">
        <v>415</v>
      </c>
    </row>
    <row r="92" spans="2:2" x14ac:dyDescent="0.25">
      <c r="B92" t="s">
        <v>424</v>
      </c>
    </row>
    <row r="93" spans="2:2" x14ac:dyDescent="0.25">
      <c r="B93" t="s">
        <v>412</v>
      </c>
    </row>
    <row r="94" spans="2:2" x14ac:dyDescent="0.25">
      <c r="B94" t="s">
        <v>404</v>
      </c>
    </row>
    <row r="95" spans="2:2" x14ac:dyDescent="0.25">
      <c r="B95" t="s">
        <v>437</v>
      </c>
    </row>
    <row r="96" spans="2:2" x14ac:dyDescent="0.25">
      <c r="B96" t="s">
        <v>440</v>
      </c>
    </row>
    <row r="97" spans="2:2" x14ac:dyDescent="0.25">
      <c r="B97" t="s">
        <v>407</v>
      </c>
    </row>
    <row r="98" spans="2:2" x14ac:dyDescent="0.25">
      <c r="B98" t="s">
        <v>408</v>
      </c>
    </row>
    <row r="99" spans="2:2" x14ac:dyDescent="0.25">
      <c r="B99" t="s">
        <v>403</v>
      </c>
    </row>
    <row r="100" spans="2:2" x14ac:dyDescent="0.25">
      <c r="B100" t="s">
        <v>404</v>
      </c>
    </row>
    <row r="101" spans="2:2" x14ac:dyDescent="0.25">
      <c r="B101" t="s">
        <v>511</v>
      </c>
    </row>
    <row r="102" spans="2:2" x14ac:dyDescent="0.25">
      <c r="B102" t="s">
        <v>438</v>
      </c>
    </row>
    <row r="103" spans="2:2" x14ac:dyDescent="0.25">
      <c r="B103" t="s">
        <v>407</v>
      </c>
    </row>
    <row r="104" spans="2:2" x14ac:dyDescent="0.25">
      <c r="B104" t="s">
        <v>408</v>
      </c>
    </row>
    <row r="105" spans="2:2" x14ac:dyDescent="0.25">
      <c r="B105" t="s">
        <v>409</v>
      </c>
    </row>
    <row r="106" spans="2:2" x14ac:dyDescent="0.25">
      <c r="B106" t="s">
        <v>404</v>
      </c>
    </row>
    <row r="107" spans="2:2" x14ac:dyDescent="0.25">
      <c r="B107" t="s">
        <v>427</v>
      </c>
    </row>
    <row r="108" spans="2:2" x14ac:dyDescent="0.25">
      <c r="B108" t="s">
        <v>428</v>
      </c>
    </row>
    <row r="109" spans="2:2" x14ac:dyDescent="0.25">
      <c r="B109" t="s">
        <v>407</v>
      </c>
    </row>
    <row r="110" spans="2:2" x14ac:dyDescent="0.25">
      <c r="B110" t="s">
        <v>408</v>
      </c>
    </row>
    <row r="111" spans="2:2" x14ac:dyDescent="0.25">
      <c r="B111" t="s">
        <v>422</v>
      </c>
    </row>
    <row r="112" spans="2:2" x14ac:dyDescent="0.25">
      <c r="B112" t="s">
        <v>404</v>
      </c>
    </row>
    <row r="113" spans="2:2" x14ac:dyDescent="0.25">
      <c r="B113" t="s">
        <v>429</v>
      </c>
    </row>
    <row r="114" spans="2:2" x14ac:dyDescent="0.25">
      <c r="B114" t="s">
        <v>512</v>
      </c>
    </row>
    <row r="115" spans="2:2" x14ac:dyDescent="0.25">
      <c r="B115" t="s">
        <v>407</v>
      </c>
    </row>
    <row r="116" spans="2:2" x14ac:dyDescent="0.25">
      <c r="B116" t="s">
        <v>408</v>
      </c>
    </row>
    <row r="117" spans="2:2" x14ac:dyDescent="0.25">
      <c r="B117" t="s">
        <v>415</v>
      </c>
    </row>
    <row r="118" spans="2:2" x14ac:dyDescent="0.25">
      <c r="B118" t="s">
        <v>431</v>
      </c>
    </row>
    <row r="119" spans="2:2" x14ac:dyDescent="0.25">
      <c r="B119" t="s">
        <v>403</v>
      </c>
    </row>
    <row r="120" spans="2:2" x14ac:dyDescent="0.25">
      <c r="B120" t="s">
        <v>404</v>
      </c>
    </row>
    <row r="121" spans="2:2" x14ac:dyDescent="0.25">
      <c r="B121" t="s">
        <v>513</v>
      </c>
    </row>
    <row r="122" spans="2:2" x14ac:dyDescent="0.25">
      <c r="B122" t="s">
        <v>438</v>
      </c>
    </row>
    <row r="123" spans="2:2" x14ac:dyDescent="0.25">
      <c r="B123" t="s">
        <v>407</v>
      </c>
    </row>
    <row r="124" spans="2:2" x14ac:dyDescent="0.25">
      <c r="B124" t="s">
        <v>408</v>
      </c>
    </row>
    <row r="125" spans="2:2" x14ac:dyDescent="0.25">
      <c r="B125" t="s">
        <v>412</v>
      </c>
    </row>
    <row r="126" spans="2:2" x14ac:dyDescent="0.25">
      <c r="B126" t="s">
        <v>404</v>
      </c>
    </row>
    <row r="127" spans="2:2" x14ac:dyDescent="0.25">
      <c r="B127" t="s">
        <v>432</v>
      </c>
    </row>
    <row r="128" spans="2:2" x14ac:dyDescent="0.25">
      <c r="B128" t="s">
        <v>411</v>
      </c>
    </row>
    <row r="129" spans="2:2" x14ac:dyDescent="0.25">
      <c r="B129" t="s">
        <v>407</v>
      </c>
    </row>
    <row r="130" spans="2:2" x14ac:dyDescent="0.25">
      <c r="B130" t="s">
        <v>408</v>
      </c>
    </row>
    <row r="131" spans="2:2" x14ac:dyDescent="0.25">
      <c r="B131" t="s">
        <v>409</v>
      </c>
    </row>
    <row r="132" spans="2:2" x14ac:dyDescent="0.25">
      <c r="B132" t="s">
        <v>404</v>
      </c>
    </row>
    <row r="133" spans="2:2" x14ac:dyDescent="0.25">
      <c r="B133" t="s">
        <v>423</v>
      </c>
    </row>
    <row r="134" spans="2:2" x14ac:dyDescent="0.25">
      <c r="B134" t="s">
        <v>435</v>
      </c>
    </row>
    <row r="135" spans="2:2" x14ac:dyDescent="0.25">
      <c r="B135" t="s">
        <v>407</v>
      </c>
    </row>
    <row r="136" spans="2:2" x14ac:dyDescent="0.25">
      <c r="B136" t="s">
        <v>408</v>
      </c>
    </row>
    <row r="137" spans="2:2" x14ac:dyDescent="0.25">
      <c r="B137" t="s">
        <v>422</v>
      </c>
    </row>
    <row r="138" spans="2:2" x14ac:dyDescent="0.25">
      <c r="B138" t="s">
        <v>404</v>
      </c>
    </row>
    <row r="139" spans="2:2" x14ac:dyDescent="0.25">
      <c r="B139" t="s">
        <v>429</v>
      </c>
    </row>
    <row r="140" spans="2:2" x14ac:dyDescent="0.25">
      <c r="B140" t="s">
        <v>430</v>
      </c>
    </row>
    <row r="141" spans="2:2" x14ac:dyDescent="0.25">
      <c r="B141" t="s">
        <v>407</v>
      </c>
    </row>
    <row r="142" spans="2:2" x14ac:dyDescent="0.25">
      <c r="B142" t="s">
        <v>408</v>
      </c>
    </row>
    <row r="143" spans="2:2" x14ac:dyDescent="0.25">
      <c r="B143" t="s">
        <v>415</v>
      </c>
    </row>
    <row r="144" spans="2:2" x14ac:dyDescent="0.25">
      <c r="B144" t="s">
        <v>436</v>
      </c>
    </row>
    <row r="145" spans="2:2" x14ac:dyDescent="0.25">
      <c r="B145" t="s">
        <v>403</v>
      </c>
    </row>
    <row r="146" spans="2:2" x14ac:dyDescent="0.25">
      <c r="B146" t="s">
        <v>404</v>
      </c>
    </row>
    <row r="147" spans="2:2" x14ac:dyDescent="0.25">
      <c r="B147" t="s">
        <v>514</v>
      </c>
    </row>
    <row r="148" spans="2:2" x14ac:dyDescent="0.25">
      <c r="B148" t="s">
        <v>406</v>
      </c>
    </row>
    <row r="149" spans="2:2" x14ac:dyDescent="0.25">
      <c r="B149" t="s">
        <v>407</v>
      </c>
    </row>
    <row r="150" spans="2:2" x14ac:dyDescent="0.25">
      <c r="B150" t="s">
        <v>408</v>
      </c>
    </row>
    <row r="151" spans="2:2" x14ac:dyDescent="0.25">
      <c r="B151" t="s">
        <v>412</v>
      </c>
    </row>
    <row r="152" spans="2:2" x14ac:dyDescent="0.25">
      <c r="B152" t="s">
        <v>404</v>
      </c>
    </row>
    <row r="153" spans="2:2" x14ac:dyDescent="0.25">
      <c r="B153" t="s">
        <v>515</v>
      </c>
    </row>
    <row r="154" spans="2:2" x14ac:dyDescent="0.25">
      <c r="B154" t="s">
        <v>435</v>
      </c>
    </row>
    <row r="155" spans="2:2" x14ac:dyDescent="0.25">
      <c r="B155" t="s">
        <v>407</v>
      </c>
    </row>
    <row r="156" spans="2:2" x14ac:dyDescent="0.25">
      <c r="B156" t="s">
        <v>408</v>
      </c>
    </row>
    <row r="157" spans="2:2" x14ac:dyDescent="0.25">
      <c r="B157" t="s">
        <v>409</v>
      </c>
    </row>
    <row r="158" spans="2:2" x14ac:dyDescent="0.25">
      <c r="B158" t="s">
        <v>404</v>
      </c>
    </row>
    <row r="159" spans="2:2" x14ac:dyDescent="0.25">
      <c r="B159" t="s">
        <v>429</v>
      </c>
    </row>
    <row r="160" spans="2:2" x14ac:dyDescent="0.25">
      <c r="B160" t="s">
        <v>428</v>
      </c>
    </row>
    <row r="161" spans="2:2" x14ac:dyDescent="0.25">
      <c r="B161" t="s">
        <v>407</v>
      </c>
    </row>
    <row r="162" spans="2:2" x14ac:dyDescent="0.25">
      <c r="B162" t="s">
        <v>408</v>
      </c>
    </row>
    <row r="163" spans="2:2" x14ac:dyDescent="0.25">
      <c r="B163" t="s">
        <v>415</v>
      </c>
    </row>
    <row r="164" spans="2:2" x14ac:dyDescent="0.25">
      <c r="B164" t="s">
        <v>441</v>
      </c>
    </row>
    <row r="165" spans="2:2" x14ac:dyDescent="0.25">
      <c r="B165" t="s">
        <v>442</v>
      </c>
    </row>
    <row r="166" spans="2:2" x14ac:dyDescent="0.25">
      <c r="B166" t="s">
        <v>404</v>
      </c>
    </row>
    <row r="167" spans="2:2" x14ac:dyDescent="0.25">
      <c r="B167" t="s">
        <v>516</v>
      </c>
    </row>
    <row r="168" spans="2:2" x14ac:dyDescent="0.25">
      <c r="B168" t="s">
        <v>517</v>
      </c>
    </row>
    <row r="169" spans="2:2" x14ac:dyDescent="0.25">
      <c r="B169" t="s">
        <v>407</v>
      </c>
    </row>
    <row r="170" spans="2:2" x14ac:dyDescent="0.25">
      <c r="B170" t="s">
        <v>445</v>
      </c>
    </row>
    <row r="171" spans="2:2" x14ac:dyDescent="0.25">
      <c r="B171" t="s">
        <v>446</v>
      </c>
    </row>
    <row r="172" spans="2:2" x14ac:dyDescent="0.25">
      <c r="B172" t="s">
        <v>447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NB_Output1'!$B$10:$B$10" display="Inputs" xr:uid="{C625EA06-E857-4485-A10A-11F02C0B7DBB}"/>
    <hyperlink ref="D4" location="'NB_Stored1'!$B$10:$B$10" display="PMML Model" xr:uid="{93CE09BB-22E7-497A-A9CA-6C0C05A1B216}"/>
    <hyperlink ref="F4" location="'NB_TrainingScore1'!$B$10:$B$10" display="Training: Classification Summary" xr:uid="{5EA0ED20-D56F-46AB-A529-20EBE68D0299}"/>
    <hyperlink ref="H4" location="'NB_ValidationScore1'!$B$10:$B$10" display="Validation: Classification Summary" xr:uid="{CBEE95FB-6017-400F-8CF5-8C72699583C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D490-4D3B-440F-833E-6F6874BF10BF}">
  <dimension ref="B1:CV176"/>
  <sheetViews>
    <sheetView showGridLines="0" topLeftCell="A34" workbookViewId="0">
      <selection activeCell="G54" sqref="G54"/>
    </sheetView>
  </sheetViews>
  <sheetFormatPr defaultRowHeight="13.2" x14ac:dyDescent="0.25"/>
  <cols>
    <col min="3" max="3" width="11.5546875" customWidth="1"/>
    <col min="4" max="4" width="20.6640625" bestFit="1" customWidth="1"/>
    <col min="5" max="9" width="14.5546875" customWidth="1"/>
    <col min="10" max="10" width="29.109375" bestFit="1" customWidth="1"/>
  </cols>
  <sheetData>
    <row r="1" spans="2:100" ht="18" x14ac:dyDescent="0.35">
      <c r="B1" s="8" t="s">
        <v>348</v>
      </c>
      <c r="N1" t="s">
        <v>358</v>
      </c>
      <c r="CV1" s="14" t="s">
        <v>359</v>
      </c>
    </row>
    <row r="3" spans="2:100" ht="15.6" x14ac:dyDescent="0.3">
      <c r="B3" s="22" t="s">
        <v>172</v>
      </c>
      <c r="C3" s="23"/>
      <c r="D3" s="23"/>
      <c r="E3" s="23"/>
      <c r="F3" s="23"/>
      <c r="G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349</v>
      </c>
      <c r="E4" s="21"/>
      <c r="F4" s="21" t="s">
        <v>360</v>
      </c>
      <c r="G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66</v>
      </c>
      <c r="K5" s="11">
        <v>16</v>
      </c>
      <c r="L5" s="11">
        <v>9</v>
      </c>
      <c r="M5" s="11">
        <v>91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355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356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140</v>
      </c>
      <c r="G16" s="17"/>
      <c r="H16" s="17"/>
      <c r="I16" s="17"/>
    </row>
    <row r="18" spans="2:11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</row>
    <row r="19" spans="2:11" ht="13.8" x14ac:dyDescent="0.3">
      <c r="C19" s="18" t="s">
        <v>181</v>
      </c>
      <c r="D19" s="18"/>
      <c r="E19" s="19"/>
      <c r="F19" s="17">
        <v>6</v>
      </c>
      <c r="G19" s="17"/>
      <c r="H19" s="17"/>
      <c r="I19" s="17"/>
      <c r="J19" s="17"/>
      <c r="K19" s="17"/>
    </row>
    <row r="20" spans="2:11" ht="13.8" x14ac:dyDescent="0.3">
      <c r="C20" s="18" t="s">
        <v>182</v>
      </c>
      <c r="D20" s="18"/>
      <c r="E20" s="19"/>
      <c r="F20" s="11" t="s">
        <v>51</v>
      </c>
      <c r="G20" s="11" t="s">
        <v>203</v>
      </c>
      <c r="H20" s="11" t="s">
        <v>204</v>
      </c>
      <c r="I20" s="11" t="s">
        <v>205</v>
      </c>
      <c r="J20" s="11" t="s">
        <v>206</v>
      </c>
      <c r="K20" s="11" t="s">
        <v>207</v>
      </c>
    </row>
    <row r="22" spans="2:11" ht="15.6" x14ac:dyDescent="0.3">
      <c r="C22" s="25" t="s">
        <v>350</v>
      </c>
      <c r="D22" s="25"/>
      <c r="E22" s="25"/>
      <c r="F22" s="25"/>
      <c r="G22" s="25"/>
      <c r="H22" s="25"/>
      <c r="I22" s="25"/>
    </row>
    <row r="23" spans="2:11" ht="13.8" x14ac:dyDescent="0.3">
      <c r="C23" s="18" t="s">
        <v>351</v>
      </c>
      <c r="D23" s="18"/>
      <c r="E23" s="19"/>
      <c r="F23" s="17" t="s">
        <v>357</v>
      </c>
      <c r="G23" s="17"/>
      <c r="H23" s="17"/>
      <c r="I23" s="17"/>
    </row>
    <row r="24" spans="2:11" ht="13.8" x14ac:dyDescent="0.3">
      <c r="C24" s="18" t="s">
        <v>352</v>
      </c>
      <c r="D24" s="18"/>
      <c r="E24" s="19"/>
      <c r="F24" s="17">
        <v>12345</v>
      </c>
      <c r="G24" s="17"/>
      <c r="H24" s="17"/>
      <c r="I24" s="17"/>
    </row>
    <row r="25" spans="2:11" ht="13.8" x14ac:dyDescent="0.3">
      <c r="C25" s="18" t="s">
        <v>353</v>
      </c>
      <c r="D25" s="18"/>
      <c r="E25" s="19"/>
      <c r="F25" s="17">
        <v>0.6</v>
      </c>
      <c r="G25" s="17"/>
      <c r="H25" s="17"/>
      <c r="I25" s="17"/>
    </row>
    <row r="26" spans="2:11" ht="13.8" x14ac:dyDescent="0.3">
      <c r="C26" s="18" t="s">
        <v>354</v>
      </c>
      <c r="D26" s="18"/>
      <c r="E26" s="19"/>
      <c r="F26" s="17">
        <v>0.4</v>
      </c>
      <c r="G26" s="17"/>
      <c r="H26" s="17"/>
      <c r="I26" s="17"/>
    </row>
    <row r="28" spans="2:11" ht="18" x14ac:dyDescent="0.35">
      <c r="B28" s="9" t="s">
        <v>349</v>
      </c>
    </row>
    <row r="30" spans="2:11" x14ac:dyDescent="0.25">
      <c r="C30" s="10" t="s">
        <v>361</v>
      </c>
      <c r="D30" t="s">
        <v>362</v>
      </c>
    </row>
    <row r="31" spans="2:11" x14ac:dyDescent="0.25">
      <c r="C31" s="10" t="s">
        <v>363</v>
      </c>
      <c r="D31">
        <v>84</v>
      </c>
    </row>
    <row r="32" spans="2:11" x14ac:dyDescent="0.25">
      <c r="C32" s="10" t="s">
        <v>364</v>
      </c>
      <c r="D32">
        <v>56</v>
      </c>
    </row>
    <row r="34" spans="2:9" ht="18" x14ac:dyDescent="0.35">
      <c r="B34" s="9" t="s">
        <v>360</v>
      </c>
    </row>
    <row r="36" spans="2:9" x14ac:dyDescent="0.25">
      <c r="C36" s="10" t="s">
        <v>202</v>
      </c>
      <c r="D36" t="s">
        <v>51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2:9" x14ac:dyDescent="0.25">
      <c r="C37" s="10" t="s">
        <v>208</v>
      </c>
      <c r="D37" s="15">
        <v>0</v>
      </c>
      <c r="E37" s="15">
        <v>1</v>
      </c>
      <c r="F37" s="15">
        <v>0</v>
      </c>
      <c r="G37" s="15">
        <v>0</v>
      </c>
      <c r="H37" s="15">
        <v>1</v>
      </c>
      <c r="I37">
        <v>1</v>
      </c>
    </row>
    <row r="38" spans="2:9" x14ac:dyDescent="0.25">
      <c r="C38" s="10" t="s">
        <v>212</v>
      </c>
      <c r="D38" s="15">
        <v>0</v>
      </c>
      <c r="E38" s="15">
        <v>2</v>
      </c>
      <c r="F38" s="15">
        <v>1</v>
      </c>
      <c r="G38" s="15">
        <v>0</v>
      </c>
      <c r="H38" s="15">
        <v>0</v>
      </c>
      <c r="I38">
        <v>0</v>
      </c>
    </row>
    <row r="39" spans="2:9" x14ac:dyDescent="0.25">
      <c r="C39" s="10" t="s">
        <v>215</v>
      </c>
      <c r="D39" s="15">
        <v>0</v>
      </c>
      <c r="E39" s="15">
        <v>2</v>
      </c>
      <c r="F39" s="15">
        <v>2</v>
      </c>
      <c r="G39" s="15">
        <v>1</v>
      </c>
      <c r="H39" s="15">
        <v>1</v>
      </c>
      <c r="I39">
        <v>1</v>
      </c>
    </row>
    <row r="40" spans="2:9" x14ac:dyDescent="0.25">
      <c r="C40" s="10" t="s">
        <v>222</v>
      </c>
      <c r="D40" s="15">
        <v>0</v>
      </c>
      <c r="E40" s="15">
        <v>1</v>
      </c>
      <c r="F40" s="15">
        <v>0</v>
      </c>
      <c r="G40" s="15">
        <v>1</v>
      </c>
      <c r="H40" s="15">
        <v>0</v>
      </c>
      <c r="I40">
        <v>1</v>
      </c>
    </row>
    <row r="41" spans="2:9" x14ac:dyDescent="0.25">
      <c r="C41" s="10" t="s">
        <v>225</v>
      </c>
      <c r="D41" s="15">
        <v>0</v>
      </c>
      <c r="E41" s="15">
        <v>1</v>
      </c>
      <c r="F41" s="15">
        <v>1</v>
      </c>
      <c r="G41" s="15">
        <v>0</v>
      </c>
      <c r="H41" s="15">
        <v>1</v>
      </c>
      <c r="I41">
        <v>1</v>
      </c>
    </row>
    <row r="42" spans="2:9" x14ac:dyDescent="0.25">
      <c r="C42" s="10" t="s">
        <v>227</v>
      </c>
      <c r="D42" s="15">
        <v>0</v>
      </c>
      <c r="E42" s="15">
        <v>0</v>
      </c>
      <c r="F42" s="15">
        <v>1</v>
      </c>
      <c r="G42" s="15">
        <v>2</v>
      </c>
      <c r="H42" s="15">
        <v>1</v>
      </c>
      <c r="I42">
        <v>1</v>
      </c>
    </row>
    <row r="43" spans="2:9" x14ac:dyDescent="0.25">
      <c r="C43" s="10" t="s">
        <v>228</v>
      </c>
      <c r="D43" s="15">
        <v>1</v>
      </c>
      <c r="E43" s="15">
        <v>1</v>
      </c>
      <c r="F43" s="15">
        <v>0</v>
      </c>
      <c r="G43" s="15">
        <v>0</v>
      </c>
      <c r="H43" s="15">
        <v>2</v>
      </c>
      <c r="I43">
        <v>1</v>
      </c>
    </row>
    <row r="44" spans="2:9" x14ac:dyDescent="0.25">
      <c r="C44" s="10" t="s">
        <v>229</v>
      </c>
      <c r="D44" s="15">
        <v>1</v>
      </c>
      <c r="E44" s="15">
        <v>1</v>
      </c>
      <c r="F44" s="15">
        <v>1</v>
      </c>
      <c r="G44" s="15">
        <v>0</v>
      </c>
      <c r="H44" s="15">
        <v>1</v>
      </c>
      <c r="I44">
        <v>1</v>
      </c>
    </row>
    <row r="45" spans="2:9" x14ac:dyDescent="0.25">
      <c r="C45" s="10" t="s">
        <v>230</v>
      </c>
      <c r="D45" s="15">
        <v>1</v>
      </c>
      <c r="E45" s="15">
        <v>1</v>
      </c>
      <c r="F45" s="15">
        <v>1</v>
      </c>
      <c r="G45" s="15">
        <v>2</v>
      </c>
      <c r="H45" s="15">
        <v>2</v>
      </c>
      <c r="I45">
        <v>1</v>
      </c>
    </row>
    <row r="46" spans="2:9" x14ac:dyDescent="0.25">
      <c r="C46" s="10" t="s">
        <v>232</v>
      </c>
      <c r="D46" s="15">
        <v>1</v>
      </c>
      <c r="E46" s="15">
        <v>0</v>
      </c>
      <c r="F46" s="15">
        <v>0</v>
      </c>
      <c r="G46" s="15">
        <v>1</v>
      </c>
      <c r="H46" s="15">
        <v>2</v>
      </c>
      <c r="I46">
        <v>1</v>
      </c>
    </row>
    <row r="47" spans="2:9" x14ac:dyDescent="0.25">
      <c r="C47" s="10" t="s">
        <v>233</v>
      </c>
      <c r="D47" s="15">
        <v>1</v>
      </c>
      <c r="E47" s="15">
        <v>0</v>
      </c>
      <c r="F47" s="15">
        <v>0</v>
      </c>
      <c r="G47" s="15">
        <v>3</v>
      </c>
      <c r="H47" s="15">
        <v>1</v>
      </c>
      <c r="I47">
        <v>0</v>
      </c>
    </row>
    <row r="48" spans="2:9" x14ac:dyDescent="0.25">
      <c r="C48" s="10" t="s">
        <v>235</v>
      </c>
      <c r="D48" s="15">
        <v>1</v>
      </c>
      <c r="E48" s="15">
        <v>1</v>
      </c>
      <c r="F48" s="15">
        <v>0</v>
      </c>
      <c r="G48" s="15">
        <v>1</v>
      </c>
      <c r="H48" s="15">
        <v>1</v>
      </c>
      <c r="I48">
        <v>1</v>
      </c>
    </row>
    <row r="49" spans="3:9" x14ac:dyDescent="0.25">
      <c r="C49" s="10" t="s">
        <v>236</v>
      </c>
      <c r="D49" s="15">
        <v>1</v>
      </c>
      <c r="E49" s="15">
        <v>1</v>
      </c>
      <c r="F49" s="15">
        <v>0</v>
      </c>
      <c r="G49" s="15">
        <v>1</v>
      </c>
      <c r="H49" s="15">
        <v>2</v>
      </c>
      <c r="I49">
        <v>1</v>
      </c>
    </row>
    <row r="50" spans="3:9" x14ac:dyDescent="0.25">
      <c r="C50" s="10" t="s">
        <v>239</v>
      </c>
      <c r="D50" s="15">
        <v>1</v>
      </c>
      <c r="E50" s="15">
        <v>1</v>
      </c>
      <c r="F50" s="15">
        <v>1</v>
      </c>
      <c r="G50" s="15">
        <v>1</v>
      </c>
      <c r="H50" s="15">
        <v>1</v>
      </c>
      <c r="I50">
        <v>0</v>
      </c>
    </row>
    <row r="51" spans="3:9" x14ac:dyDescent="0.25">
      <c r="C51" s="10" t="s">
        <v>242</v>
      </c>
      <c r="D51" s="15">
        <v>1</v>
      </c>
      <c r="E51" s="15">
        <v>1</v>
      </c>
      <c r="F51" s="15">
        <v>1</v>
      </c>
      <c r="G51" s="15">
        <v>0</v>
      </c>
      <c r="H51" s="15">
        <v>3</v>
      </c>
      <c r="I51">
        <v>1</v>
      </c>
    </row>
    <row r="52" spans="3:9" x14ac:dyDescent="0.25">
      <c r="C52" s="10" t="s">
        <v>244</v>
      </c>
      <c r="D52" s="15">
        <v>1</v>
      </c>
      <c r="E52" s="15">
        <v>1</v>
      </c>
      <c r="F52" s="15">
        <v>1</v>
      </c>
      <c r="G52" s="15">
        <v>1</v>
      </c>
      <c r="H52" s="15">
        <v>1</v>
      </c>
      <c r="I52">
        <v>0</v>
      </c>
    </row>
    <row r="53" spans="3:9" x14ac:dyDescent="0.25">
      <c r="C53" s="10" t="s">
        <v>254</v>
      </c>
      <c r="D53" s="15">
        <v>0</v>
      </c>
      <c r="E53" s="15">
        <v>1</v>
      </c>
      <c r="F53" s="15">
        <v>1</v>
      </c>
      <c r="G53" s="15">
        <v>1</v>
      </c>
      <c r="H53" s="15">
        <v>1</v>
      </c>
      <c r="I53">
        <v>1</v>
      </c>
    </row>
    <row r="54" spans="3:9" x14ac:dyDescent="0.25">
      <c r="C54" s="10" t="s">
        <v>255</v>
      </c>
      <c r="D54" s="15">
        <v>0</v>
      </c>
      <c r="E54" s="15">
        <v>1</v>
      </c>
      <c r="F54" s="15">
        <v>3</v>
      </c>
      <c r="G54" s="15">
        <v>0</v>
      </c>
      <c r="H54" s="15">
        <v>2</v>
      </c>
      <c r="I54">
        <v>0</v>
      </c>
    </row>
    <row r="55" spans="3:9" x14ac:dyDescent="0.25">
      <c r="C55" s="10" t="s">
        <v>256</v>
      </c>
      <c r="D55" s="15">
        <v>0</v>
      </c>
      <c r="E55" s="15">
        <v>1</v>
      </c>
      <c r="F55" s="15">
        <v>1</v>
      </c>
      <c r="G55" s="15">
        <v>0</v>
      </c>
      <c r="H55" s="15">
        <v>0</v>
      </c>
      <c r="I55">
        <v>0</v>
      </c>
    </row>
    <row r="56" spans="3:9" x14ac:dyDescent="0.25">
      <c r="C56" s="10" t="s">
        <v>261</v>
      </c>
      <c r="D56" s="15">
        <v>1</v>
      </c>
      <c r="E56" s="15">
        <v>0</v>
      </c>
      <c r="F56" s="15">
        <v>0</v>
      </c>
      <c r="G56" s="15">
        <v>3</v>
      </c>
      <c r="H56" s="15">
        <v>1</v>
      </c>
      <c r="I56">
        <v>0</v>
      </c>
    </row>
    <row r="57" spans="3:9" x14ac:dyDescent="0.25">
      <c r="C57" s="10" t="s">
        <v>263</v>
      </c>
      <c r="D57" s="15">
        <v>1</v>
      </c>
      <c r="E57" s="15">
        <v>1</v>
      </c>
      <c r="F57" s="15">
        <v>0</v>
      </c>
      <c r="G57" s="15">
        <v>1</v>
      </c>
      <c r="H57" s="15">
        <v>1</v>
      </c>
      <c r="I57">
        <v>1</v>
      </c>
    </row>
    <row r="58" spans="3:9" x14ac:dyDescent="0.25">
      <c r="C58" s="10" t="s">
        <v>264</v>
      </c>
      <c r="D58" s="15">
        <v>1</v>
      </c>
      <c r="E58" s="15">
        <v>1</v>
      </c>
      <c r="F58" s="15">
        <v>0</v>
      </c>
      <c r="G58" s="15">
        <v>1</v>
      </c>
      <c r="H58" s="15">
        <v>2</v>
      </c>
      <c r="I58">
        <v>1</v>
      </c>
    </row>
    <row r="59" spans="3:9" x14ac:dyDescent="0.25">
      <c r="C59" s="10" t="s">
        <v>266</v>
      </c>
      <c r="D59" s="15">
        <v>1</v>
      </c>
      <c r="E59" s="15">
        <v>1</v>
      </c>
      <c r="F59" s="15">
        <v>1</v>
      </c>
      <c r="G59" s="15">
        <v>0</v>
      </c>
      <c r="H59" s="15">
        <v>1</v>
      </c>
      <c r="I59">
        <v>1</v>
      </c>
    </row>
    <row r="60" spans="3:9" x14ac:dyDescent="0.25">
      <c r="C60" s="10" t="s">
        <v>267</v>
      </c>
      <c r="D60" s="15">
        <v>1</v>
      </c>
      <c r="E60" s="15">
        <v>1</v>
      </c>
      <c r="F60" s="15">
        <v>1</v>
      </c>
      <c r="G60" s="15">
        <v>1</v>
      </c>
      <c r="H60" s="15">
        <v>1</v>
      </c>
      <c r="I60">
        <v>0</v>
      </c>
    </row>
    <row r="61" spans="3:9" x14ac:dyDescent="0.25">
      <c r="C61" s="10" t="s">
        <v>268</v>
      </c>
      <c r="D61" s="15">
        <v>1</v>
      </c>
      <c r="E61" s="15">
        <v>0</v>
      </c>
      <c r="F61" s="15">
        <v>1</v>
      </c>
      <c r="G61" s="15">
        <v>1</v>
      </c>
      <c r="H61" s="15">
        <v>2</v>
      </c>
      <c r="I61">
        <v>1</v>
      </c>
    </row>
    <row r="62" spans="3:9" x14ac:dyDescent="0.25">
      <c r="C62" s="10" t="s">
        <v>269</v>
      </c>
      <c r="D62" s="15">
        <v>1</v>
      </c>
      <c r="E62" s="15">
        <v>1</v>
      </c>
      <c r="F62" s="15">
        <v>1</v>
      </c>
      <c r="G62" s="15">
        <v>1</v>
      </c>
      <c r="H62" s="15">
        <v>1</v>
      </c>
      <c r="I62">
        <v>0</v>
      </c>
    </row>
    <row r="63" spans="3:9" x14ac:dyDescent="0.25">
      <c r="C63" s="10" t="s">
        <v>272</v>
      </c>
      <c r="D63" s="15">
        <v>0</v>
      </c>
      <c r="E63" s="15">
        <v>1</v>
      </c>
      <c r="F63" s="15">
        <v>1</v>
      </c>
      <c r="G63" s="15">
        <v>0</v>
      </c>
      <c r="H63" s="15">
        <v>1</v>
      </c>
      <c r="I63">
        <v>1</v>
      </c>
    </row>
    <row r="64" spans="3:9" x14ac:dyDescent="0.25">
      <c r="C64" s="10" t="s">
        <v>273</v>
      </c>
      <c r="D64" s="15">
        <v>0</v>
      </c>
      <c r="E64" s="15">
        <v>2</v>
      </c>
      <c r="F64" s="15">
        <v>2</v>
      </c>
      <c r="G64" s="15">
        <v>1</v>
      </c>
      <c r="H64" s="15">
        <v>1</v>
      </c>
      <c r="I64">
        <v>1</v>
      </c>
    </row>
    <row r="65" spans="3:9" x14ac:dyDescent="0.25">
      <c r="C65" s="10" t="s">
        <v>275</v>
      </c>
      <c r="D65" s="15">
        <v>0</v>
      </c>
      <c r="E65" s="15">
        <v>1</v>
      </c>
      <c r="F65" s="15">
        <v>1</v>
      </c>
      <c r="G65" s="15">
        <v>0</v>
      </c>
      <c r="H65" s="15">
        <v>0</v>
      </c>
      <c r="I65">
        <v>1</v>
      </c>
    </row>
    <row r="66" spans="3:9" x14ac:dyDescent="0.25">
      <c r="C66" s="10" t="s">
        <v>280</v>
      </c>
      <c r="D66" s="15">
        <v>0</v>
      </c>
      <c r="E66" s="15">
        <v>1</v>
      </c>
      <c r="F66" s="15">
        <v>0</v>
      </c>
      <c r="G66" s="15">
        <v>1</v>
      </c>
      <c r="H66" s="15">
        <v>0</v>
      </c>
      <c r="I66">
        <v>1</v>
      </c>
    </row>
    <row r="67" spans="3:9" x14ac:dyDescent="0.25">
      <c r="C67" s="10" t="s">
        <v>288</v>
      </c>
      <c r="D67" s="15">
        <v>1</v>
      </c>
      <c r="E67" s="15">
        <v>1</v>
      </c>
      <c r="F67" s="15">
        <v>1</v>
      </c>
      <c r="G67" s="15">
        <v>1</v>
      </c>
      <c r="H67" s="15">
        <v>1</v>
      </c>
      <c r="I67">
        <v>0</v>
      </c>
    </row>
    <row r="68" spans="3:9" x14ac:dyDescent="0.25">
      <c r="C68" s="10" t="s">
        <v>289</v>
      </c>
      <c r="D68" s="15">
        <v>1</v>
      </c>
      <c r="E68" s="15">
        <v>0</v>
      </c>
      <c r="F68" s="15">
        <v>1</v>
      </c>
      <c r="G68" s="15">
        <v>1</v>
      </c>
      <c r="H68" s="15">
        <v>2</v>
      </c>
      <c r="I68">
        <v>1</v>
      </c>
    </row>
    <row r="69" spans="3:9" x14ac:dyDescent="0.25">
      <c r="C69" s="10" t="s">
        <v>290</v>
      </c>
      <c r="D69" s="15">
        <v>1</v>
      </c>
      <c r="E69" s="15">
        <v>1</v>
      </c>
      <c r="F69" s="15">
        <v>1</v>
      </c>
      <c r="G69" s="15">
        <v>1</v>
      </c>
      <c r="H69" s="15">
        <v>1</v>
      </c>
      <c r="I69">
        <v>0</v>
      </c>
    </row>
    <row r="70" spans="3:9" x14ac:dyDescent="0.25">
      <c r="C70" s="10" t="s">
        <v>291</v>
      </c>
      <c r="D70" s="15">
        <v>1</v>
      </c>
      <c r="E70" s="15">
        <v>1</v>
      </c>
      <c r="F70" s="15">
        <v>1</v>
      </c>
      <c r="G70" s="15">
        <v>0</v>
      </c>
      <c r="H70" s="15">
        <v>3</v>
      </c>
      <c r="I70">
        <v>1</v>
      </c>
    </row>
    <row r="71" spans="3:9" x14ac:dyDescent="0.25">
      <c r="C71" s="10" t="s">
        <v>295</v>
      </c>
      <c r="D71" s="15">
        <v>0</v>
      </c>
      <c r="E71" s="15">
        <v>1</v>
      </c>
      <c r="F71" s="15">
        <v>1</v>
      </c>
      <c r="G71" s="15">
        <v>1</v>
      </c>
      <c r="H71" s="15">
        <v>1</v>
      </c>
      <c r="I71">
        <v>1</v>
      </c>
    </row>
    <row r="72" spans="3:9" x14ac:dyDescent="0.25">
      <c r="C72" s="10" t="s">
        <v>298</v>
      </c>
      <c r="D72" s="15">
        <v>0</v>
      </c>
      <c r="E72" s="15">
        <v>1</v>
      </c>
      <c r="F72" s="15">
        <v>1</v>
      </c>
      <c r="G72" s="15">
        <v>1</v>
      </c>
      <c r="H72" s="15">
        <v>1</v>
      </c>
      <c r="I72">
        <v>1</v>
      </c>
    </row>
    <row r="73" spans="3:9" x14ac:dyDescent="0.25">
      <c r="C73" s="10" t="s">
        <v>299</v>
      </c>
      <c r="D73" s="15">
        <v>0</v>
      </c>
      <c r="E73" s="15">
        <v>1</v>
      </c>
      <c r="F73" s="15">
        <v>3</v>
      </c>
      <c r="G73" s="15">
        <v>0</v>
      </c>
      <c r="H73" s="15">
        <v>2</v>
      </c>
      <c r="I73">
        <v>0</v>
      </c>
    </row>
    <row r="74" spans="3:9" x14ac:dyDescent="0.25">
      <c r="C74" s="10" t="s">
        <v>302</v>
      </c>
      <c r="D74" s="15">
        <v>0</v>
      </c>
      <c r="E74" s="15">
        <v>1</v>
      </c>
      <c r="F74" s="15">
        <v>1</v>
      </c>
      <c r="G74" s="15">
        <v>0</v>
      </c>
      <c r="H74" s="15">
        <v>1</v>
      </c>
      <c r="I74">
        <v>0</v>
      </c>
    </row>
    <row r="75" spans="3:9" x14ac:dyDescent="0.25">
      <c r="C75" s="10" t="s">
        <v>304</v>
      </c>
      <c r="D75" s="15">
        <v>0</v>
      </c>
      <c r="E75" s="15">
        <v>1</v>
      </c>
      <c r="F75" s="15">
        <v>1</v>
      </c>
      <c r="G75" s="15">
        <v>0</v>
      </c>
      <c r="H75" s="15">
        <v>1</v>
      </c>
      <c r="I75">
        <v>1</v>
      </c>
    </row>
    <row r="76" spans="3:9" x14ac:dyDescent="0.25">
      <c r="C76" s="10" t="s">
        <v>305</v>
      </c>
      <c r="D76" s="15">
        <v>0</v>
      </c>
      <c r="E76" s="15">
        <v>1</v>
      </c>
      <c r="F76" s="15">
        <v>1</v>
      </c>
      <c r="G76" s="15">
        <v>0</v>
      </c>
      <c r="H76" s="15">
        <v>1</v>
      </c>
      <c r="I76">
        <v>1</v>
      </c>
    </row>
    <row r="77" spans="3:9" x14ac:dyDescent="0.25">
      <c r="C77" s="10" t="s">
        <v>315</v>
      </c>
      <c r="D77" s="15">
        <v>0</v>
      </c>
      <c r="E77" s="15">
        <v>1</v>
      </c>
      <c r="F77" s="15">
        <v>1</v>
      </c>
      <c r="G77" s="15">
        <v>0</v>
      </c>
      <c r="H77" s="15">
        <v>0</v>
      </c>
      <c r="I77">
        <v>1</v>
      </c>
    </row>
    <row r="78" spans="3:9" x14ac:dyDescent="0.25">
      <c r="C78" s="10" t="s">
        <v>316</v>
      </c>
      <c r="D78" s="15">
        <v>0</v>
      </c>
      <c r="E78" s="15">
        <v>1</v>
      </c>
      <c r="F78" s="15">
        <v>1</v>
      </c>
      <c r="G78" s="15">
        <v>0</v>
      </c>
      <c r="H78" s="15">
        <v>1</v>
      </c>
      <c r="I78">
        <v>1</v>
      </c>
    </row>
    <row r="79" spans="3:9" x14ac:dyDescent="0.25">
      <c r="C79" s="10" t="s">
        <v>319</v>
      </c>
      <c r="D79" s="15">
        <v>0</v>
      </c>
      <c r="E79" s="15">
        <v>1</v>
      </c>
      <c r="F79" s="15">
        <v>1</v>
      </c>
      <c r="G79" s="15">
        <v>1</v>
      </c>
      <c r="H79" s="15">
        <v>1</v>
      </c>
      <c r="I79">
        <v>1</v>
      </c>
    </row>
    <row r="80" spans="3:9" x14ac:dyDescent="0.25">
      <c r="C80" s="10" t="s">
        <v>320</v>
      </c>
      <c r="D80" s="15">
        <v>0</v>
      </c>
      <c r="E80" s="15">
        <v>1</v>
      </c>
      <c r="F80" s="15">
        <v>1</v>
      </c>
      <c r="G80" s="15">
        <v>0</v>
      </c>
      <c r="H80" s="15">
        <v>0</v>
      </c>
      <c r="I80">
        <v>1</v>
      </c>
    </row>
    <row r="81" spans="3:9" x14ac:dyDescent="0.25">
      <c r="C81" s="10" t="s">
        <v>321</v>
      </c>
      <c r="D81" s="15">
        <v>0</v>
      </c>
      <c r="E81" s="15">
        <v>1</v>
      </c>
      <c r="F81" s="15">
        <v>3</v>
      </c>
      <c r="G81" s="15">
        <v>1</v>
      </c>
      <c r="H81" s="15">
        <v>0</v>
      </c>
      <c r="I81">
        <v>1</v>
      </c>
    </row>
    <row r="82" spans="3:9" x14ac:dyDescent="0.25">
      <c r="C82" s="10" t="s">
        <v>325</v>
      </c>
      <c r="D82" s="15">
        <v>0</v>
      </c>
      <c r="E82" s="15">
        <v>1</v>
      </c>
      <c r="F82" s="15">
        <v>0</v>
      </c>
      <c r="G82" s="15">
        <v>1</v>
      </c>
      <c r="H82" s="15">
        <v>0</v>
      </c>
      <c r="I82">
        <v>1</v>
      </c>
    </row>
    <row r="83" spans="3:9" x14ac:dyDescent="0.25">
      <c r="C83" s="10" t="s">
        <v>326</v>
      </c>
      <c r="D83" s="15">
        <v>0</v>
      </c>
      <c r="E83" s="15">
        <v>1</v>
      </c>
      <c r="F83" s="15">
        <v>1</v>
      </c>
      <c r="G83" s="15">
        <v>0</v>
      </c>
      <c r="H83" s="15">
        <v>1</v>
      </c>
      <c r="I83">
        <v>0</v>
      </c>
    </row>
    <row r="84" spans="3:9" x14ac:dyDescent="0.25">
      <c r="C84" s="10" t="s">
        <v>329</v>
      </c>
      <c r="D84" s="15">
        <v>0</v>
      </c>
      <c r="E84" s="15">
        <v>1</v>
      </c>
      <c r="F84" s="15">
        <v>1</v>
      </c>
      <c r="G84" s="15">
        <v>0</v>
      </c>
      <c r="H84" s="15">
        <v>1</v>
      </c>
      <c r="I84">
        <v>1</v>
      </c>
    </row>
    <row r="85" spans="3:9" x14ac:dyDescent="0.25">
      <c r="C85" s="10" t="s">
        <v>330</v>
      </c>
      <c r="D85" s="15">
        <v>0</v>
      </c>
      <c r="E85" s="15">
        <v>2</v>
      </c>
      <c r="F85" s="15">
        <v>2</v>
      </c>
      <c r="G85" s="15">
        <v>1</v>
      </c>
      <c r="H85" s="15">
        <v>1</v>
      </c>
      <c r="I85">
        <v>1</v>
      </c>
    </row>
    <row r="86" spans="3:9" x14ac:dyDescent="0.25">
      <c r="C86" s="10" t="s">
        <v>336</v>
      </c>
      <c r="D86" s="15">
        <v>0</v>
      </c>
      <c r="E86" s="15">
        <v>1</v>
      </c>
      <c r="F86" s="15">
        <v>1</v>
      </c>
      <c r="G86" s="15">
        <v>0</v>
      </c>
      <c r="H86" s="15">
        <v>0</v>
      </c>
      <c r="I86">
        <v>0</v>
      </c>
    </row>
    <row r="87" spans="3:9" x14ac:dyDescent="0.25">
      <c r="C87" s="10" t="s">
        <v>340</v>
      </c>
      <c r="D87" s="15">
        <v>0</v>
      </c>
      <c r="E87" s="15">
        <v>1</v>
      </c>
      <c r="F87" s="15">
        <v>1</v>
      </c>
      <c r="G87" s="15">
        <v>0</v>
      </c>
      <c r="H87" s="15">
        <v>1</v>
      </c>
      <c r="I87">
        <v>1</v>
      </c>
    </row>
    <row r="88" spans="3:9" x14ac:dyDescent="0.25">
      <c r="C88" s="10" t="s">
        <v>341</v>
      </c>
      <c r="D88" s="15">
        <v>1</v>
      </c>
      <c r="E88" s="15">
        <v>0</v>
      </c>
      <c r="F88" s="15">
        <v>1</v>
      </c>
      <c r="G88" s="15">
        <v>1</v>
      </c>
      <c r="H88" s="15">
        <v>2</v>
      </c>
      <c r="I88">
        <v>1</v>
      </c>
    </row>
    <row r="89" spans="3:9" x14ac:dyDescent="0.25">
      <c r="C89" s="10" t="s">
        <v>343</v>
      </c>
      <c r="D89" s="15">
        <v>1</v>
      </c>
      <c r="E89" s="15">
        <v>1</v>
      </c>
      <c r="F89" s="15">
        <v>1</v>
      </c>
      <c r="G89" s="15">
        <v>0</v>
      </c>
      <c r="H89" s="15">
        <v>1</v>
      </c>
      <c r="I89">
        <v>1</v>
      </c>
    </row>
    <row r="90" spans="3:9" x14ac:dyDescent="0.25">
      <c r="C90" s="10" t="s">
        <v>335</v>
      </c>
      <c r="D90" s="15">
        <v>0</v>
      </c>
      <c r="E90" s="15">
        <v>1</v>
      </c>
      <c r="F90" s="15">
        <v>3</v>
      </c>
      <c r="G90" s="15">
        <v>0</v>
      </c>
      <c r="H90" s="15">
        <v>2</v>
      </c>
      <c r="I90">
        <v>0</v>
      </c>
    </row>
    <row r="91" spans="3:9" x14ac:dyDescent="0.25">
      <c r="C91" s="10" t="s">
        <v>322</v>
      </c>
      <c r="D91" s="15">
        <v>0</v>
      </c>
      <c r="E91" s="15">
        <v>1</v>
      </c>
      <c r="F91" s="15">
        <v>1</v>
      </c>
      <c r="G91" s="15">
        <v>1</v>
      </c>
      <c r="H91" s="15">
        <v>1</v>
      </c>
      <c r="I91">
        <v>1</v>
      </c>
    </row>
    <row r="92" spans="3:9" x14ac:dyDescent="0.25">
      <c r="C92" s="10" t="s">
        <v>252</v>
      </c>
      <c r="D92" s="15">
        <v>0</v>
      </c>
      <c r="E92" s="15">
        <v>1</v>
      </c>
      <c r="F92" s="15">
        <v>1</v>
      </c>
      <c r="G92" s="15">
        <v>0</v>
      </c>
      <c r="H92" s="15">
        <v>0</v>
      </c>
      <c r="I92">
        <v>1</v>
      </c>
    </row>
    <row r="93" spans="3:9" x14ac:dyDescent="0.25">
      <c r="C93" s="10" t="s">
        <v>339</v>
      </c>
      <c r="D93" s="15">
        <v>0</v>
      </c>
      <c r="E93" s="15">
        <v>1</v>
      </c>
      <c r="F93" s="15">
        <v>1</v>
      </c>
      <c r="G93" s="15">
        <v>0</v>
      </c>
      <c r="H93" s="15">
        <v>0</v>
      </c>
      <c r="I93">
        <v>1</v>
      </c>
    </row>
    <row r="94" spans="3:9" x14ac:dyDescent="0.25">
      <c r="C94" s="10" t="s">
        <v>327</v>
      </c>
      <c r="D94" s="15">
        <v>0</v>
      </c>
      <c r="E94" s="15">
        <v>1</v>
      </c>
      <c r="F94" s="15">
        <v>1</v>
      </c>
      <c r="G94" s="15">
        <v>0</v>
      </c>
      <c r="H94" s="15">
        <v>0</v>
      </c>
      <c r="I94">
        <v>1</v>
      </c>
    </row>
    <row r="95" spans="3:9" x14ac:dyDescent="0.25">
      <c r="C95" s="10" t="s">
        <v>240</v>
      </c>
      <c r="D95" s="15">
        <v>1</v>
      </c>
      <c r="E95" s="15">
        <v>0</v>
      </c>
      <c r="F95" s="15">
        <v>1</v>
      </c>
      <c r="G95" s="15">
        <v>1</v>
      </c>
      <c r="H95" s="15">
        <v>2</v>
      </c>
      <c r="I95">
        <v>1</v>
      </c>
    </row>
    <row r="96" spans="3:9" x14ac:dyDescent="0.25">
      <c r="C96" s="10" t="s">
        <v>317</v>
      </c>
      <c r="D96" s="15">
        <v>0</v>
      </c>
      <c r="E96" s="15">
        <v>1</v>
      </c>
      <c r="F96" s="15">
        <v>1</v>
      </c>
      <c r="G96" s="15">
        <v>0</v>
      </c>
      <c r="H96" s="15">
        <v>1</v>
      </c>
      <c r="I96">
        <v>1</v>
      </c>
    </row>
    <row r="97" spans="3:9" x14ac:dyDescent="0.25">
      <c r="C97" s="10" t="s">
        <v>313</v>
      </c>
      <c r="D97" s="15">
        <v>0</v>
      </c>
      <c r="E97" s="15">
        <v>1</v>
      </c>
      <c r="F97" s="15">
        <v>0</v>
      </c>
      <c r="G97" s="15">
        <v>1</v>
      </c>
      <c r="H97" s="15">
        <v>0</v>
      </c>
      <c r="I97">
        <v>1</v>
      </c>
    </row>
    <row r="98" spans="3:9" x14ac:dyDescent="0.25">
      <c r="C98" s="10" t="s">
        <v>249</v>
      </c>
      <c r="D98" s="15">
        <v>0</v>
      </c>
      <c r="E98" s="15">
        <v>1</v>
      </c>
      <c r="F98" s="15">
        <v>1</v>
      </c>
      <c r="G98" s="15">
        <v>0</v>
      </c>
      <c r="H98" s="15">
        <v>1</v>
      </c>
      <c r="I98">
        <v>1</v>
      </c>
    </row>
    <row r="99" spans="3:9" x14ac:dyDescent="0.25">
      <c r="C99" s="10" t="s">
        <v>296</v>
      </c>
      <c r="D99" s="15">
        <v>0</v>
      </c>
      <c r="E99" s="15">
        <v>1</v>
      </c>
      <c r="F99" s="15">
        <v>1</v>
      </c>
      <c r="G99" s="15">
        <v>0</v>
      </c>
      <c r="H99" s="15">
        <v>0</v>
      </c>
      <c r="I99">
        <v>1</v>
      </c>
    </row>
    <row r="100" spans="3:9" x14ac:dyDescent="0.25">
      <c r="C100" s="10" t="s">
        <v>223</v>
      </c>
      <c r="D100" s="15">
        <v>0</v>
      </c>
      <c r="E100" s="15">
        <v>1</v>
      </c>
      <c r="F100" s="15">
        <v>1</v>
      </c>
      <c r="G100" s="15">
        <v>0</v>
      </c>
      <c r="H100" s="15">
        <v>1</v>
      </c>
      <c r="I100">
        <v>0</v>
      </c>
    </row>
    <row r="101" spans="3:9" x14ac:dyDescent="0.25">
      <c r="C101" s="10" t="s">
        <v>307</v>
      </c>
      <c r="D101" s="15">
        <v>0</v>
      </c>
      <c r="E101" s="15">
        <v>1</v>
      </c>
      <c r="F101" s="15">
        <v>1</v>
      </c>
      <c r="G101" s="15">
        <v>1</v>
      </c>
      <c r="H101" s="15">
        <v>1</v>
      </c>
      <c r="I101">
        <v>1</v>
      </c>
    </row>
    <row r="102" spans="3:9" x14ac:dyDescent="0.25">
      <c r="C102" s="10" t="s">
        <v>287</v>
      </c>
      <c r="D102" s="15">
        <v>1</v>
      </c>
      <c r="E102" s="15">
        <v>1</v>
      </c>
      <c r="F102" s="15">
        <v>1</v>
      </c>
      <c r="G102" s="15">
        <v>0</v>
      </c>
      <c r="H102" s="15">
        <v>1</v>
      </c>
      <c r="I102">
        <v>1</v>
      </c>
    </row>
    <row r="103" spans="3:9" x14ac:dyDescent="0.25">
      <c r="C103" s="10" t="s">
        <v>285</v>
      </c>
      <c r="D103" s="15">
        <v>1</v>
      </c>
      <c r="E103" s="15">
        <v>1</v>
      </c>
      <c r="F103" s="15">
        <v>0</v>
      </c>
      <c r="G103" s="15">
        <v>1</v>
      </c>
      <c r="H103" s="15">
        <v>2</v>
      </c>
      <c r="I103">
        <v>1</v>
      </c>
    </row>
    <row r="104" spans="3:9" x14ac:dyDescent="0.25">
      <c r="C104" s="10" t="s">
        <v>283</v>
      </c>
      <c r="D104" s="15">
        <v>0</v>
      </c>
      <c r="E104" s="15">
        <v>1</v>
      </c>
      <c r="F104" s="15">
        <v>1</v>
      </c>
      <c r="G104" s="15">
        <v>0</v>
      </c>
      <c r="H104" s="15">
        <v>1</v>
      </c>
      <c r="I104">
        <v>1</v>
      </c>
    </row>
    <row r="105" spans="3:9" x14ac:dyDescent="0.25">
      <c r="C105" s="10" t="s">
        <v>219</v>
      </c>
      <c r="D105" s="15">
        <v>0</v>
      </c>
      <c r="E105" s="15">
        <v>1</v>
      </c>
      <c r="F105" s="15">
        <v>1</v>
      </c>
      <c r="G105" s="15">
        <v>1</v>
      </c>
      <c r="H105" s="15">
        <v>1</v>
      </c>
      <c r="I105">
        <v>1</v>
      </c>
    </row>
    <row r="106" spans="3:9" x14ac:dyDescent="0.25">
      <c r="C106" s="10" t="s">
        <v>218</v>
      </c>
      <c r="D106" s="15">
        <v>0</v>
      </c>
      <c r="E106" s="15">
        <v>1</v>
      </c>
      <c r="F106" s="15">
        <v>3</v>
      </c>
      <c r="G106" s="15">
        <v>1</v>
      </c>
      <c r="H106" s="15">
        <v>0</v>
      </c>
      <c r="I106">
        <v>1</v>
      </c>
    </row>
    <row r="107" spans="3:9" x14ac:dyDescent="0.25">
      <c r="C107" s="10" t="s">
        <v>248</v>
      </c>
      <c r="D107" s="15">
        <v>0</v>
      </c>
      <c r="E107" s="15">
        <v>0</v>
      </c>
      <c r="F107" s="15">
        <v>1</v>
      </c>
      <c r="G107" s="15">
        <v>0</v>
      </c>
      <c r="H107" s="15">
        <v>1</v>
      </c>
      <c r="I107">
        <v>1</v>
      </c>
    </row>
    <row r="108" spans="3:9" x14ac:dyDescent="0.25">
      <c r="C108" s="10" t="s">
        <v>278</v>
      </c>
      <c r="D108" s="15">
        <v>0</v>
      </c>
      <c r="E108" s="15">
        <v>1</v>
      </c>
      <c r="F108" s="15">
        <v>3</v>
      </c>
      <c r="G108" s="15">
        <v>0</v>
      </c>
      <c r="H108" s="15">
        <v>2</v>
      </c>
      <c r="I108">
        <v>0</v>
      </c>
    </row>
    <row r="109" spans="3:9" x14ac:dyDescent="0.25">
      <c r="C109" s="10" t="s">
        <v>231</v>
      </c>
      <c r="D109" s="15">
        <v>1</v>
      </c>
      <c r="E109" s="15">
        <v>1</v>
      </c>
      <c r="F109" s="15">
        <v>0</v>
      </c>
      <c r="G109" s="15">
        <v>0</v>
      </c>
      <c r="H109" s="15">
        <v>1</v>
      </c>
      <c r="I109">
        <v>1</v>
      </c>
    </row>
    <row r="110" spans="3:9" x14ac:dyDescent="0.25">
      <c r="C110" s="10" t="s">
        <v>246</v>
      </c>
      <c r="D110" s="15">
        <v>1</v>
      </c>
      <c r="E110" s="15">
        <v>1</v>
      </c>
      <c r="F110" s="15">
        <v>1</v>
      </c>
      <c r="G110" s="15">
        <v>1</v>
      </c>
      <c r="H110" s="15">
        <v>3</v>
      </c>
      <c r="I110">
        <v>2</v>
      </c>
    </row>
    <row r="111" spans="3:9" x14ac:dyDescent="0.25">
      <c r="C111" s="10" t="s">
        <v>337</v>
      </c>
      <c r="D111" s="15">
        <v>0</v>
      </c>
      <c r="E111" s="15">
        <v>1</v>
      </c>
      <c r="F111" s="15">
        <v>0</v>
      </c>
      <c r="G111" s="15">
        <v>1</v>
      </c>
      <c r="H111" s="15">
        <v>0</v>
      </c>
      <c r="I111">
        <v>1</v>
      </c>
    </row>
    <row r="112" spans="3:9" x14ac:dyDescent="0.25">
      <c r="C112" s="10" t="s">
        <v>314</v>
      </c>
      <c r="D112" s="15">
        <v>0</v>
      </c>
      <c r="E112" s="15">
        <v>1</v>
      </c>
      <c r="F112" s="15">
        <v>1</v>
      </c>
      <c r="G112" s="15">
        <v>0</v>
      </c>
      <c r="H112" s="15">
        <v>1</v>
      </c>
      <c r="I112">
        <v>0</v>
      </c>
    </row>
    <row r="113" spans="3:9" x14ac:dyDescent="0.25">
      <c r="C113" s="10" t="s">
        <v>312</v>
      </c>
      <c r="D113" s="15">
        <v>0</v>
      </c>
      <c r="E113" s="15">
        <v>1</v>
      </c>
      <c r="F113" s="15">
        <v>1</v>
      </c>
      <c r="G113" s="15">
        <v>0</v>
      </c>
      <c r="H113" s="15">
        <v>0</v>
      </c>
      <c r="I113">
        <v>0</v>
      </c>
    </row>
    <row r="114" spans="3:9" x14ac:dyDescent="0.25">
      <c r="C114" s="10" t="s">
        <v>277</v>
      </c>
      <c r="D114" s="15">
        <v>0</v>
      </c>
      <c r="E114" s="15">
        <v>1</v>
      </c>
      <c r="F114" s="15">
        <v>1</v>
      </c>
      <c r="G114" s="15">
        <v>1</v>
      </c>
      <c r="H114" s="15">
        <v>1</v>
      </c>
      <c r="I114">
        <v>1</v>
      </c>
    </row>
    <row r="115" spans="3:9" x14ac:dyDescent="0.25">
      <c r="C115" s="10" t="s">
        <v>257</v>
      </c>
      <c r="D115" s="15">
        <v>0</v>
      </c>
      <c r="E115" s="15">
        <v>1</v>
      </c>
      <c r="F115" s="15">
        <v>0</v>
      </c>
      <c r="G115" s="15">
        <v>1</v>
      </c>
      <c r="H115" s="15">
        <v>0</v>
      </c>
      <c r="I115">
        <v>1</v>
      </c>
    </row>
    <row r="116" spans="3:9" x14ac:dyDescent="0.25">
      <c r="C116" s="10" t="s">
        <v>324</v>
      </c>
      <c r="D116" s="15">
        <v>0</v>
      </c>
      <c r="E116" s="15">
        <v>1</v>
      </c>
      <c r="F116" s="15">
        <v>1</v>
      </c>
      <c r="G116" s="15">
        <v>0</v>
      </c>
      <c r="H116" s="15">
        <v>0</v>
      </c>
      <c r="I116">
        <v>0</v>
      </c>
    </row>
    <row r="117" spans="3:9" x14ac:dyDescent="0.25">
      <c r="C117" s="10" t="s">
        <v>262</v>
      </c>
      <c r="D117" s="15">
        <v>1</v>
      </c>
      <c r="E117" s="15">
        <v>1</v>
      </c>
      <c r="F117" s="15">
        <v>1</v>
      </c>
      <c r="G117" s="15">
        <v>3</v>
      </c>
      <c r="H117" s="15">
        <v>1</v>
      </c>
      <c r="I117">
        <v>0</v>
      </c>
    </row>
    <row r="118" spans="3:9" x14ac:dyDescent="0.25">
      <c r="C118" s="10" t="s">
        <v>284</v>
      </c>
      <c r="D118" s="15">
        <v>1</v>
      </c>
      <c r="E118" s="15">
        <v>1</v>
      </c>
      <c r="F118" s="15">
        <v>0</v>
      </c>
      <c r="G118" s="15">
        <v>1</v>
      </c>
      <c r="H118" s="15">
        <v>1</v>
      </c>
      <c r="I118">
        <v>1</v>
      </c>
    </row>
    <row r="119" spans="3:9" x14ac:dyDescent="0.25">
      <c r="C119" s="10" t="s">
        <v>260</v>
      </c>
      <c r="D119" s="15">
        <v>1</v>
      </c>
      <c r="E119" s="15">
        <v>0</v>
      </c>
      <c r="F119" s="15">
        <v>0</v>
      </c>
      <c r="G119" s="15">
        <v>1</v>
      </c>
      <c r="H119" s="15">
        <v>2</v>
      </c>
      <c r="I119">
        <v>1</v>
      </c>
    </row>
    <row r="120" spans="3:9" x14ac:dyDescent="0.25">
      <c r="C120" s="10" t="s">
        <v>332</v>
      </c>
      <c r="D120" s="15">
        <v>0</v>
      </c>
      <c r="E120" s="15">
        <v>1</v>
      </c>
      <c r="F120" s="15">
        <v>1</v>
      </c>
      <c r="G120" s="15">
        <v>0</v>
      </c>
      <c r="H120" s="15">
        <v>0</v>
      </c>
      <c r="I120">
        <v>1</v>
      </c>
    </row>
    <row r="121" spans="3:9" x14ac:dyDescent="0.25">
      <c r="C121" s="10" t="s">
        <v>209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>
        <v>0</v>
      </c>
    </row>
    <row r="122" spans="3:9" x14ac:dyDescent="0.25">
      <c r="C122" s="10" t="s">
        <v>311</v>
      </c>
      <c r="D122" s="15">
        <v>0</v>
      </c>
      <c r="E122" s="15">
        <v>1</v>
      </c>
      <c r="F122" s="15">
        <v>3</v>
      </c>
      <c r="G122" s="15">
        <v>0</v>
      </c>
      <c r="H122" s="15">
        <v>2</v>
      </c>
      <c r="I122">
        <v>0</v>
      </c>
    </row>
    <row r="123" spans="3:9" x14ac:dyDescent="0.25">
      <c r="C123" s="10" t="s">
        <v>333</v>
      </c>
      <c r="D123" s="15">
        <v>0</v>
      </c>
      <c r="E123" s="15">
        <v>1</v>
      </c>
      <c r="F123" s="15">
        <v>3</v>
      </c>
      <c r="G123" s="15">
        <v>1</v>
      </c>
      <c r="H123" s="15">
        <v>0</v>
      </c>
      <c r="I123">
        <v>1</v>
      </c>
    </row>
    <row r="124" spans="3:9" x14ac:dyDescent="0.25">
      <c r="C124" s="10" t="s">
        <v>220</v>
      </c>
      <c r="D124" s="15">
        <v>0</v>
      </c>
      <c r="E124" s="15">
        <v>1</v>
      </c>
      <c r="F124" s="15">
        <v>3</v>
      </c>
      <c r="G124" s="15">
        <v>0</v>
      </c>
      <c r="H124" s="15">
        <v>2</v>
      </c>
      <c r="I124">
        <v>0</v>
      </c>
    </row>
    <row r="125" spans="3:9" x14ac:dyDescent="0.25">
      <c r="C125" s="10" t="s">
        <v>245</v>
      </c>
      <c r="D125" s="15">
        <v>1</v>
      </c>
      <c r="E125" s="15">
        <v>0</v>
      </c>
      <c r="F125" s="15">
        <v>1</v>
      </c>
      <c r="G125" s="15">
        <v>1</v>
      </c>
      <c r="H125" s="15">
        <v>1</v>
      </c>
      <c r="I125">
        <v>0</v>
      </c>
    </row>
    <row r="126" spans="3:9" x14ac:dyDescent="0.25">
      <c r="C126" s="10" t="s">
        <v>306</v>
      </c>
      <c r="D126" s="15">
        <v>0</v>
      </c>
      <c r="E126" s="15">
        <v>2</v>
      </c>
      <c r="F126" s="15">
        <v>2</v>
      </c>
      <c r="G126" s="15">
        <v>1</v>
      </c>
      <c r="H126" s="15">
        <v>1</v>
      </c>
      <c r="I126">
        <v>1</v>
      </c>
    </row>
    <row r="127" spans="3:9" x14ac:dyDescent="0.25">
      <c r="C127" s="10" t="s">
        <v>345</v>
      </c>
      <c r="D127" s="15">
        <v>1</v>
      </c>
      <c r="E127" s="15">
        <v>1</v>
      </c>
      <c r="F127" s="15">
        <v>0</v>
      </c>
      <c r="G127" s="15">
        <v>1</v>
      </c>
      <c r="H127" s="15">
        <v>1</v>
      </c>
      <c r="I127">
        <v>1</v>
      </c>
    </row>
    <row r="128" spans="3:9" x14ac:dyDescent="0.25">
      <c r="C128" s="10" t="s">
        <v>238</v>
      </c>
      <c r="D128" s="15">
        <v>1</v>
      </c>
      <c r="E128" s="15">
        <v>1</v>
      </c>
      <c r="F128" s="15">
        <v>1</v>
      </c>
      <c r="G128" s="15">
        <v>0</v>
      </c>
      <c r="H128" s="15">
        <v>1</v>
      </c>
      <c r="I128">
        <v>1</v>
      </c>
    </row>
    <row r="129" spans="3:9" x14ac:dyDescent="0.25">
      <c r="C129" s="10" t="s">
        <v>234</v>
      </c>
      <c r="D129" s="15">
        <v>1</v>
      </c>
      <c r="E129" s="15">
        <v>1</v>
      </c>
      <c r="F129" s="15">
        <v>1</v>
      </c>
      <c r="G129" s="15">
        <v>3</v>
      </c>
      <c r="H129" s="15">
        <v>1</v>
      </c>
      <c r="I129">
        <v>0</v>
      </c>
    </row>
    <row r="130" spans="3:9" x14ac:dyDescent="0.25">
      <c r="C130" s="10" t="s">
        <v>301</v>
      </c>
      <c r="D130" s="15">
        <v>0</v>
      </c>
      <c r="E130" s="15">
        <v>1</v>
      </c>
      <c r="F130" s="15">
        <v>0</v>
      </c>
      <c r="G130" s="15">
        <v>1</v>
      </c>
      <c r="H130" s="15">
        <v>0</v>
      </c>
      <c r="I130">
        <v>1</v>
      </c>
    </row>
    <row r="131" spans="3:9" x14ac:dyDescent="0.25">
      <c r="C131" s="10" t="s">
        <v>221</v>
      </c>
      <c r="D131" s="15">
        <v>0</v>
      </c>
      <c r="E131" s="15">
        <v>1</v>
      </c>
      <c r="F131" s="15">
        <v>1</v>
      </c>
      <c r="G131" s="15">
        <v>0</v>
      </c>
      <c r="H131" s="15">
        <v>0</v>
      </c>
      <c r="I131">
        <v>0</v>
      </c>
    </row>
    <row r="132" spans="3:9" x14ac:dyDescent="0.25">
      <c r="C132" s="10" t="s">
        <v>224</v>
      </c>
      <c r="D132" s="15">
        <v>0</v>
      </c>
      <c r="E132" s="15">
        <v>1</v>
      </c>
      <c r="F132" s="15">
        <v>1</v>
      </c>
      <c r="G132" s="15">
        <v>0</v>
      </c>
      <c r="H132" s="15">
        <v>0</v>
      </c>
      <c r="I132">
        <v>1</v>
      </c>
    </row>
    <row r="133" spans="3:9" x14ac:dyDescent="0.25">
      <c r="C133" s="10" t="s">
        <v>279</v>
      </c>
      <c r="D133" s="15">
        <v>0</v>
      </c>
      <c r="E133" s="15">
        <v>1</v>
      </c>
      <c r="F133" s="15">
        <v>1</v>
      </c>
      <c r="G133" s="15">
        <v>0</v>
      </c>
      <c r="H133" s="15">
        <v>0</v>
      </c>
      <c r="I133">
        <v>0</v>
      </c>
    </row>
    <row r="134" spans="3:9" x14ac:dyDescent="0.25">
      <c r="C134" s="10" t="s">
        <v>211</v>
      </c>
      <c r="D134" s="15">
        <v>0</v>
      </c>
      <c r="E134" s="15">
        <v>0</v>
      </c>
      <c r="F134" s="15">
        <v>1</v>
      </c>
      <c r="G134" s="15">
        <v>0</v>
      </c>
      <c r="H134" s="15">
        <v>0</v>
      </c>
      <c r="I134">
        <v>1</v>
      </c>
    </row>
    <row r="135" spans="3:9" x14ac:dyDescent="0.25">
      <c r="C135" s="10" t="s">
        <v>250</v>
      </c>
      <c r="D135" s="15">
        <v>0</v>
      </c>
      <c r="E135" s="15">
        <v>2</v>
      </c>
      <c r="F135" s="15">
        <v>2</v>
      </c>
      <c r="G135" s="15">
        <v>1</v>
      </c>
      <c r="H135" s="15">
        <v>1</v>
      </c>
      <c r="I135">
        <v>1</v>
      </c>
    </row>
    <row r="136" spans="3:9" x14ac:dyDescent="0.25">
      <c r="C136" s="10" t="s">
        <v>243</v>
      </c>
      <c r="D136" s="15">
        <v>1</v>
      </c>
      <c r="E136" s="15">
        <v>1</v>
      </c>
      <c r="F136" s="15">
        <v>0</v>
      </c>
      <c r="G136" s="15">
        <v>1</v>
      </c>
      <c r="H136" s="15">
        <v>1</v>
      </c>
      <c r="I136">
        <v>1</v>
      </c>
    </row>
    <row r="137" spans="3:9" x14ac:dyDescent="0.25">
      <c r="C137" s="10" t="s">
        <v>323</v>
      </c>
      <c r="D137" s="15">
        <v>0</v>
      </c>
      <c r="E137" s="15">
        <v>1</v>
      </c>
      <c r="F137" s="15">
        <v>3</v>
      </c>
      <c r="G137" s="15">
        <v>0</v>
      </c>
      <c r="H137" s="15">
        <v>2</v>
      </c>
      <c r="I137">
        <v>0</v>
      </c>
    </row>
    <row r="138" spans="3:9" x14ac:dyDescent="0.25">
      <c r="C138" s="10" t="s">
        <v>217</v>
      </c>
      <c r="D138" s="15">
        <v>0</v>
      </c>
      <c r="E138" s="15">
        <v>1</v>
      </c>
      <c r="F138" s="15">
        <v>1</v>
      </c>
      <c r="G138" s="15">
        <v>0</v>
      </c>
      <c r="H138" s="15">
        <v>0</v>
      </c>
      <c r="I138">
        <v>1</v>
      </c>
    </row>
    <row r="139" spans="3:9" x14ac:dyDescent="0.25">
      <c r="C139" s="10" t="s">
        <v>213</v>
      </c>
      <c r="D139" s="15">
        <v>0</v>
      </c>
      <c r="E139" s="15">
        <v>0</v>
      </c>
      <c r="F139" s="15">
        <v>1</v>
      </c>
      <c r="G139" s="15">
        <v>0</v>
      </c>
      <c r="H139" s="15">
        <v>1</v>
      </c>
      <c r="I139">
        <v>1</v>
      </c>
    </row>
    <row r="140" spans="3:9" x14ac:dyDescent="0.25">
      <c r="C140" s="10" t="s">
        <v>271</v>
      </c>
      <c r="D140" s="15">
        <v>1</v>
      </c>
      <c r="E140" s="15">
        <v>1</v>
      </c>
      <c r="F140" s="15">
        <v>0</v>
      </c>
      <c r="G140" s="15">
        <v>1</v>
      </c>
      <c r="H140" s="15">
        <v>1</v>
      </c>
      <c r="I140">
        <v>1</v>
      </c>
    </row>
    <row r="141" spans="3:9" x14ac:dyDescent="0.25">
      <c r="C141" s="10" t="s">
        <v>346</v>
      </c>
      <c r="D141" s="15">
        <v>1</v>
      </c>
      <c r="E141" s="15">
        <v>1</v>
      </c>
      <c r="F141" s="15">
        <v>0</v>
      </c>
      <c r="G141" s="15">
        <v>1</v>
      </c>
      <c r="H141" s="15">
        <v>1</v>
      </c>
      <c r="I141">
        <v>1</v>
      </c>
    </row>
    <row r="142" spans="3:9" x14ac:dyDescent="0.25">
      <c r="C142" s="10" t="s">
        <v>258</v>
      </c>
      <c r="D142" s="15">
        <v>0</v>
      </c>
      <c r="E142" s="15">
        <v>1</v>
      </c>
      <c r="F142" s="15">
        <v>1</v>
      </c>
      <c r="G142" s="15">
        <v>0</v>
      </c>
      <c r="H142" s="15">
        <v>1</v>
      </c>
      <c r="I142">
        <v>0</v>
      </c>
    </row>
    <row r="143" spans="3:9" x14ac:dyDescent="0.25">
      <c r="C143" s="10" t="s">
        <v>276</v>
      </c>
      <c r="D143" s="15">
        <v>0</v>
      </c>
      <c r="E143" s="15">
        <v>1</v>
      </c>
      <c r="F143" s="15">
        <v>3</v>
      </c>
      <c r="G143" s="15">
        <v>1</v>
      </c>
      <c r="H143" s="15">
        <v>0</v>
      </c>
      <c r="I143">
        <v>1</v>
      </c>
    </row>
    <row r="144" spans="3:9" x14ac:dyDescent="0.25">
      <c r="C144" s="10" t="s">
        <v>347</v>
      </c>
      <c r="D144" s="15">
        <v>1</v>
      </c>
      <c r="E144" s="15">
        <v>1</v>
      </c>
      <c r="F144" s="15">
        <v>1</v>
      </c>
      <c r="G144" s="15">
        <v>1</v>
      </c>
      <c r="H144" s="15">
        <v>1</v>
      </c>
      <c r="I144">
        <v>1</v>
      </c>
    </row>
    <row r="145" spans="3:9" x14ac:dyDescent="0.25">
      <c r="C145" s="10" t="s">
        <v>294</v>
      </c>
      <c r="D145" s="15">
        <v>0</v>
      </c>
      <c r="E145" s="15">
        <v>2</v>
      </c>
      <c r="F145" s="15">
        <v>2</v>
      </c>
      <c r="G145" s="15">
        <v>1</v>
      </c>
      <c r="H145" s="15">
        <v>1</v>
      </c>
      <c r="I145">
        <v>1</v>
      </c>
    </row>
    <row r="146" spans="3:9" x14ac:dyDescent="0.25">
      <c r="C146" s="10" t="s">
        <v>251</v>
      </c>
      <c r="D146" s="15">
        <v>0</v>
      </c>
      <c r="E146" s="15">
        <v>1</v>
      </c>
      <c r="F146" s="15">
        <v>1</v>
      </c>
      <c r="G146" s="15">
        <v>1</v>
      </c>
      <c r="H146" s="15">
        <v>1</v>
      </c>
      <c r="I146">
        <v>1</v>
      </c>
    </row>
    <row r="147" spans="3:9" x14ac:dyDescent="0.25">
      <c r="C147" s="10" t="s">
        <v>210</v>
      </c>
      <c r="D147" s="15">
        <v>0</v>
      </c>
      <c r="E147" s="15">
        <v>2</v>
      </c>
      <c r="F147" s="15">
        <v>1</v>
      </c>
      <c r="G147" s="15">
        <v>1</v>
      </c>
      <c r="H147" s="15">
        <v>1</v>
      </c>
      <c r="I147">
        <v>1</v>
      </c>
    </row>
    <row r="148" spans="3:9" x14ac:dyDescent="0.25">
      <c r="C148" s="10" t="s">
        <v>226</v>
      </c>
      <c r="D148" s="15">
        <v>0</v>
      </c>
      <c r="E148" s="15">
        <v>0</v>
      </c>
      <c r="F148" s="15">
        <v>1</v>
      </c>
      <c r="G148" s="15">
        <v>1</v>
      </c>
      <c r="H148" s="15">
        <v>0</v>
      </c>
      <c r="I148">
        <v>0</v>
      </c>
    </row>
    <row r="149" spans="3:9" x14ac:dyDescent="0.25">
      <c r="C149" s="10" t="s">
        <v>281</v>
      </c>
      <c r="D149" s="15">
        <v>0</v>
      </c>
      <c r="E149" s="15">
        <v>1</v>
      </c>
      <c r="F149" s="15">
        <v>1</v>
      </c>
      <c r="G149" s="15">
        <v>0</v>
      </c>
      <c r="H149" s="15">
        <v>1</v>
      </c>
      <c r="I149">
        <v>0</v>
      </c>
    </row>
    <row r="150" spans="3:9" x14ac:dyDescent="0.25">
      <c r="C150" s="10" t="s">
        <v>308</v>
      </c>
      <c r="D150" s="15">
        <v>0</v>
      </c>
      <c r="E150" s="15">
        <v>1</v>
      </c>
      <c r="F150" s="15">
        <v>1</v>
      </c>
      <c r="G150" s="15">
        <v>0</v>
      </c>
      <c r="H150" s="15">
        <v>0</v>
      </c>
      <c r="I150">
        <v>1</v>
      </c>
    </row>
    <row r="151" spans="3:9" x14ac:dyDescent="0.25">
      <c r="C151" s="10" t="s">
        <v>265</v>
      </c>
      <c r="D151" s="15">
        <v>1</v>
      </c>
      <c r="E151" s="15">
        <v>1</v>
      </c>
      <c r="F151" s="15">
        <v>1</v>
      </c>
      <c r="G151" s="15">
        <v>1</v>
      </c>
      <c r="H151" s="15">
        <v>1</v>
      </c>
      <c r="I151">
        <v>0</v>
      </c>
    </row>
    <row r="152" spans="3:9" x14ac:dyDescent="0.25">
      <c r="C152" s="10" t="s">
        <v>309</v>
      </c>
      <c r="D152" s="15">
        <v>0</v>
      </c>
      <c r="E152" s="15">
        <v>1</v>
      </c>
      <c r="F152" s="15">
        <v>3</v>
      </c>
      <c r="G152" s="15">
        <v>1</v>
      </c>
      <c r="H152" s="15">
        <v>0</v>
      </c>
      <c r="I152">
        <v>1</v>
      </c>
    </row>
    <row r="153" spans="3:9" x14ac:dyDescent="0.25">
      <c r="C153" s="10" t="s">
        <v>270</v>
      </c>
      <c r="D153" s="15">
        <v>1</v>
      </c>
      <c r="E153" s="15">
        <v>1</v>
      </c>
      <c r="F153" s="15">
        <v>1</v>
      </c>
      <c r="G153" s="15">
        <v>0</v>
      </c>
      <c r="H153" s="15">
        <v>3</v>
      </c>
      <c r="I153">
        <v>1</v>
      </c>
    </row>
    <row r="154" spans="3:9" x14ac:dyDescent="0.25">
      <c r="C154" s="10" t="s">
        <v>214</v>
      </c>
      <c r="D154" s="15">
        <v>0</v>
      </c>
      <c r="E154" s="15">
        <v>1</v>
      </c>
      <c r="F154" s="15">
        <v>1</v>
      </c>
      <c r="G154" s="15">
        <v>0</v>
      </c>
      <c r="H154" s="15">
        <v>1</v>
      </c>
      <c r="I154">
        <v>1</v>
      </c>
    </row>
    <row r="155" spans="3:9" x14ac:dyDescent="0.25">
      <c r="C155" s="10" t="s">
        <v>293</v>
      </c>
      <c r="D155" s="15">
        <v>0</v>
      </c>
      <c r="E155" s="15">
        <v>1</v>
      </c>
      <c r="F155" s="15">
        <v>1</v>
      </c>
      <c r="G155" s="15">
        <v>0</v>
      </c>
      <c r="H155" s="15">
        <v>1</v>
      </c>
      <c r="I155">
        <v>1</v>
      </c>
    </row>
    <row r="156" spans="3:9" x14ac:dyDescent="0.25">
      <c r="C156" s="10" t="s">
        <v>237</v>
      </c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>
        <v>0</v>
      </c>
    </row>
    <row r="157" spans="3:9" x14ac:dyDescent="0.25">
      <c r="C157" s="10" t="s">
        <v>274</v>
      </c>
      <c r="D157" s="15">
        <v>0</v>
      </c>
      <c r="E157" s="15">
        <v>1</v>
      </c>
      <c r="F157" s="15">
        <v>1</v>
      </c>
      <c r="G157" s="15">
        <v>1</v>
      </c>
      <c r="H157" s="15">
        <v>1</v>
      </c>
      <c r="I157">
        <v>1</v>
      </c>
    </row>
    <row r="158" spans="3:9" x14ac:dyDescent="0.25">
      <c r="C158" s="10" t="s">
        <v>292</v>
      </c>
      <c r="D158" s="15">
        <v>1</v>
      </c>
      <c r="E158" s="15">
        <v>1</v>
      </c>
      <c r="F158" s="15">
        <v>0</v>
      </c>
      <c r="G158" s="15">
        <v>1</v>
      </c>
      <c r="H158" s="15">
        <v>1</v>
      </c>
      <c r="I158">
        <v>1</v>
      </c>
    </row>
    <row r="159" spans="3:9" x14ac:dyDescent="0.25">
      <c r="C159" s="10" t="s">
        <v>344</v>
      </c>
      <c r="D159" s="15">
        <v>1</v>
      </c>
      <c r="E159" s="15">
        <v>1</v>
      </c>
      <c r="F159" s="15">
        <v>0</v>
      </c>
      <c r="G159" s="15">
        <v>1</v>
      </c>
      <c r="H159" s="15">
        <v>1</v>
      </c>
      <c r="I159">
        <v>1</v>
      </c>
    </row>
    <row r="160" spans="3:9" x14ac:dyDescent="0.25">
      <c r="C160" s="10" t="s">
        <v>282</v>
      </c>
      <c r="D160" s="15">
        <v>0</v>
      </c>
      <c r="E160" s="15">
        <v>1</v>
      </c>
      <c r="F160" s="15">
        <v>1</v>
      </c>
      <c r="G160" s="15">
        <v>0</v>
      </c>
      <c r="H160" s="15">
        <v>0</v>
      </c>
      <c r="I160">
        <v>1</v>
      </c>
    </row>
    <row r="161" spans="3:9" x14ac:dyDescent="0.25">
      <c r="C161" s="10" t="s">
        <v>318</v>
      </c>
      <c r="D161" s="15">
        <v>0</v>
      </c>
      <c r="E161" s="15">
        <v>2</v>
      </c>
      <c r="F161" s="15">
        <v>2</v>
      </c>
      <c r="G161" s="15">
        <v>1</v>
      </c>
      <c r="H161" s="15">
        <v>1</v>
      </c>
      <c r="I161">
        <v>1</v>
      </c>
    </row>
    <row r="162" spans="3:9" x14ac:dyDescent="0.25">
      <c r="C162" s="10" t="s">
        <v>259</v>
      </c>
      <c r="D162" s="15">
        <v>0</v>
      </c>
      <c r="E162" s="15">
        <v>1</v>
      </c>
      <c r="F162" s="15">
        <v>1</v>
      </c>
      <c r="G162" s="15">
        <v>0</v>
      </c>
      <c r="H162" s="15">
        <v>0</v>
      </c>
      <c r="I162">
        <v>1</v>
      </c>
    </row>
    <row r="163" spans="3:9" x14ac:dyDescent="0.25">
      <c r="C163" s="10" t="s">
        <v>247</v>
      </c>
      <c r="D163" s="15">
        <v>1</v>
      </c>
      <c r="E163" s="15">
        <v>1</v>
      </c>
      <c r="F163" s="15">
        <v>1</v>
      </c>
      <c r="G163" s="15">
        <v>0</v>
      </c>
      <c r="H163" s="15">
        <v>1</v>
      </c>
      <c r="I163">
        <v>0</v>
      </c>
    </row>
    <row r="164" spans="3:9" x14ac:dyDescent="0.25">
      <c r="C164" s="10" t="s">
        <v>300</v>
      </c>
      <c r="D164" s="15">
        <v>0</v>
      </c>
      <c r="E164" s="15">
        <v>1</v>
      </c>
      <c r="F164" s="15">
        <v>1</v>
      </c>
      <c r="G164" s="15">
        <v>0</v>
      </c>
      <c r="H164" s="15">
        <v>0</v>
      </c>
      <c r="I164">
        <v>0</v>
      </c>
    </row>
    <row r="165" spans="3:9" x14ac:dyDescent="0.25">
      <c r="C165" s="10" t="s">
        <v>310</v>
      </c>
      <c r="D165" s="15">
        <v>0</v>
      </c>
      <c r="E165" s="15">
        <v>1</v>
      </c>
      <c r="F165" s="15">
        <v>1</v>
      </c>
      <c r="G165" s="15">
        <v>1</v>
      </c>
      <c r="H165" s="15">
        <v>1</v>
      </c>
      <c r="I165">
        <v>1</v>
      </c>
    </row>
    <row r="166" spans="3:9" x14ac:dyDescent="0.25">
      <c r="C166" s="10" t="s">
        <v>338</v>
      </c>
      <c r="D166" s="15">
        <v>0</v>
      </c>
      <c r="E166" s="15">
        <v>1</v>
      </c>
      <c r="F166" s="15">
        <v>1</v>
      </c>
      <c r="G166" s="15">
        <v>0</v>
      </c>
      <c r="H166" s="15">
        <v>1</v>
      </c>
      <c r="I166">
        <v>0</v>
      </c>
    </row>
    <row r="167" spans="3:9" x14ac:dyDescent="0.25">
      <c r="C167" s="10" t="s">
        <v>253</v>
      </c>
      <c r="D167" s="15">
        <v>0</v>
      </c>
      <c r="E167" s="15">
        <v>1</v>
      </c>
      <c r="F167" s="15">
        <v>3</v>
      </c>
      <c r="G167" s="15">
        <v>1</v>
      </c>
      <c r="H167" s="15">
        <v>0</v>
      </c>
      <c r="I167">
        <v>1</v>
      </c>
    </row>
    <row r="168" spans="3:9" x14ac:dyDescent="0.25">
      <c r="C168" s="10" t="s">
        <v>216</v>
      </c>
      <c r="D168" s="15">
        <v>0</v>
      </c>
      <c r="E168" s="15">
        <v>1</v>
      </c>
      <c r="F168" s="15">
        <v>1</v>
      </c>
      <c r="G168" s="15">
        <v>1</v>
      </c>
      <c r="H168" s="15">
        <v>1</v>
      </c>
      <c r="I168">
        <v>1</v>
      </c>
    </row>
    <row r="169" spans="3:9" x14ac:dyDescent="0.25">
      <c r="C169" s="10" t="s">
        <v>297</v>
      </c>
      <c r="D169" s="15">
        <v>0</v>
      </c>
      <c r="E169" s="15">
        <v>1</v>
      </c>
      <c r="F169" s="15">
        <v>3</v>
      </c>
      <c r="G169" s="15">
        <v>1</v>
      </c>
      <c r="H169" s="15">
        <v>0</v>
      </c>
      <c r="I169">
        <v>1</v>
      </c>
    </row>
    <row r="170" spans="3:9" x14ac:dyDescent="0.25">
      <c r="C170" s="10" t="s">
        <v>286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  <c r="I170">
        <v>0</v>
      </c>
    </row>
    <row r="171" spans="3:9" x14ac:dyDescent="0.25">
      <c r="C171" s="10" t="s">
        <v>331</v>
      </c>
      <c r="D171" s="15">
        <v>0</v>
      </c>
      <c r="E171" s="15">
        <v>1</v>
      </c>
      <c r="F171" s="15">
        <v>1</v>
      </c>
      <c r="G171" s="15">
        <v>1</v>
      </c>
      <c r="H171" s="15">
        <v>1</v>
      </c>
      <c r="I171">
        <v>1</v>
      </c>
    </row>
    <row r="172" spans="3:9" x14ac:dyDescent="0.25">
      <c r="C172" s="10" t="s">
        <v>334</v>
      </c>
      <c r="D172" s="15">
        <v>0</v>
      </c>
      <c r="E172" s="15">
        <v>1</v>
      </c>
      <c r="F172" s="15">
        <v>1</v>
      </c>
      <c r="G172" s="15">
        <v>1</v>
      </c>
      <c r="H172" s="15">
        <v>1</v>
      </c>
      <c r="I172">
        <v>1</v>
      </c>
    </row>
    <row r="173" spans="3:9" x14ac:dyDescent="0.25">
      <c r="C173" s="10" t="s">
        <v>342</v>
      </c>
      <c r="D173" s="15">
        <v>1</v>
      </c>
      <c r="E173" s="15">
        <v>1</v>
      </c>
      <c r="F173" s="15">
        <v>1</v>
      </c>
      <c r="G173" s="15">
        <v>1</v>
      </c>
      <c r="H173" s="15">
        <v>1</v>
      </c>
      <c r="I173">
        <v>0</v>
      </c>
    </row>
    <row r="174" spans="3:9" x14ac:dyDescent="0.25">
      <c r="C174" s="10" t="s">
        <v>328</v>
      </c>
      <c r="D174" s="15">
        <v>0</v>
      </c>
      <c r="E174" s="15">
        <v>1</v>
      </c>
      <c r="F174" s="15">
        <v>1</v>
      </c>
      <c r="G174" s="15">
        <v>0</v>
      </c>
      <c r="H174" s="15">
        <v>1</v>
      </c>
      <c r="I174">
        <v>1</v>
      </c>
    </row>
    <row r="175" spans="3:9" x14ac:dyDescent="0.25">
      <c r="C175" s="10" t="s">
        <v>241</v>
      </c>
      <c r="D175" s="15">
        <v>1</v>
      </c>
      <c r="E175" s="15">
        <v>1</v>
      </c>
      <c r="F175" s="15">
        <v>1</v>
      </c>
      <c r="G175" s="15">
        <v>1</v>
      </c>
      <c r="H175" s="15">
        <v>1</v>
      </c>
      <c r="I175">
        <v>0</v>
      </c>
    </row>
    <row r="176" spans="3:9" x14ac:dyDescent="0.25">
      <c r="C176" s="10" t="s">
        <v>303</v>
      </c>
      <c r="D176" s="15">
        <v>0</v>
      </c>
      <c r="E176" s="15">
        <v>1</v>
      </c>
      <c r="F176" s="15">
        <v>1</v>
      </c>
      <c r="G176" s="15">
        <v>0</v>
      </c>
      <c r="H176" s="15">
        <v>0</v>
      </c>
      <c r="I176">
        <v>1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K18"/>
    <mergeCell ref="C19:E19"/>
    <mergeCell ref="C20:E20"/>
    <mergeCell ref="F19:K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'!$B$10:$B$10" display="Inputs" xr:uid="{62C37195-CF16-414E-B1B5-3F4DE05F504E}"/>
    <hyperlink ref="D4" location="'STDPartition'!$B$28:$B$28" display="Partition Summary" xr:uid="{2DE372A0-816D-4B24-95D2-96E732C5768C}"/>
    <hyperlink ref="F4" location="'STDPartition'!$B$34:$B$34" display="Partitioned Data" xr:uid="{4D3E267F-D3B8-497D-882A-DDA1FB60350E}"/>
  </hyperlinks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3D5C-C4F1-4485-BCC0-ED28C3F1F99F}">
  <dimension ref="B1:CV41"/>
  <sheetViews>
    <sheetView showGridLines="0" workbookViewId="0"/>
  </sheetViews>
  <sheetFormatPr defaultRowHeight="13.2" x14ac:dyDescent="0.25"/>
  <cols>
    <col min="12" max="12" width="29.109375" bestFit="1" customWidth="1"/>
  </cols>
  <sheetData>
    <row r="1" spans="2:100" ht="18" x14ac:dyDescent="0.35">
      <c r="B1" s="8" t="s">
        <v>473</v>
      </c>
      <c r="N1" t="s">
        <v>388</v>
      </c>
      <c r="CV1" s="14" t="s">
        <v>491</v>
      </c>
    </row>
    <row r="3" spans="2:100" ht="15.6" x14ac:dyDescent="0.3">
      <c r="B3" s="22" t="s">
        <v>172</v>
      </c>
      <c r="C3" s="23"/>
      <c r="D3" s="23"/>
      <c r="E3" s="23"/>
      <c r="F3" s="23"/>
      <c r="G3" s="23"/>
      <c r="H3" s="23"/>
      <c r="I3" s="24"/>
      <c r="L3" s="22" t="s">
        <v>195</v>
      </c>
      <c r="M3" s="23"/>
      <c r="N3" s="23"/>
      <c r="O3" s="24"/>
    </row>
    <row r="4" spans="2:100" ht="13.8" x14ac:dyDescent="0.3">
      <c r="B4" s="29" t="s">
        <v>173</v>
      </c>
      <c r="C4" s="30"/>
      <c r="D4" s="29" t="s">
        <v>366</v>
      </c>
      <c r="E4" s="30"/>
      <c r="F4" s="29" t="s">
        <v>448</v>
      </c>
      <c r="G4" s="30"/>
      <c r="H4" s="29" t="s">
        <v>449</v>
      </c>
      <c r="I4" s="30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00" ht="13.8" x14ac:dyDescent="0.3">
      <c r="L5" s="11">
        <v>47</v>
      </c>
      <c r="M5" s="11">
        <v>3</v>
      </c>
      <c r="N5" s="11">
        <v>8</v>
      </c>
      <c r="O5" s="11">
        <v>58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  <c r="J12" s="25"/>
      <c r="K12" s="25"/>
    </row>
    <row r="13" spans="2:100" ht="13.8" x14ac:dyDescent="0.3">
      <c r="C13" s="18" t="s">
        <v>176</v>
      </c>
      <c r="D13" s="18"/>
      <c r="E13" s="18"/>
      <c r="F13" s="19"/>
      <c r="G13" s="17" t="s">
        <v>190</v>
      </c>
      <c r="H13" s="17"/>
      <c r="I13" s="17"/>
      <c r="J13" s="17"/>
      <c r="K13" s="17"/>
    </row>
    <row r="14" spans="2:100" ht="13.8" x14ac:dyDescent="0.3">
      <c r="C14" s="18" t="s">
        <v>177</v>
      </c>
      <c r="D14" s="18"/>
      <c r="E14" s="18"/>
      <c r="F14" s="19"/>
      <c r="G14" s="17" t="s">
        <v>488</v>
      </c>
      <c r="H14" s="17"/>
      <c r="I14" s="17"/>
      <c r="J14" s="17"/>
      <c r="K14" s="17"/>
    </row>
    <row r="15" spans="2:100" ht="13.8" x14ac:dyDescent="0.3">
      <c r="C15" s="18" t="s">
        <v>474</v>
      </c>
      <c r="D15" s="18"/>
      <c r="E15" s="18"/>
      <c r="F15" s="19"/>
      <c r="G15" s="17" t="s">
        <v>489</v>
      </c>
      <c r="H15" s="17"/>
      <c r="I15" s="17"/>
      <c r="J15" s="17"/>
      <c r="K15" s="17"/>
    </row>
    <row r="16" spans="2:100" ht="13.8" x14ac:dyDescent="0.3">
      <c r="C16" s="18" t="s">
        <v>475</v>
      </c>
      <c r="D16" s="18"/>
      <c r="E16" s="18"/>
      <c r="F16" s="19"/>
      <c r="G16" s="17">
        <v>84</v>
      </c>
      <c r="H16" s="17"/>
      <c r="I16" s="17"/>
      <c r="J16" s="17"/>
      <c r="K16" s="17"/>
    </row>
    <row r="17" spans="3:11" ht="13.8" x14ac:dyDescent="0.3">
      <c r="C17" s="18" t="s">
        <v>476</v>
      </c>
      <c r="D17" s="18"/>
      <c r="E17" s="18"/>
      <c r="F17" s="19"/>
      <c r="G17" s="17" t="s">
        <v>490</v>
      </c>
      <c r="H17" s="17"/>
      <c r="I17" s="17"/>
      <c r="J17" s="17"/>
      <c r="K17" s="17"/>
    </row>
    <row r="18" spans="3:11" ht="13.8" x14ac:dyDescent="0.3">
      <c r="C18" s="18" t="s">
        <v>477</v>
      </c>
      <c r="D18" s="18"/>
      <c r="E18" s="18"/>
      <c r="F18" s="19"/>
      <c r="G18" s="17">
        <v>56</v>
      </c>
      <c r="H18" s="17"/>
      <c r="I18" s="17"/>
      <c r="J18" s="17"/>
      <c r="K18" s="17"/>
    </row>
    <row r="20" spans="3:11" ht="15.6" x14ac:dyDescent="0.3">
      <c r="C20" s="25" t="s">
        <v>180</v>
      </c>
      <c r="D20" s="25"/>
      <c r="E20" s="25"/>
      <c r="F20" s="25"/>
      <c r="G20" s="25"/>
      <c r="H20" s="25"/>
      <c r="I20" s="25"/>
    </row>
    <row r="21" spans="3:11" ht="13.8" x14ac:dyDescent="0.3">
      <c r="C21" s="18" t="s">
        <v>478</v>
      </c>
      <c r="D21" s="19"/>
      <c r="E21" s="17">
        <v>5</v>
      </c>
      <c r="F21" s="17"/>
      <c r="G21" s="17"/>
      <c r="H21" s="17"/>
      <c r="I21" s="17"/>
    </row>
    <row r="22" spans="3:11" ht="13.8" x14ac:dyDescent="0.3">
      <c r="C22" s="18" t="s">
        <v>479</v>
      </c>
      <c r="D22" s="19"/>
      <c r="E22" s="11" t="s">
        <v>203</v>
      </c>
      <c r="F22" s="11" t="s">
        <v>204</v>
      </c>
      <c r="G22" s="11" t="s">
        <v>205</v>
      </c>
      <c r="H22" s="11" t="s">
        <v>206</v>
      </c>
      <c r="I22" s="11" t="s">
        <v>207</v>
      </c>
    </row>
    <row r="23" spans="3:11" ht="13.8" x14ac:dyDescent="0.3">
      <c r="C23" s="18" t="s">
        <v>480</v>
      </c>
      <c r="D23" s="19"/>
      <c r="E23" s="16" t="s">
        <v>51</v>
      </c>
      <c r="F23" s="16"/>
      <c r="G23" s="16"/>
      <c r="H23" s="16"/>
      <c r="I23" s="16"/>
    </row>
    <row r="25" spans="3:11" ht="15.6" x14ac:dyDescent="0.3">
      <c r="C25" s="25" t="s">
        <v>481</v>
      </c>
      <c r="D25" s="25"/>
      <c r="E25" s="25"/>
      <c r="F25" s="25"/>
      <c r="G25" s="25"/>
      <c r="H25" s="25"/>
      <c r="I25" s="25"/>
    </row>
    <row r="26" spans="3:11" ht="13.8" x14ac:dyDescent="0.3">
      <c r="C26" s="18" t="s">
        <v>482</v>
      </c>
      <c r="D26" s="18"/>
      <c r="E26" s="19"/>
      <c r="F26" s="17" t="b">
        <v>1</v>
      </c>
      <c r="G26" s="17"/>
      <c r="H26" s="17"/>
      <c r="I26" s="17"/>
    </row>
    <row r="27" spans="3:11" ht="13.8" x14ac:dyDescent="0.3">
      <c r="C27" s="18" t="s">
        <v>483</v>
      </c>
      <c r="D27" s="18"/>
      <c r="E27" s="19"/>
      <c r="F27" s="17">
        <v>1</v>
      </c>
      <c r="G27" s="17"/>
      <c r="H27" s="17"/>
      <c r="I27" s="17"/>
    </row>
    <row r="28" spans="3:11" ht="13.8" x14ac:dyDescent="0.3">
      <c r="C28" s="18" t="s">
        <v>484</v>
      </c>
      <c r="D28" s="18"/>
      <c r="E28" s="19"/>
      <c r="F28" s="33" t="s">
        <v>487</v>
      </c>
      <c r="G28" s="34"/>
      <c r="H28" s="34"/>
      <c r="I28" s="35"/>
    </row>
    <row r="30" spans="3:11" ht="15.6" x14ac:dyDescent="0.3">
      <c r="C30" s="22" t="s">
        <v>485</v>
      </c>
      <c r="D30" s="23"/>
      <c r="E30" s="23"/>
      <c r="F30" s="23"/>
      <c r="G30" s="23"/>
      <c r="H30" s="23"/>
      <c r="I30" s="24"/>
    </row>
    <row r="31" spans="3:11" ht="13.8" x14ac:dyDescent="0.3">
      <c r="C31" s="19" t="s">
        <v>486</v>
      </c>
      <c r="D31" s="31"/>
      <c r="E31" s="32"/>
      <c r="F31" s="33">
        <v>2</v>
      </c>
      <c r="G31" s="34"/>
      <c r="H31" s="34"/>
      <c r="I31" s="35"/>
    </row>
    <row r="32" spans="3:11" ht="13.8" x14ac:dyDescent="0.3">
      <c r="C32" s="19" t="s">
        <v>463</v>
      </c>
      <c r="D32" s="31"/>
      <c r="E32" s="32"/>
      <c r="F32" s="33">
        <v>1</v>
      </c>
      <c r="G32" s="34"/>
      <c r="H32" s="34"/>
      <c r="I32" s="35"/>
    </row>
    <row r="33" spans="3:9" ht="13.8" x14ac:dyDescent="0.3">
      <c r="C33" s="19" t="s">
        <v>464</v>
      </c>
      <c r="D33" s="31"/>
      <c r="E33" s="32"/>
      <c r="F33" s="33">
        <v>0.5</v>
      </c>
      <c r="G33" s="34"/>
      <c r="H33" s="34"/>
      <c r="I33" s="35"/>
    </row>
    <row r="35" spans="3:9" ht="15.6" x14ac:dyDescent="0.3">
      <c r="C35" s="22" t="s">
        <v>492</v>
      </c>
      <c r="D35" s="23"/>
      <c r="E35" s="23"/>
      <c r="F35" s="23"/>
      <c r="G35" s="23"/>
      <c r="H35" s="23"/>
      <c r="I35" s="24"/>
    </row>
    <row r="36" spans="3:9" ht="13.8" x14ac:dyDescent="0.3">
      <c r="C36" s="19" t="s">
        <v>493</v>
      </c>
      <c r="D36" s="31"/>
      <c r="E36" s="32"/>
      <c r="F36" s="33" t="b">
        <v>0</v>
      </c>
      <c r="G36" s="34"/>
      <c r="H36" s="34"/>
      <c r="I36" s="35"/>
    </row>
    <row r="37" spans="3:9" ht="13.8" x14ac:dyDescent="0.3">
      <c r="C37" s="19" t="s">
        <v>494</v>
      </c>
      <c r="D37" s="31"/>
      <c r="E37" s="32"/>
      <c r="F37" s="33" t="b">
        <v>0</v>
      </c>
      <c r="G37" s="34"/>
      <c r="H37" s="34"/>
      <c r="I37" s="35"/>
    </row>
    <row r="39" spans="3:9" ht="15.6" x14ac:dyDescent="0.3">
      <c r="C39" s="22" t="s">
        <v>495</v>
      </c>
      <c r="D39" s="23"/>
      <c r="E39" s="23"/>
      <c r="F39" s="23"/>
      <c r="G39" s="24"/>
    </row>
    <row r="40" spans="3:9" ht="13.8" x14ac:dyDescent="0.3">
      <c r="C40" s="26" t="s">
        <v>496</v>
      </c>
      <c r="D40" s="27"/>
      <c r="E40" s="27"/>
      <c r="F40" s="27"/>
      <c r="G40" s="28"/>
    </row>
    <row r="41" spans="3:9" ht="13.8" x14ac:dyDescent="0.3">
      <c r="C41" s="26" t="s">
        <v>497</v>
      </c>
      <c r="D41" s="27"/>
      <c r="E41" s="27"/>
      <c r="F41" s="27"/>
      <c r="G41" s="28"/>
    </row>
  </sheetData>
  <mergeCells count="4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I20"/>
    <mergeCell ref="C21:D21"/>
    <mergeCell ref="C22:D22"/>
    <mergeCell ref="C23:D23"/>
    <mergeCell ref="E21:I21"/>
    <mergeCell ref="E23:I23"/>
    <mergeCell ref="C25:I25"/>
    <mergeCell ref="C26:E26"/>
    <mergeCell ref="C27:E27"/>
    <mergeCell ref="C28:E28"/>
    <mergeCell ref="F26:I26"/>
    <mergeCell ref="F27:I27"/>
    <mergeCell ref="F28:I28"/>
    <mergeCell ref="C32:E32"/>
    <mergeCell ref="C33:E33"/>
    <mergeCell ref="F31:I31"/>
    <mergeCell ref="F32:I32"/>
    <mergeCell ref="F33:I33"/>
    <mergeCell ref="B3:I3"/>
    <mergeCell ref="L3:O3"/>
    <mergeCell ref="C40:G40"/>
    <mergeCell ref="C41:G41"/>
    <mergeCell ref="B4:C4"/>
    <mergeCell ref="D4:E4"/>
    <mergeCell ref="F4:G4"/>
    <mergeCell ref="H4:I4"/>
    <mergeCell ref="C35:I35"/>
    <mergeCell ref="C36:E36"/>
    <mergeCell ref="C37:E37"/>
    <mergeCell ref="F36:I36"/>
    <mergeCell ref="F37:I37"/>
    <mergeCell ref="C39:G39"/>
    <mergeCell ref="C30:I30"/>
    <mergeCell ref="C31:E31"/>
  </mergeCells>
  <hyperlinks>
    <hyperlink ref="B4" location="'NB_Output'!$B$10:$B$10" display="Inputs" xr:uid="{E7E37FB0-9F3E-45E7-AA92-8168BCECBB46}"/>
    <hyperlink ref="D4" location="'NB_Stored'!$B$10:$B$10" display="PMML Model" xr:uid="{42FA608A-7FFA-4599-AB1B-F94A5CB03C3B}"/>
    <hyperlink ref="F4" location="'NB_TrainingScore'!$B$10:$B$10" display="Training: Classification Summary" xr:uid="{B28C0B74-2D2C-4C22-9A2D-D4C9DF37F9CC}"/>
    <hyperlink ref="H4" location="'NB_ValidationScore'!$B$10:$B$10" display="Validation: Classification Summary" xr:uid="{765666BE-97AB-4397-86CD-577437E20C5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E15F-A314-4EEB-97D8-7D4AE94F12B9}">
  <dimension ref="B1:O32"/>
  <sheetViews>
    <sheetView showGridLines="0" topLeftCell="A9" workbookViewId="0">
      <selection activeCell="D26" sqref="D26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472</v>
      </c>
      <c r="N1" t="s">
        <v>388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47</v>
      </c>
      <c r="M5" s="11">
        <v>3</v>
      </c>
      <c r="N5" s="11">
        <v>8</v>
      </c>
      <c r="O5" s="11">
        <v>58</v>
      </c>
    </row>
    <row r="10" spans="2:15" ht="18" x14ac:dyDescent="0.35">
      <c r="B10" s="9" t="s">
        <v>448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52</v>
      </c>
      <c r="E14">
        <v>1</v>
      </c>
    </row>
    <row r="15" spans="2:15" x14ac:dyDescent="0.25">
      <c r="C15" s="10">
        <v>1</v>
      </c>
      <c r="D15" s="15">
        <v>11</v>
      </c>
      <c r="E15">
        <v>20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53</v>
      </c>
      <c r="E19">
        <f>SUM($D$14:$E$14) - $D$14</f>
        <v>1</v>
      </c>
      <c r="F19">
        <f>IF($D$19=0,"Undefined",$E$19*100 / $D$19)</f>
        <v>1.8867924528301887</v>
      </c>
    </row>
    <row r="20" spans="3:6" x14ac:dyDescent="0.25">
      <c r="C20" s="10">
        <v>1</v>
      </c>
      <c r="D20">
        <f>SUM($D$15:$E$15)</f>
        <v>31</v>
      </c>
      <c r="E20">
        <f>SUM($D$15:$E$15) - $E$15</f>
        <v>11</v>
      </c>
      <c r="F20">
        <f>IF($D$20=0,"Undefined",$E$20*100 / $D$20)</f>
        <v>35.483870967741936</v>
      </c>
    </row>
    <row r="21" spans="3:6" x14ac:dyDescent="0.25">
      <c r="C21" s="10" t="s">
        <v>454</v>
      </c>
      <c r="D21">
        <f>SUM($D$19:$D$20)</f>
        <v>84</v>
      </c>
      <c r="E21">
        <f>SUM($E$19:$E$20)</f>
        <v>12</v>
      </c>
      <c r="F21">
        <f>IF($D$21=0,"Undefined",$E$21*100 / $D$21)</f>
        <v>14.285714285714286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72</v>
      </c>
    </row>
    <row r="26" spans="3:6" x14ac:dyDescent="0.25">
      <c r="C26" t="s">
        <v>458</v>
      </c>
      <c r="D26">
        <v>85.714285714285708</v>
      </c>
    </row>
    <row r="27" spans="3:6" x14ac:dyDescent="0.25">
      <c r="C27" t="s">
        <v>459</v>
      </c>
      <c r="D27">
        <v>0.98113207547169801</v>
      </c>
    </row>
    <row r="28" spans="3:6" x14ac:dyDescent="0.25">
      <c r="C28" t="s">
        <v>460</v>
      </c>
      <c r="D28">
        <v>0.64516129032258063</v>
      </c>
    </row>
    <row r="29" spans="3:6" x14ac:dyDescent="0.25">
      <c r="C29" t="s">
        <v>461</v>
      </c>
      <c r="D29">
        <v>0.95238095238095244</v>
      </c>
    </row>
    <row r="30" spans="3:6" x14ac:dyDescent="0.25">
      <c r="C30" t="s">
        <v>462</v>
      </c>
      <c r="D30">
        <v>0.76923076923076916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'!$B$10:$B$10" display="Inputs" xr:uid="{E0821836-D3E7-4D9A-A1BE-3AD1E8D21900}"/>
    <hyperlink ref="D4" location="'NB_Stored'!$B$10:$B$10" display="PMML Model" xr:uid="{63415AD1-A666-4FC8-A08D-715C03805ECB}"/>
    <hyperlink ref="F4" location="'NB_TrainingScore'!$B$10:$B$10" display="Training: Classification Summary" xr:uid="{E5E3B61A-60FE-4947-9FCE-1214401D31B2}"/>
    <hyperlink ref="H4" location="'NB_ValidationScore'!$B$10:$B$10" display="Validation: Classification Summary" xr:uid="{93CA80C0-FE1A-4412-AA14-0CE356124F66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F067-8BF7-4C0F-A5DE-882D954FFECA}">
  <dimension ref="B1:O32"/>
  <sheetViews>
    <sheetView showGridLines="0" topLeftCell="A9" workbookViewId="0">
      <selection activeCell="F21" sqref="F21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 x14ac:dyDescent="0.35">
      <c r="B1" s="8" t="s">
        <v>450</v>
      </c>
      <c r="N1" t="s">
        <v>388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47</v>
      </c>
      <c r="M5" s="11">
        <v>3</v>
      </c>
      <c r="N5" s="11">
        <v>8</v>
      </c>
      <c r="O5" s="11">
        <v>58</v>
      </c>
    </row>
    <row r="10" spans="2:15" ht="18" x14ac:dyDescent="0.35">
      <c r="B10" s="9" t="s">
        <v>449</v>
      </c>
    </row>
    <row r="12" spans="2:15" ht="15.6" x14ac:dyDescent="0.3">
      <c r="C12" s="25" t="s">
        <v>451</v>
      </c>
      <c r="D12" s="25"/>
      <c r="E12" s="25"/>
    </row>
    <row r="13" spans="2:15" x14ac:dyDescent="0.25">
      <c r="C13" s="10" t="s">
        <v>469</v>
      </c>
      <c r="D13" t="s">
        <v>470</v>
      </c>
      <c r="E13" t="s">
        <v>471</v>
      </c>
    </row>
    <row r="14" spans="2:15" x14ac:dyDescent="0.25">
      <c r="C14" s="10">
        <v>0</v>
      </c>
      <c r="D14" s="15">
        <v>39</v>
      </c>
      <c r="E14">
        <v>0</v>
      </c>
    </row>
    <row r="15" spans="2:15" x14ac:dyDescent="0.25">
      <c r="C15" s="10">
        <v>1</v>
      </c>
      <c r="D15" s="15">
        <v>8</v>
      </c>
      <c r="E15">
        <v>9</v>
      </c>
    </row>
    <row r="17" spans="3:6" ht="15.6" x14ac:dyDescent="0.3">
      <c r="C17" s="25" t="s">
        <v>452</v>
      </c>
      <c r="D17" s="25"/>
      <c r="E17" s="25"/>
      <c r="F17" s="25"/>
    </row>
    <row r="18" spans="3:6" x14ac:dyDescent="0.25">
      <c r="C18" t="s">
        <v>453</v>
      </c>
      <c r="D18" t="s">
        <v>465</v>
      </c>
      <c r="E18" t="s">
        <v>467</v>
      </c>
      <c r="F18" t="s">
        <v>468</v>
      </c>
    </row>
    <row r="19" spans="3:6" x14ac:dyDescent="0.25">
      <c r="C19" s="10">
        <v>0</v>
      </c>
      <c r="D19">
        <f>SUM($D$14:$E$14)</f>
        <v>39</v>
      </c>
      <c r="E19">
        <f>SUM($D$14:$E$14) - $D$14</f>
        <v>0</v>
      </c>
      <c r="F19">
        <f>IF($D$19=0,"Undefined",$E$19*100 / $D$19)</f>
        <v>0</v>
      </c>
    </row>
    <row r="20" spans="3:6" x14ac:dyDescent="0.25">
      <c r="C20" s="10">
        <v>1</v>
      </c>
      <c r="D20">
        <f>SUM($D$15:$E$15)</f>
        <v>17</v>
      </c>
      <c r="E20">
        <f>SUM($D$15:$E$15) - $E$15</f>
        <v>8</v>
      </c>
      <c r="F20">
        <f>IF($D$20=0,"Undefined",$E$20*100 / $D$20)</f>
        <v>47.058823529411768</v>
      </c>
    </row>
    <row r="21" spans="3:6" x14ac:dyDescent="0.25">
      <c r="C21" s="10" t="s">
        <v>454</v>
      </c>
      <c r="D21">
        <f>SUM($D$19:$D$20)</f>
        <v>56</v>
      </c>
      <c r="E21">
        <f>SUM($E$19:$E$20)</f>
        <v>8</v>
      </c>
      <c r="F21">
        <f>IF($D$21=0,"Undefined",$E$21*100 / $D$21)</f>
        <v>14.285714285714286</v>
      </c>
    </row>
    <row r="23" spans="3:6" ht="15.6" x14ac:dyDescent="0.3">
      <c r="C23" s="25" t="s">
        <v>455</v>
      </c>
      <c r="D23" s="25"/>
    </row>
    <row r="24" spans="3:6" x14ac:dyDescent="0.25">
      <c r="C24" t="s">
        <v>456</v>
      </c>
      <c r="D24" t="s">
        <v>466</v>
      </c>
    </row>
    <row r="25" spans="3:6" x14ac:dyDescent="0.25">
      <c r="C25" t="s">
        <v>457</v>
      </c>
      <c r="D25">
        <v>48</v>
      </c>
    </row>
    <row r="26" spans="3:6" x14ac:dyDescent="0.25">
      <c r="C26" t="s">
        <v>458</v>
      </c>
      <c r="D26">
        <v>85.714285714285708</v>
      </c>
    </row>
    <row r="27" spans="3:6" x14ac:dyDescent="0.25">
      <c r="C27" t="s">
        <v>459</v>
      </c>
      <c r="D27">
        <v>1</v>
      </c>
    </row>
    <row r="28" spans="3:6" x14ac:dyDescent="0.25">
      <c r="C28" t="s">
        <v>460</v>
      </c>
      <c r="D28">
        <v>0.52941176470588236</v>
      </c>
    </row>
    <row r="29" spans="3:6" x14ac:dyDescent="0.25">
      <c r="C29" t="s">
        <v>461</v>
      </c>
      <c r="D29">
        <v>1</v>
      </c>
    </row>
    <row r="30" spans="3:6" x14ac:dyDescent="0.25">
      <c r="C30" t="s">
        <v>462</v>
      </c>
      <c r="D30">
        <v>0.6923076923076924</v>
      </c>
    </row>
    <row r="31" spans="3:6" x14ac:dyDescent="0.25">
      <c r="C31" t="s">
        <v>463</v>
      </c>
      <c r="D31">
        <v>1</v>
      </c>
    </row>
    <row r="32" spans="3:6" x14ac:dyDescent="0.25">
      <c r="C32" t="s">
        <v>464</v>
      </c>
      <c r="D32">
        <v>0.5</v>
      </c>
    </row>
  </sheetData>
  <mergeCells count="9">
    <mergeCell ref="C23:D23"/>
    <mergeCell ref="B4:C4"/>
    <mergeCell ref="D4:E4"/>
    <mergeCell ref="F4:G4"/>
    <mergeCell ref="H4:I4"/>
    <mergeCell ref="B3:I3"/>
    <mergeCell ref="L3:O3"/>
    <mergeCell ref="C12:E12"/>
    <mergeCell ref="C17:F17"/>
  </mergeCells>
  <hyperlinks>
    <hyperlink ref="B4" location="'NB_Output'!$B$10:$B$10" display="Inputs" xr:uid="{6F563599-FD73-435E-959E-896DB3F7B15B}"/>
    <hyperlink ref="D4" location="'NB_Stored'!$B$10:$B$10" display="PMML Model" xr:uid="{F4F9FA38-043A-4D78-A5E7-94EDB7467154}"/>
    <hyperlink ref="F4" location="'NB_TrainingScore'!$B$10:$B$10" display="Training: Classification Summary" xr:uid="{02599F23-8A72-4B0F-8DA5-AB05592DD896}"/>
    <hyperlink ref="H4" location="'NB_ValidationScore'!$B$10:$B$10" display="Validation: Classification Summary" xr:uid="{62E64E0D-3B83-4FB9-AC8B-2F36D36E72C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6BD1-F4FC-4089-A56D-ACB1100D84A2}">
  <dimension ref="B1:O172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8" t="s">
        <v>365</v>
      </c>
      <c r="N1" t="s">
        <v>388</v>
      </c>
    </row>
    <row r="3" spans="2:15" ht="15.6" x14ac:dyDescent="0.3">
      <c r="B3" s="25" t="s">
        <v>172</v>
      </c>
      <c r="C3" s="25"/>
      <c r="D3" s="25"/>
      <c r="E3" s="25"/>
      <c r="F3" s="25"/>
      <c r="G3" s="25"/>
      <c r="H3" s="25"/>
      <c r="I3" s="25"/>
      <c r="L3" s="36" t="s">
        <v>195</v>
      </c>
      <c r="M3" s="36"/>
      <c r="N3" s="36"/>
      <c r="O3" s="36"/>
    </row>
    <row r="4" spans="2:15" ht="13.8" x14ac:dyDescent="0.3">
      <c r="B4" s="21" t="s">
        <v>173</v>
      </c>
      <c r="C4" s="21"/>
      <c r="D4" s="21" t="s">
        <v>366</v>
      </c>
      <c r="E4" s="21"/>
      <c r="F4" s="21" t="s">
        <v>448</v>
      </c>
      <c r="G4" s="21"/>
      <c r="H4" s="21" t="s">
        <v>449</v>
      </c>
      <c r="I4" s="21"/>
      <c r="L4" s="13" t="s">
        <v>196</v>
      </c>
      <c r="M4" s="13" t="s">
        <v>197</v>
      </c>
      <c r="N4" s="13" t="s">
        <v>198</v>
      </c>
      <c r="O4" s="13" t="s">
        <v>199</v>
      </c>
    </row>
    <row r="5" spans="2:15" ht="13.8" x14ac:dyDescent="0.3">
      <c r="L5" s="11">
        <v>47</v>
      </c>
      <c r="M5" s="11">
        <v>3</v>
      </c>
      <c r="N5" s="11">
        <v>8</v>
      </c>
      <c r="O5" s="11">
        <v>58</v>
      </c>
    </row>
    <row r="10" spans="2:15" ht="18" x14ac:dyDescent="0.35">
      <c r="B10" s="9" t="s">
        <v>366</v>
      </c>
    </row>
    <row r="12" spans="2:15" x14ac:dyDescent="0.25">
      <c r="B12" t="s">
        <v>367</v>
      </c>
    </row>
    <row r="13" spans="2:15" x14ac:dyDescent="0.25">
      <c r="B13" t="s">
        <v>368</v>
      </c>
    </row>
    <row r="14" spans="2:15" x14ac:dyDescent="0.25">
      <c r="B14" t="s">
        <v>369</v>
      </c>
    </row>
    <row r="15" spans="2:15" x14ac:dyDescent="0.25">
      <c r="B15" t="s">
        <v>370</v>
      </c>
    </row>
    <row r="16" spans="2:15" x14ac:dyDescent="0.25">
      <c r="B16" t="s">
        <v>371</v>
      </c>
    </row>
    <row r="17" spans="2:2" x14ac:dyDescent="0.25">
      <c r="B17" t="s">
        <v>372</v>
      </c>
    </row>
    <row r="18" spans="2:2" x14ac:dyDescent="0.25">
      <c r="B18" t="s">
        <v>373</v>
      </c>
    </row>
    <row r="19" spans="2:2" x14ac:dyDescent="0.25">
      <c r="B19" t="s">
        <v>374</v>
      </c>
    </row>
    <row r="20" spans="2:2" x14ac:dyDescent="0.25">
      <c r="B20" t="s">
        <v>375</v>
      </c>
    </row>
    <row r="21" spans="2:2" x14ac:dyDescent="0.25">
      <c r="B21" t="s">
        <v>376</v>
      </c>
    </row>
    <row r="22" spans="2:2" x14ac:dyDescent="0.25">
      <c r="B22" t="s">
        <v>377</v>
      </c>
    </row>
    <row r="23" spans="2:2" x14ac:dyDescent="0.25">
      <c r="B23" t="s">
        <v>378</v>
      </c>
    </row>
    <row r="24" spans="2:2" x14ac:dyDescent="0.25">
      <c r="B24" t="s">
        <v>379</v>
      </c>
    </row>
    <row r="25" spans="2:2" x14ac:dyDescent="0.25">
      <c r="B25" t="s">
        <v>380</v>
      </c>
    </row>
    <row r="26" spans="2:2" x14ac:dyDescent="0.25">
      <c r="B26" t="s">
        <v>381</v>
      </c>
    </row>
    <row r="27" spans="2:2" x14ac:dyDescent="0.25">
      <c r="B27" t="s">
        <v>382</v>
      </c>
    </row>
    <row r="28" spans="2:2" x14ac:dyDescent="0.25">
      <c r="B28" t="s">
        <v>383</v>
      </c>
    </row>
    <row r="29" spans="2:2" x14ac:dyDescent="0.25">
      <c r="B29" t="s">
        <v>384</v>
      </c>
    </row>
    <row r="30" spans="2:2" x14ac:dyDescent="0.25">
      <c r="B30" t="s">
        <v>385</v>
      </c>
    </row>
    <row r="31" spans="2:2" x14ac:dyDescent="0.25">
      <c r="B31" t="s">
        <v>386</v>
      </c>
    </row>
    <row r="32" spans="2:2" x14ac:dyDescent="0.25">
      <c r="B32" t="s">
        <v>387</v>
      </c>
    </row>
    <row r="33" spans="2:2" x14ac:dyDescent="0.25">
      <c r="B33" t="s">
        <v>389</v>
      </c>
    </row>
    <row r="34" spans="2:2" x14ac:dyDescent="0.25">
      <c r="B34" t="s">
        <v>390</v>
      </c>
    </row>
    <row r="35" spans="2:2" x14ac:dyDescent="0.25">
      <c r="B35" t="s">
        <v>391</v>
      </c>
    </row>
    <row r="36" spans="2:2" x14ac:dyDescent="0.25">
      <c r="B36" t="s">
        <v>392</v>
      </c>
    </row>
    <row r="37" spans="2:2" x14ac:dyDescent="0.25">
      <c r="B37" t="s">
        <v>393</v>
      </c>
    </row>
    <row r="38" spans="2:2" x14ac:dyDescent="0.25">
      <c r="B38" t="s">
        <v>394</v>
      </c>
    </row>
    <row r="39" spans="2:2" x14ac:dyDescent="0.25">
      <c r="B39" t="s">
        <v>395</v>
      </c>
    </row>
    <row r="40" spans="2:2" x14ac:dyDescent="0.25">
      <c r="B40" t="s">
        <v>396</v>
      </c>
    </row>
    <row r="41" spans="2:2" x14ac:dyDescent="0.25">
      <c r="B41" t="s">
        <v>397</v>
      </c>
    </row>
    <row r="42" spans="2:2" x14ac:dyDescent="0.25">
      <c r="B42" t="s">
        <v>398</v>
      </c>
    </row>
    <row r="43" spans="2:2" x14ac:dyDescent="0.25">
      <c r="B43" t="s">
        <v>399</v>
      </c>
    </row>
    <row r="44" spans="2:2" x14ac:dyDescent="0.25">
      <c r="B44" t="s">
        <v>400</v>
      </c>
    </row>
    <row r="45" spans="2:2" x14ac:dyDescent="0.25">
      <c r="B45" t="s">
        <v>401</v>
      </c>
    </row>
    <row r="46" spans="2:2" x14ac:dyDescent="0.25">
      <c r="B46" t="s">
        <v>402</v>
      </c>
    </row>
    <row r="47" spans="2:2" x14ac:dyDescent="0.25">
      <c r="B47" t="s">
        <v>403</v>
      </c>
    </row>
    <row r="48" spans="2:2" x14ac:dyDescent="0.25">
      <c r="B48" t="s">
        <v>404</v>
      </c>
    </row>
    <row r="49" spans="2:2" x14ac:dyDescent="0.25">
      <c r="B49" t="s">
        <v>405</v>
      </c>
    </row>
    <row r="50" spans="2:2" x14ac:dyDescent="0.25">
      <c r="B50" t="s">
        <v>406</v>
      </c>
    </row>
    <row r="51" spans="2:2" x14ac:dyDescent="0.25">
      <c r="B51" t="s">
        <v>407</v>
      </c>
    </row>
    <row r="52" spans="2:2" x14ac:dyDescent="0.25">
      <c r="B52" t="s">
        <v>408</v>
      </c>
    </row>
    <row r="53" spans="2:2" x14ac:dyDescent="0.25">
      <c r="B53" t="s">
        <v>409</v>
      </c>
    </row>
    <row r="54" spans="2:2" x14ac:dyDescent="0.25">
      <c r="B54" t="s">
        <v>404</v>
      </c>
    </row>
    <row r="55" spans="2:2" x14ac:dyDescent="0.25">
      <c r="B55" t="s">
        <v>410</v>
      </c>
    </row>
    <row r="56" spans="2:2" x14ac:dyDescent="0.25">
      <c r="B56" t="s">
        <v>411</v>
      </c>
    </row>
    <row r="57" spans="2:2" x14ac:dyDescent="0.25">
      <c r="B57" t="s">
        <v>407</v>
      </c>
    </row>
    <row r="58" spans="2:2" x14ac:dyDescent="0.25">
      <c r="B58" t="s">
        <v>408</v>
      </c>
    </row>
    <row r="59" spans="2:2" x14ac:dyDescent="0.25">
      <c r="B59" t="s">
        <v>412</v>
      </c>
    </row>
    <row r="60" spans="2:2" x14ac:dyDescent="0.25">
      <c r="B60" t="s">
        <v>404</v>
      </c>
    </row>
    <row r="61" spans="2:2" x14ac:dyDescent="0.25">
      <c r="B61" t="s">
        <v>413</v>
      </c>
    </row>
    <row r="62" spans="2:2" x14ac:dyDescent="0.25">
      <c r="B62" t="s">
        <v>414</v>
      </c>
    </row>
    <row r="63" spans="2:2" x14ac:dyDescent="0.25">
      <c r="B63" t="s">
        <v>407</v>
      </c>
    </row>
    <row r="64" spans="2:2" x14ac:dyDescent="0.25">
      <c r="B64" t="s">
        <v>408</v>
      </c>
    </row>
    <row r="65" spans="2:2" x14ac:dyDescent="0.25">
      <c r="B65" t="s">
        <v>415</v>
      </c>
    </row>
    <row r="66" spans="2:2" x14ac:dyDescent="0.25">
      <c r="B66" t="s">
        <v>416</v>
      </c>
    </row>
    <row r="67" spans="2:2" x14ac:dyDescent="0.25">
      <c r="B67" t="s">
        <v>412</v>
      </c>
    </row>
    <row r="68" spans="2:2" x14ac:dyDescent="0.25">
      <c r="B68" t="s">
        <v>404</v>
      </c>
    </row>
    <row r="69" spans="2:2" x14ac:dyDescent="0.25">
      <c r="B69" t="s">
        <v>417</v>
      </c>
    </row>
    <row r="70" spans="2:2" x14ac:dyDescent="0.25">
      <c r="B70" t="s">
        <v>418</v>
      </c>
    </row>
    <row r="71" spans="2:2" x14ac:dyDescent="0.25">
      <c r="B71" t="s">
        <v>407</v>
      </c>
    </row>
    <row r="72" spans="2:2" x14ac:dyDescent="0.25">
      <c r="B72" t="s">
        <v>408</v>
      </c>
    </row>
    <row r="73" spans="2:2" x14ac:dyDescent="0.25">
      <c r="B73" t="s">
        <v>403</v>
      </c>
    </row>
    <row r="74" spans="2:2" x14ac:dyDescent="0.25">
      <c r="B74" t="s">
        <v>404</v>
      </c>
    </row>
    <row r="75" spans="2:2" x14ac:dyDescent="0.25">
      <c r="B75" t="s">
        <v>419</v>
      </c>
    </row>
    <row r="76" spans="2:2" x14ac:dyDescent="0.25">
      <c r="B76" t="s">
        <v>420</v>
      </c>
    </row>
    <row r="77" spans="2:2" x14ac:dyDescent="0.25">
      <c r="B77" t="s">
        <v>407</v>
      </c>
    </row>
    <row r="78" spans="2:2" x14ac:dyDescent="0.25">
      <c r="B78" t="s">
        <v>408</v>
      </c>
    </row>
    <row r="79" spans="2:2" x14ac:dyDescent="0.25">
      <c r="B79" t="s">
        <v>409</v>
      </c>
    </row>
    <row r="80" spans="2:2" x14ac:dyDescent="0.25">
      <c r="B80" t="s">
        <v>404</v>
      </c>
    </row>
    <row r="81" spans="2:2" x14ac:dyDescent="0.25">
      <c r="B81" t="s">
        <v>421</v>
      </c>
    </row>
    <row r="82" spans="2:2" x14ac:dyDescent="0.25">
      <c r="B82" t="s">
        <v>411</v>
      </c>
    </row>
    <row r="83" spans="2:2" x14ac:dyDescent="0.25">
      <c r="B83" t="s">
        <v>407</v>
      </c>
    </row>
    <row r="84" spans="2:2" x14ac:dyDescent="0.25">
      <c r="B84" t="s">
        <v>408</v>
      </c>
    </row>
    <row r="85" spans="2:2" x14ac:dyDescent="0.25">
      <c r="B85" t="s">
        <v>422</v>
      </c>
    </row>
    <row r="86" spans="2:2" x14ac:dyDescent="0.25">
      <c r="B86" t="s">
        <v>404</v>
      </c>
    </row>
    <row r="87" spans="2:2" x14ac:dyDescent="0.25">
      <c r="B87" t="s">
        <v>423</v>
      </c>
    </row>
    <row r="88" spans="2:2" x14ac:dyDescent="0.25">
      <c r="B88" t="s">
        <v>411</v>
      </c>
    </row>
    <row r="89" spans="2:2" x14ac:dyDescent="0.25">
      <c r="B89" t="s">
        <v>407</v>
      </c>
    </row>
    <row r="90" spans="2:2" x14ac:dyDescent="0.25">
      <c r="B90" t="s">
        <v>408</v>
      </c>
    </row>
    <row r="91" spans="2:2" x14ac:dyDescent="0.25">
      <c r="B91" t="s">
        <v>415</v>
      </c>
    </row>
    <row r="92" spans="2:2" x14ac:dyDescent="0.25">
      <c r="B92" t="s">
        <v>424</v>
      </c>
    </row>
    <row r="93" spans="2:2" x14ac:dyDescent="0.25">
      <c r="B93" t="s">
        <v>412</v>
      </c>
    </row>
    <row r="94" spans="2:2" x14ac:dyDescent="0.25">
      <c r="B94" t="s">
        <v>404</v>
      </c>
    </row>
    <row r="95" spans="2:2" x14ac:dyDescent="0.25">
      <c r="B95" t="s">
        <v>425</v>
      </c>
    </row>
    <row r="96" spans="2:2" x14ac:dyDescent="0.25">
      <c r="B96" t="s">
        <v>414</v>
      </c>
    </row>
    <row r="97" spans="2:2" x14ac:dyDescent="0.25">
      <c r="B97" t="s">
        <v>407</v>
      </c>
    </row>
    <row r="98" spans="2:2" x14ac:dyDescent="0.25">
      <c r="B98" t="s">
        <v>408</v>
      </c>
    </row>
    <row r="99" spans="2:2" x14ac:dyDescent="0.25">
      <c r="B99" t="s">
        <v>403</v>
      </c>
    </row>
    <row r="100" spans="2:2" x14ac:dyDescent="0.25">
      <c r="B100" t="s">
        <v>404</v>
      </c>
    </row>
    <row r="101" spans="2:2" x14ac:dyDescent="0.25">
      <c r="B101" t="s">
        <v>426</v>
      </c>
    </row>
    <row r="102" spans="2:2" x14ac:dyDescent="0.25">
      <c r="B102" t="s">
        <v>420</v>
      </c>
    </row>
    <row r="103" spans="2:2" x14ac:dyDescent="0.25">
      <c r="B103" t="s">
        <v>407</v>
      </c>
    </row>
    <row r="104" spans="2:2" x14ac:dyDescent="0.25">
      <c r="B104" t="s">
        <v>408</v>
      </c>
    </row>
    <row r="105" spans="2:2" x14ac:dyDescent="0.25">
      <c r="B105" t="s">
        <v>409</v>
      </c>
    </row>
    <row r="106" spans="2:2" x14ac:dyDescent="0.25">
      <c r="B106" t="s">
        <v>404</v>
      </c>
    </row>
    <row r="107" spans="2:2" x14ac:dyDescent="0.25">
      <c r="B107" t="s">
        <v>427</v>
      </c>
    </row>
    <row r="108" spans="2:2" x14ac:dyDescent="0.25">
      <c r="B108" t="s">
        <v>428</v>
      </c>
    </row>
    <row r="109" spans="2:2" x14ac:dyDescent="0.25">
      <c r="B109" t="s">
        <v>407</v>
      </c>
    </row>
    <row r="110" spans="2:2" x14ac:dyDescent="0.25">
      <c r="B110" t="s">
        <v>408</v>
      </c>
    </row>
    <row r="111" spans="2:2" x14ac:dyDescent="0.25">
      <c r="B111" t="s">
        <v>422</v>
      </c>
    </row>
    <row r="112" spans="2:2" x14ac:dyDescent="0.25">
      <c r="B112" t="s">
        <v>404</v>
      </c>
    </row>
    <row r="113" spans="2:2" x14ac:dyDescent="0.25">
      <c r="B113" t="s">
        <v>429</v>
      </c>
    </row>
    <row r="114" spans="2:2" x14ac:dyDescent="0.25">
      <c r="B114" t="s">
        <v>430</v>
      </c>
    </row>
    <row r="115" spans="2:2" x14ac:dyDescent="0.25">
      <c r="B115" t="s">
        <v>407</v>
      </c>
    </row>
    <row r="116" spans="2:2" x14ac:dyDescent="0.25">
      <c r="B116" t="s">
        <v>408</v>
      </c>
    </row>
    <row r="117" spans="2:2" x14ac:dyDescent="0.25">
      <c r="B117" t="s">
        <v>415</v>
      </c>
    </row>
    <row r="118" spans="2:2" x14ac:dyDescent="0.25">
      <c r="B118" t="s">
        <v>431</v>
      </c>
    </row>
    <row r="119" spans="2:2" x14ac:dyDescent="0.25">
      <c r="B119" t="s">
        <v>403</v>
      </c>
    </row>
    <row r="120" spans="2:2" x14ac:dyDescent="0.25">
      <c r="B120" t="s">
        <v>404</v>
      </c>
    </row>
    <row r="121" spans="2:2" x14ac:dyDescent="0.25">
      <c r="B121" t="s">
        <v>432</v>
      </c>
    </row>
    <row r="122" spans="2:2" x14ac:dyDescent="0.25">
      <c r="B122" t="s">
        <v>433</v>
      </c>
    </row>
    <row r="123" spans="2:2" x14ac:dyDescent="0.25">
      <c r="B123" t="s">
        <v>407</v>
      </c>
    </row>
    <row r="124" spans="2:2" x14ac:dyDescent="0.25">
      <c r="B124" t="s">
        <v>408</v>
      </c>
    </row>
    <row r="125" spans="2:2" x14ac:dyDescent="0.25">
      <c r="B125" t="s">
        <v>412</v>
      </c>
    </row>
    <row r="126" spans="2:2" x14ac:dyDescent="0.25">
      <c r="B126" t="s">
        <v>404</v>
      </c>
    </row>
    <row r="127" spans="2:2" x14ac:dyDescent="0.25">
      <c r="B127" t="s">
        <v>434</v>
      </c>
    </row>
    <row r="128" spans="2:2" x14ac:dyDescent="0.25">
      <c r="B128" t="s">
        <v>411</v>
      </c>
    </row>
    <row r="129" spans="2:2" x14ac:dyDescent="0.25">
      <c r="B129" t="s">
        <v>407</v>
      </c>
    </row>
    <row r="130" spans="2:2" x14ac:dyDescent="0.25">
      <c r="B130" t="s">
        <v>408</v>
      </c>
    </row>
    <row r="131" spans="2:2" x14ac:dyDescent="0.25">
      <c r="B131" t="s">
        <v>409</v>
      </c>
    </row>
    <row r="132" spans="2:2" x14ac:dyDescent="0.25">
      <c r="B132" t="s">
        <v>404</v>
      </c>
    </row>
    <row r="133" spans="2:2" x14ac:dyDescent="0.25">
      <c r="B133" t="s">
        <v>410</v>
      </c>
    </row>
    <row r="134" spans="2:2" x14ac:dyDescent="0.25">
      <c r="B134" t="s">
        <v>435</v>
      </c>
    </row>
    <row r="135" spans="2:2" x14ac:dyDescent="0.25">
      <c r="B135" t="s">
        <v>407</v>
      </c>
    </row>
    <row r="136" spans="2:2" x14ac:dyDescent="0.25">
      <c r="B136" t="s">
        <v>408</v>
      </c>
    </row>
    <row r="137" spans="2:2" x14ac:dyDescent="0.25">
      <c r="B137" t="s">
        <v>422</v>
      </c>
    </row>
    <row r="138" spans="2:2" x14ac:dyDescent="0.25">
      <c r="B138" t="s">
        <v>404</v>
      </c>
    </row>
    <row r="139" spans="2:2" x14ac:dyDescent="0.25">
      <c r="B139" t="s">
        <v>429</v>
      </c>
    </row>
    <row r="140" spans="2:2" x14ac:dyDescent="0.25">
      <c r="B140" t="s">
        <v>430</v>
      </c>
    </row>
    <row r="141" spans="2:2" x14ac:dyDescent="0.25">
      <c r="B141" t="s">
        <v>407</v>
      </c>
    </row>
    <row r="142" spans="2:2" x14ac:dyDescent="0.25">
      <c r="B142" t="s">
        <v>408</v>
      </c>
    </row>
    <row r="143" spans="2:2" x14ac:dyDescent="0.25">
      <c r="B143" t="s">
        <v>415</v>
      </c>
    </row>
    <row r="144" spans="2:2" x14ac:dyDescent="0.25">
      <c r="B144" t="s">
        <v>436</v>
      </c>
    </row>
    <row r="145" spans="2:2" x14ac:dyDescent="0.25">
      <c r="B145" t="s">
        <v>403</v>
      </c>
    </row>
    <row r="146" spans="2:2" x14ac:dyDescent="0.25">
      <c r="B146" t="s">
        <v>404</v>
      </c>
    </row>
    <row r="147" spans="2:2" x14ac:dyDescent="0.25">
      <c r="B147" t="s">
        <v>437</v>
      </c>
    </row>
    <row r="148" spans="2:2" x14ac:dyDescent="0.25">
      <c r="B148" t="s">
        <v>438</v>
      </c>
    </row>
    <row r="149" spans="2:2" x14ac:dyDescent="0.25">
      <c r="B149" t="s">
        <v>407</v>
      </c>
    </row>
    <row r="150" spans="2:2" x14ac:dyDescent="0.25">
      <c r="B150" t="s">
        <v>408</v>
      </c>
    </row>
    <row r="151" spans="2:2" x14ac:dyDescent="0.25">
      <c r="B151" t="s">
        <v>412</v>
      </c>
    </row>
    <row r="152" spans="2:2" x14ac:dyDescent="0.25">
      <c r="B152" t="s">
        <v>404</v>
      </c>
    </row>
    <row r="153" spans="2:2" x14ac:dyDescent="0.25">
      <c r="B153" t="s">
        <v>439</v>
      </c>
    </row>
    <row r="154" spans="2:2" x14ac:dyDescent="0.25">
      <c r="B154" t="s">
        <v>440</v>
      </c>
    </row>
    <row r="155" spans="2:2" x14ac:dyDescent="0.25">
      <c r="B155" t="s">
        <v>407</v>
      </c>
    </row>
    <row r="156" spans="2:2" x14ac:dyDescent="0.25">
      <c r="B156" t="s">
        <v>408</v>
      </c>
    </row>
    <row r="157" spans="2:2" x14ac:dyDescent="0.25">
      <c r="B157" t="s">
        <v>409</v>
      </c>
    </row>
    <row r="158" spans="2:2" x14ac:dyDescent="0.25">
      <c r="B158" t="s">
        <v>404</v>
      </c>
    </row>
    <row r="159" spans="2:2" x14ac:dyDescent="0.25">
      <c r="B159" t="s">
        <v>429</v>
      </c>
    </row>
    <row r="160" spans="2:2" x14ac:dyDescent="0.25">
      <c r="B160" t="s">
        <v>428</v>
      </c>
    </row>
    <row r="161" spans="2:2" x14ac:dyDescent="0.25">
      <c r="B161" t="s">
        <v>407</v>
      </c>
    </row>
    <row r="162" spans="2:2" x14ac:dyDescent="0.25">
      <c r="B162" t="s">
        <v>408</v>
      </c>
    </row>
    <row r="163" spans="2:2" x14ac:dyDescent="0.25">
      <c r="B163" t="s">
        <v>415</v>
      </c>
    </row>
    <row r="164" spans="2:2" x14ac:dyDescent="0.25">
      <c r="B164" t="s">
        <v>441</v>
      </c>
    </row>
    <row r="165" spans="2:2" x14ac:dyDescent="0.25">
      <c r="B165" t="s">
        <v>442</v>
      </c>
    </row>
    <row r="166" spans="2:2" x14ac:dyDescent="0.25">
      <c r="B166" t="s">
        <v>404</v>
      </c>
    </row>
    <row r="167" spans="2:2" x14ac:dyDescent="0.25">
      <c r="B167" t="s">
        <v>443</v>
      </c>
    </row>
    <row r="168" spans="2:2" x14ac:dyDescent="0.25">
      <c r="B168" t="s">
        <v>444</v>
      </c>
    </row>
    <row r="169" spans="2:2" x14ac:dyDescent="0.25">
      <c r="B169" t="s">
        <v>407</v>
      </c>
    </row>
    <row r="170" spans="2:2" x14ac:dyDescent="0.25">
      <c r="B170" t="s">
        <v>445</v>
      </c>
    </row>
    <row r="171" spans="2:2" x14ac:dyDescent="0.25">
      <c r="B171" t="s">
        <v>446</v>
      </c>
    </row>
    <row r="172" spans="2:2" x14ac:dyDescent="0.25">
      <c r="B172" t="s">
        <v>447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NB_Output'!$B$10:$B$10" display="Inputs" xr:uid="{22DB01DA-E261-42FC-80D2-14118802F763}"/>
    <hyperlink ref="D4" location="'NB_Stored'!$B$10:$B$10" display="PMML Model" xr:uid="{E5AF737B-FB58-47DF-9AC9-CCFBADD67345}"/>
    <hyperlink ref="F4" location="'NB_TrainingScore'!$B$10:$B$10" display="Training: Classification Summary" xr:uid="{BD3A26C3-C7E2-4575-8FED-4BD8707274D0}"/>
    <hyperlink ref="H4" location="'NB_ValidationScore'!$B$10:$B$10" display="Validation: Classification Summary" xr:uid="{2556CB43-8314-4BD2-BBB0-7FAF5C5C70D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D7" sqref="D7"/>
    </sheetView>
  </sheetViews>
  <sheetFormatPr defaultRowHeight="13.2" x14ac:dyDescent="0.25"/>
  <cols>
    <col min="7" max="7" width="22.21875" customWidth="1"/>
  </cols>
  <sheetData>
    <row r="1" spans="1:8" ht="31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51</v>
      </c>
    </row>
    <row r="2" spans="1:8" ht="15.6" x14ac:dyDescent="0.3">
      <c r="A2" s="2" t="s">
        <v>156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5" t="s">
        <v>53</v>
      </c>
      <c r="H2" s="6"/>
    </row>
    <row r="3" spans="1:8" ht="15.6" x14ac:dyDescent="0.3">
      <c r="A3" s="2" t="s">
        <v>157</v>
      </c>
      <c r="B3" s="2">
        <v>2</v>
      </c>
      <c r="C3" s="2">
        <v>2</v>
      </c>
      <c r="D3" s="2">
        <v>1</v>
      </c>
      <c r="E3" s="2">
        <v>1</v>
      </c>
      <c r="F3" s="2">
        <v>1</v>
      </c>
      <c r="G3" s="5" t="s">
        <v>53</v>
      </c>
      <c r="H3" s="6"/>
    </row>
    <row r="4" spans="1:8" ht="15.6" x14ac:dyDescent="0.3">
      <c r="A4" s="2" t="s">
        <v>158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5" t="s">
        <v>53</v>
      </c>
      <c r="H4" s="6"/>
    </row>
    <row r="5" spans="1:8" ht="15.6" x14ac:dyDescent="0.3">
      <c r="A5" s="2" t="s">
        <v>159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5" t="s">
        <v>53</v>
      </c>
      <c r="H5" s="6"/>
    </row>
    <row r="6" spans="1:8" ht="15.6" x14ac:dyDescent="0.3">
      <c r="A6" s="2" t="s">
        <v>160</v>
      </c>
      <c r="B6" s="2">
        <v>1</v>
      </c>
      <c r="C6" s="2">
        <v>3</v>
      </c>
      <c r="D6" s="2">
        <v>1</v>
      </c>
      <c r="E6" s="2">
        <v>0</v>
      </c>
      <c r="F6" s="2">
        <v>1</v>
      </c>
      <c r="G6" s="5" t="s">
        <v>53</v>
      </c>
      <c r="H6" s="6"/>
    </row>
    <row r="7" spans="1:8" ht="15.6" x14ac:dyDescent="0.3">
      <c r="A7" s="2" t="s">
        <v>161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5" t="s">
        <v>53</v>
      </c>
      <c r="H7" s="6"/>
    </row>
    <row r="8" spans="1:8" ht="15.6" x14ac:dyDescent="0.3">
      <c r="A8" s="2" t="s">
        <v>162</v>
      </c>
      <c r="B8" s="2">
        <v>1</v>
      </c>
      <c r="C8" s="2">
        <v>3</v>
      </c>
      <c r="D8" s="2">
        <v>0</v>
      </c>
      <c r="E8" s="2">
        <v>2</v>
      </c>
      <c r="F8" s="2">
        <v>0</v>
      </c>
      <c r="G8" s="5" t="s">
        <v>53</v>
      </c>
      <c r="H8" s="6"/>
    </row>
    <row r="9" spans="1:8" ht="15.6" x14ac:dyDescent="0.3">
      <c r="A9" s="2" t="s">
        <v>163</v>
      </c>
      <c r="B9" s="2">
        <v>1</v>
      </c>
      <c r="C9" s="2">
        <v>1</v>
      </c>
      <c r="D9" s="2">
        <v>1</v>
      </c>
      <c r="E9" s="2">
        <v>1</v>
      </c>
      <c r="F9" s="2">
        <v>0</v>
      </c>
      <c r="G9" s="5" t="s">
        <v>53</v>
      </c>
      <c r="H9" s="6"/>
    </row>
    <row r="10" spans="1:8" ht="15.6" x14ac:dyDescent="0.3">
      <c r="A10" s="2" t="s">
        <v>164</v>
      </c>
      <c r="B10" s="2">
        <v>1</v>
      </c>
      <c r="C10" s="2">
        <v>1</v>
      </c>
      <c r="D10" s="2">
        <v>0</v>
      </c>
      <c r="E10" s="2">
        <v>3</v>
      </c>
      <c r="F10" s="2">
        <v>1</v>
      </c>
      <c r="G10" s="5" t="s">
        <v>53</v>
      </c>
      <c r="H10" s="6"/>
    </row>
    <row r="11" spans="1:8" ht="15.6" x14ac:dyDescent="0.3">
      <c r="A11" s="2" t="s">
        <v>165</v>
      </c>
      <c r="B11" s="2">
        <v>1</v>
      </c>
      <c r="C11" s="2">
        <v>0</v>
      </c>
      <c r="D11" s="2">
        <v>1</v>
      </c>
      <c r="E11" s="2">
        <v>1</v>
      </c>
      <c r="F11" s="2">
        <v>1</v>
      </c>
      <c r="G11" s="5" t="s">
        <v>53</v>
      </c>
      <c r="H11" s="6"/>
    </row>
    <row r="12" spans="1:8" ht="15.6" x14ac:dyDescent="0.3">
      <c r="A12" s="2" t="s">
        <v>166</v>
      </c>
      <c r="B12" s="2">
        <v>1</v>
      </c>
      <c r="C12" s="2">
        <v>1</v>
      </c>
      <c r="D12" s="2">
        <v>1</v>
      </c>
      <c r="E12" s="2">
        <v>1</v>
      </c>
      <c r="F12" s="2">
        <v>0</v>
      </c>
      <c r="G12" s="5" t="s">
        <v>53</v>
      </c>
      <c r="H12" s="6"/>
    </row>
    <row r="13" spans="1:8" ht="15.6" x14ac:dyDescent="0.3">
      <c r="A13" s="2" t="s">
        <v>167</v>
      </c>
      <c r="B13" s="2">
        <v>0</v>
      </c>
      <c r="C13" s="2">
        <v>1</v>
      </c>
      <c r="D13" s="2">
        <v>1</v>
      </c>
      <c r="E13" s="2">
        <v>1</v>
      </c>
      <c r="F13" s="2">
        <v>0</v>
      </c>
      <c r="G13" s="5" t="s">
        <v>53</v>
      </c>
      <c r="H13" s="6"/>
    </row>
    <row r="14" spans="1:8" ht="15.6" x14ac:dyDescent="0.3">
      <c r="A14" s="2" t="s">
        <v>168</v>
      </c>
      <c r="B14" s="2">
        <v>1</v>
      </c>
      <c r="C14" s="2">
        <v>1</v>
      </c>
      <c r="D14" s="2">
        <v>1</v>
      </c>
      <c r="E14" s="2">
        <v>3</v>
      </c>
      <c r="F14" s="2">
        <v>2</v>
      </c>
      <c r="G14" s="5" t="s">
        <v>53</v>
      </c>
      <c r="H14" s="6"/>
    </row>
    <row r="15" spans="1:8" ht="15.6" x14ac:dyDescent="0.3">
      <c r="A15" s="2" t="s">
        <v>169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  <c r="G15" s="5" t="s">
        <v>53</v>
      </c>
      <c r="H15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E469-1B93-46AE-B10C-AE40AB457C3F}">
  <dimension ref="B1:CV47"/>
  <sheetViews>
    <sheetView showGridLines="0" tabSelected="1" topLeftCell="A26" workbookViewId="0">
      <selection activeCell="H39" sqref="H39"/>
    </sheetView>
  </sheetViews>
  <sheetFormatPr defaultRowHeight="13.2" x14ac:dyDescent="0.25"/>
  <cols>
    <col min="3" max="3" width="11.5546875" customWidth="1"/>
    <col min="5" max="9" width="14.5546875" customWidth="1"/>
    <col min="10" max="10" width="29.109375" bestFit="1" customWidth="1"/>
  </cols>
  <sheetData>
    <row r="1" spans="2:100" ht="18" x14ac:dyDescent="0.35">
      <c r="B1" s="8" t="s">
        <v>171</v>
      </c>
      <c r="N1" t="s">
        <v>563</v>
      </c>
      <c r="CV1" s="14" t="s">
        <v>564</v>
      </c>
    </row>
    <row r="3" spans="2:100" ht="15.6" x14ac:dyDescent="0.3">
      <c r="B3" s="22" t="s">
        <v>172</v>
      </c>
      <c r="C3" s="23"/>
      <c r="D3" s="23"/>
      <c r="E3" s="24"/>
      <c r="J3" s="22" t="s">
        <v>195</v>
      </c>
      <c r="K3" s="23"/>
      <c r="L3" s="23"/>
      <c r="M3" s="24"/>
    </row>
    <row r="4" spans="2:100" ht="13.8" x14ac:dyDescent="0.3">
      <c r="B4" s="21" t="s">
        <v>173</v>
      </c>
      <c r="C4" s="21"/>
      <c r="D4" s="21" t="s">
        <v>174</v>
      </c>
      <c r="E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00" ht="13.8" x14ac:dyDescent="0.3">
      <c r="J5" s="11">
        <v>38</v>
      </c>
      <c r="K5" s="11">
        <v>1</v>
      </c>
      <c r="L5" s="11">
        <v>0</v>
      </c>
      <c r="M5" s="11">
        <v>39</v>
      </c>
    </row>
    <row r="10" spans="2:100" ht="18" x14ac:dyDescent="0.35">
      <c r="B10" s="9" t="s">
        <v>173</v>
      </c>
    </row>
    <row r="12" spans="2:100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00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00" ht="13.8" x14ac:dyDescent="0.3">
      <c r="C14" s="18" t="s">
        <v>177</v>
      </c>
      <c r="D14" s="18"/>
      <c r="E14" s="19"/>
      <c r="F14" s="16" t="s">
        <v>561</v>
      </c>
      <c r="G14" s="16"/>
      <c r="H14" s="16"/>
      <c r="I14" s="16"/>
    </row>
    <row r="15" spans="2:100" ht="13.8" x14ac:dyDescent="0.3">
      <c r="C15" s="18" t="s">
        <v>178</v>
      </c>
      <c r="D15" s="18"/>
      <c r="E15" s="19"/>
      <c r="F15" s="16" t="s">
        <v>562</v>
      </c>
      <c r="G15" s="16"/>
      <c r="H15" s="16"/>
      <c r="I15" s="16"/>
    </row>
    <row r="16" spans="2:100" ht="13.8" x14ac:dyDescent="0.3">
      <c r="C16" s="18" t="s">
        <v>179</v>
      </c>
      <c r="D16" s="18"/>
      <c r="E16" s="19"/>
      <c r="F16" s="17">
        <v>14</v>
      </c>
      <c r="G16" s="17"/>
      <c r="H16" s="17"/>
      <c r="I16" s="17"/>
    </row>
    <row r="18" spans="2:12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  <c r="K18" s="25"/>
      <c r="L18" s="25"/>
    </row>
    <row r="19" spans="2:12" ht="13.8" x14ac:dyDescent="0.3">
      <c r="C19" s="18" t="s">
        <v>181</v>
      </c>
      <c r="D19" s="18"/>
      <c r="E19" s="19"/>
      <c r="F19" s="17">
        <v>7</v>
      </c>
      <c r="G19" s="17"/>
      <c r="H19" s="17"/>
      <c r="I19" s="17"/>
      <c r="J19" s="17"/>
      <c r="K19" s="17"/>
      <c r="L19" s="17"/>
    </row>
    <row r="20" spans="2:12" ht="13.8" x14ac:dyDescent="0.3">
      <c r="C20" s="18" t="s">
        <v>182</v>
      </c>
      <c r="D20" s="18"/>
      <c r="E20" s="19"/>
      <c r="F20" s="11" t="s">
        <v>0</v>
      </c>
      <c r="G20" s="11" t="s">
        <v>1</v>
      </c>
      <c r="H20" s="11" t="s">
        <v>2</v>
      </c>
      <c r="I20" s="11" t="s">
        <v>3</v>
      </c>
      <c r="J20" s="11" t="s">
        <v>4</v>
      </c>
      <c r="K20" s="11" t="s">
        <v>5</v>
      </c>
      <c r="L20" s="11" t="s">
        <v>51</v>
      </c>
    </row>
    <row r="22" spans="2:12" ht="15.6" x14ac:dyDescent="0.3">
      <c r="C22" s="25" t="s">
        <v>183</v>
      </c>
      <c r="D22" s="25"/>
      <c r="E22" s="25"/>
      <c r="F22" s="25"/>
      <c r="G22" s="25"/>
      <c r="H22" s="25"/>
      <c r="I22" s="25"/>
      <c r="J22" s="25"/>
      <c r="K22" s="25"/>
      <c r="L22" s="25"/>
    </row>
    <row r="23" spans="2:12" ht="13.8" x14ac:dyDescent="0.3">
      <c r="C23" s="18" t="s">
        <v>184</v>
      </c>
      <c r="D23" s="18"/>
      <c r="E23" s="19"/>
      <c r="F23" s="12" t="s">
        <v>0</v>
      </c>
      <c r="G23" s="12" t="s">
        <v>1</v>
      </c>
      <c r="H23" s="12" t="s">
        <v>2</v>
      </c>
      <c r="I23" s="12" t="s">
        <v>3</v>
      </c>
      <c r="J23" s="12" t="s">
        <v>4</v>
      </c>
      <c r="K23" s="12" t="s">
        <v>5</v>
      </c>
      <c r="L23" s="12" t="s">
        <v>51</v>
      </c>
    </row>
    <row r="24" spans="2:12" ht="13.8" x14ac:dyDescent="0.3">
      <c r="C24" s="18" t="s">
        <v>185</v>
      </c>
      <c r="D24" s="18"/>
      <c r="E24" s="19"/>
      <c r="F24" s="12" t="s">
        <v>192</v>
      </c>
      <c r="G24" s="12" t="s">
        <v>194</v>
      </c>
      <c r="H24" s="12" t="s">
        <v>194</v>
      </c>
      <c r="I24" s="12" t="s">
        <v>194</v>
      </c>
      <c r="J24" s="12" t="s">
        <v>194</v>
      </c>
      <c r="K24" s="12" t="s">
        <v>194</v>
      </c>
      <c r="L24" s="12" t="s">
        <v>193</v>
      </c>
    </row>
    <row r="25" spans="2:12" ht="13.8" x14ac:dyDescent="0.3">
      <c r="C25" s="18" t="s">
        <v>186</v>
      </c>
      <c r="D25" s="18"/>
      <c r="E25" s="19"/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2:12" ht="13.8" x14ac:dyDescent="0.3">
      <c r="C26" s="18" t="s">
        <v>187</v>
      </c>
      <c r="D26" s="18"/>
      <c r="E26" s="19"/>
      <c r="F26" s="20"/>
      <c r="G26" s="20"/>
      <c r="H26" s="20"/>
      <c r="I26" s="20"/>
      <c r="J26" s="20"/>
      <c r="K26" s="20"/>
      <c r="L26" s="20"/>
    </row>
    <row r="27" spans="2:12" ht="13.8" x14ac:dyDescent="0.3">
      <c r="C27" s="18" t="s">
        <v>188</v>
      </c>
      <c r="D27" s="18"/>
      <c r="E27" s="19"/>
      <c r="F27" s="17">
        <v>14</v>
      </c>
      <c r="G27" s="17"/>
      <c r="H27" s="17"/>
      <c r="I27" s="17"/>
      <c r="J27" s="17"/>
      <c r="K27" s="17"/>
      <c r="L27" s="17"/>
    </row>
    <row r="28" spans="2:12" ht="13.8" x14ac:dyDescent="0.3">
      <c r="C28" s="18" t="s">
        <v>189</v>
      </c>
      <c r="D28" s="18"/>
      <c r="E28" s="19"/>
      <c r="F28" s="17">
        <v>0</v>
      </c>
      <c r="G28" s="17"/>
      <c r="H28" s="17"/>
      <c r="I28" s="17"/>
      <c r="J28" s="17"/>
      <c r="K28" s="17"/>
      <c r="L28" s="17"/>
    </row>
    <row r="31" spans="2:12" ht="18" x14ac:dyDescent="0.35">
      <c r="B31" s="9" t="s">
        <v>174</v>
      </c>
    </row>
    <row r="33" spans="3:10" x14ac:dyDescent="0.25">
      <c r="C33" s="10" t="s">
        <v>202</v>
      </c>
      <c r="D33" t="s">
        <v>0</v>
      </c>
      <c r="E33" t="s">
        <v>203</v>
      </c>
      <c r="F33" t="s">
        <v>204</v>
      </c>
      <c r="G33" t="s">
        <v>205</v>
      </c>
      <c r="H33" t="s">
        <v>206</v>
      </c>
      <c r="I33" t="s">
        <v>207</v>
      </c>
      <c r="J33" t="s">
        <v>51</v>
      </c>
    </row>
    <row r="34" spans="3:10" x14ac:dyDescent="0.25">
      <c r="C34" s="10" t="s">
        <v>208</v>
      </c>
      <c r="D34" s="15" t="s">
        <v>156</v>
      </c>
      <c r="E34" s="15">
        <v>1</v>
      </c>
      <c r="F34" s="15">
        <v>1</v>
      </c>
      <c r="G34" s="15">
        <v>0</v>
      </c>
      <c r="H34" s="15">
        <v>1</v>
      </c>
      <c r="I34" s="15">
        <v>1</v>
      </c>
      <c r="J34" t="s">
        <v>53</v>
      </c>
    </row>
    <row r="35" spans="3:10" x14ac:dyDescent="0.25">
      <c r="C35" s="10" t="s">
        <v>209</v>
      </c>
      <c r="D35" s="15" t="s">
        <v>157</v>
      </c>
      <c r="E35" s="15">
        <v>2</v>
      </c>
      <c r="F35" s="15">
        <v>2</v>
      </c>
      <c r="G35" s="15">
        <v>1</v>
      </c>
      <c r="H35" s="15">
        <v>1</v>
      </c>
      <c r="I35" s="15">
        <v>1</v>
      </c>
      <c r="J35" t="s">
        <v>53</v>
      </c>
    </row>
    <row r="36" spans="3:10" x14ac:dyDescent="0.25">
      <c r="C36" s="10" t="s">
        <v>210</v>
      </c>
      <c r="D36" s="15" t="s">
        <v>158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t="s">
        <v>53</v>
      </c>
    </row>
    <row r="37" spans="3:10" x14ac:dyDescent="0.25">
      <c r="C37" s="10" t="s">
        <v>211</v>
      </c>
      <c r="D37" s="15" t="s">
        <v>159</v>
      </c>
      <c r="E37" s="15">
        <v>1</v>
      </c>
      <c r="F37" s="15">
        <v>1</v>
      </c>
      <c r="G37" s="15">
        <v>0</v>
      </c>
      <c r="H37" s="15">
        <v>0</v>
      </c>
      <c r="I37" s="15">
        <v>1</v>
      </c>
      <c r="J37" t="s">
        <v>53</v>
      </c>
    </row>
    <row r="38" spans="3:10" x14ac:dyDescent="0.25">
      <c r="C38" s="10" t="s">
        <v>212</v>
      </c>
      <c r="D38" s="15" t="s">
        <v>160</v>
      </c>
      <c r="E38" s="15">
        <v>1</v>
      </c>
      <c r="F38" s="15">
        <v>3</v>
      </c>
      <c r="G38" s="15">
        <v>1</v>
      </c>
      <c r="H38" s="15">
        <v>0</v>
      </c>
      <c r="I38" s="15">
        <v>1</v>
      </c>
      <c r="J38" t="s">
        <v>53</v>
      </c>
    </row>
    <row r="39" spans="3:10" x14ac:dyDescent="0.25">
      <c r="C39" s="10" t="s">
        <v>213</v>
      </c>
      <c r="D39" s="15" t="s">
        <v>161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t="s">
        <v>53</v>
      </c>
    </row>
    <row r="40" spans="3:10" x14ac:dyDescent="0.25">
      <c r="C40" s="10" t="s">
        <v>214</v>
      </c>
      <c r="D40" s="15" t="s">
        <v>162</v>
      </c>
      <c r="E40" s="15">
        <v>1</v>
      </c>
      <c r="F40" s="15">
        <v>3</v>
      </c>
      <c r="G40" s="15">
        <v>0</v>
      </c>
      <c r="H40" s="15">
        <v>2</v>
      </c>
      <c r="I40" s="15">
        <v>0</v>
      </c>
      <c r="J40" t="s">
        <v>53</v>
      </c>
    </row>
    <row r="41" spans="3:10" x14ac:dyDescent="0.25">
      <c r="C41" s="10" t="s">
        <v>215</v>
      </c>
      <c r="D41" s="15" t="s">
        <v>163</v>
      </c>
      <c r="E41" s="15">
        <v>1</v>
      </c>
      <c r="F41" s="15">
        <v>1</v>
      </c>
      <c r="G41" s="15">
        <v>1</v>
      </c>
      <c r="H41" s="15">
        <v>1</v>
      </c>
      <c r="I41" s="15">
        <v>0</v>
      </c>
      <c r="J41" t="s">
        <v>53</v>
      </c>
    </row>
    <row r="42" spans="3:10" x14ac:dyDescent="0.25">
      <c r="C42" s="10" t="s">
        <v>216</v>
      </c>
      <c r="D42" s="15" t="s">
        <v>164</v>
      </c>
      <c r="E42" s="15">
        <v>1</v>
      </c>
      <c r="F42" s="15">
        <v>1</v>
      </c>
      <c r="G42" s="15">
        <v>0</v>
      </c>
      <c r="H42" s="15">
        <v>3</v>
      </c>
      <c r="I42" s="15">
        <v>1</v>
      </c>
      <c r="J42" t="s">
        <v>53</v>
      </c>
    </row>
    <row r="43" spans="3:10" x14ac:dyDescent="0.25">
      <c r="C43" s="10" t="s">
        <v>217</v>
      </c>
      <c r="D43" s="15" t="s">
        <v>165</v>
      </c>
      <c r="E43" s="15">
        <v>1</v>
      </c>
      <c r="F43" s="15">
        <v>0</v>
      </c>
      <c r="G43" s="15">
        <v>1</v>
      </c>
      <c r="H43" s="15">
        <v>1</v>
      </c>
      <c r="I43" s="15">
        <v>1</v>
      </c>
      <c r="J43" t="s">
        <v>53</v>
      </c>
    </row>
    <row r="44" spans="3:10" x14ac:dyDescent="0.25">
      <c r="C44" s="10" t="s">
        <v>218</v>
      </c>
      <c r="D44" s="15" t="s">
        <v>166</v>
      </c>
      <c r="E44" s="15">
        <v>1</v>
      </c>
      <c r="F44" s="15">
        <v>1</v>
      </c>
      <c r="G44" s="15">
        <v>1</v>
      </c>
      <c r="H44" s="15">
        <v>1</v>
      </c>
      <c r="I44" s="15">
        <v>0</v>
      </c>
      <c r="J44" t="s">
        <v>53</v>
      </c>
    </row>
    <row r="45" spans="3:10" x14ac:dyDescent="0.25">
      <c r="C45" s="10" t="s">
        <v>219</v>
      </c>
      <c r="D45" s="15" t="s">
        <v>167</v>
      </c>
      <c r="E45" s="15">
        <v>0</v>
      </c>
      <c r="F45" s="15">
        <v>1</v>
      </c>
      <c r="G45" s="15">
        <v>1</v>
      </c>
      <c r="H45" s="15">
        <v>1</v>
      </c>
      <c r="I45" s="15">
        <v>0</v>
      </c>
      <c r="J45" t="s">
        <v>53</v>
      </c>
    </row>
    <row r="46" spans="3:10" x14ac:dyDescent="0.25">
      <c r="C46" s="10" t="s">
        <v>220</v>
      </c>
      <c r="D46" s="15" t="s">
        <v>168</v>
      </c>
      <c r="E46" s="15">
        <v>1</v>
      </c>
      <c r="F46" s="15">
        <v>1</v>
      </c>
      <c r="G46" s="15">
        <v>1</v>
      </c>
      <c r="H46" s="15">
        <v>3</v>
      </c>
      <c r="I46" s="15">
        <v>2</v>
      </c>
      <c r="J46" t="s">
        <v>53</v>
      </c>
    </row>
    <row r="47" spans="3:10" x14ac:dyDescent="0.25">
      <c r="C47" s="10" t="s">
        <v>221</v>
      </c>
      <c r="D47" s="15" t="s">
        <v>169</v>
      </c>
      <c r="E47" s="15">
        <v>1</v>
      </c>
      <c r="F47" s="15">
        <v>1</v>
      </c>
      <c r="G47" s="15">
        <v>0</v>
      </c>
      <c r="H47" s="15">
        <v>1</v>
      </c>
      <c r="I47" s="15">
        <v>0</v>
      </c>
      <c r="J47" t="s">
        <v>53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L26"/>
    <mergeCell ref="F27:L27"/>
    <mergeCell ref="F28:L28"/>
    <mergeCell ref="B4:C4"/>
    <mergeCell ref="D4:E4"/>
    <mergeCell ref="B3:E3"/>
    <mergeCell ref="J3:M3"/>
    <mergeCell ref="C24:E24"/>
    <mergeCell ref="C18:L18"/>
    <mergeCell ref="C19:E19"/>
    <mergeCell ref="C20:E20"/>
    <mergeCell ref="F19:L19"/>
    <mergeCell ref="C22:L22"/>
    <mergeCell ref="C23:E23"/>
    <mergeCell ref="C12:I12"/>
    <mergeCell ref="C13:E13"/>
    <mergeCell ref="C14:E14"/>
    <mergeCell ref="C15:E15"/>
    <mergeCell ref="C16:E16"/>
  </mergeCells>
  <hyperlinks>
    <hyperlink ref="B4" location="'Imputation1'!$B$10:$B$10" display="Inputs" xr:uid="{583B6908-CA1D-408C-8B57-E74624FEE79B}"/>
    <hyperlink ref="D4" location="'Imputation1'!$B$31:$B$31" display="Transformed Data" xr:uid="{D2BCB101-314E-4415-89A1-F994B52B4719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977F-142E-413E-9E28-C51653557AFF}">
  <dimension ref="B1:N39"/>
  <sheetViews>
    <sheetView showGridLines="0" topLeftCell="A8" workbookViewId="0">
      <selection activeCell="B23" sqref="B23"/>
    </sheetView>
  </sheetViews>
  <sheetFormatPr defaultRowHeight="13.2" x14ac:dyDescent="0.25"/>
  <cols>
    <col min="3" max="3" width="11.5546875" customWidth="1"/>
    <col min="4" max="4" width="30.21875" customWidth="1"/>
    <col min="5" max="5" width="13.33203125" customWidth="1"/>
    <col min="6" max="6" width="13.6640625" bestFit="1" customWidth="1"/>
    <col min="7" max="9" width="11.44140625" bestFit="1" customWidth="1"/>
    <col min="10" max="10" width="15.88671875" bestFit="1" customWidth="1"/>
  </cols>
  <sheetData>
    <row r="1" spans="2:14" ht="18" x14ac:dyDescent="0.35">
      <c r="B1" s="8" t="s">
        <v>565</v>
      </c>
      <c r="N1" t="s">
        <v>571</v>
      </c>
    </row>
    <row r="3" spans="2:14" ht="15.6" x14ac:dyDescent="0.3">
      <c r="B3" s="25" t="s">
        <v>172</v>
      </c>
      <c r="C3" s="25"/>
      <c r="D3" s="25"/>
      <c r="E3" s="25"/>
      <c r="J3" s="36" t="s">
        <v>195</v>
      </c>
      <c r="K3" s="36"/>
      <c r="L3" s="36"/>
      <c r="M3" s="36"/>
    </row>
    <row r="4" spans="2:14" ht="13.8" x14ac:dyDescent="0.3">
      <c r="B4" s="21" t="s">
        <v>173</v>
      </c>
      <c r="C4" s="21"/>
      <c r="D4" s="21" t="s">
        <v>566</v>
      </c>
      <c r="E4" s="21"/>
      <c r="J4" s="13" t="s">
        <v>196</v>
      </c>
      <c r="K4" s="13" t="s">
        <v>197</v>
      </c>
      <c r="L4" s="13" t="s">
        <v>198</v>
      </c>
      <c r="M4" s="13" t="s">
        <v>199</v>
      </c>
    </row>
    <row r="5" spans="2:14" ht="13.8" x14ac:dyDescent="0.3">
      <c r="J5" s="11">
        <v>82</v>
      </c>
      <c r="K5" s="11">
        <v>5</v>
      </c>
      <c r="L5" s="11">
        <v>0</v>
      </c>
      <c r="M5" s="11">
        <v>87</v>
      </c>
    </row>
    <row r="10" spans="2:14" ht="18" x14ac:dyDescent="0.35">
      <c r="B10" s="9" t="s">
        <v>173</v>
      </c>
    </row>
    <row r="12" spans="2:14" ht="15.6" x14ac:dyDescent="0.3">
      <c r="C12" s="25" t="s">
        <v>175</v>
      </c>
      <c r="D12" s="25"/>
      <c r="E12" s="25"/>
      <c r="F12" s="25"/>
      <c r="G12" s="25"/>
      <c r="H12" s="25"/>
      <c r="I12" s="25"/>
    </row>
    <row r="13" spans="2:14" ht="13.8" x14ac:dyDescent="0.3">
      <c r="C13" s="18" t="s">
        <v>176</v>
      </c>
      <c r="D13" s="18"/>
      <c r="E13" s="19"/>
      <c r="F13" s="16" t="s">
        <v>190</v>
      </c>
      <c r="G13" s="16"/>
      <c r="H13" s="16"/>
      <c r="I13" s="16"/>
    </row>
    <row r="14" spans="2:14" ht="13.8" x14ac:dyDescent="0.3">
      <c r="C14" s="18" t="s">
        <v>177</v>
      </c>
      <c r="D14" s="18"/>
      <c r="E14" s="19"/>
      <c r="F14" s="16" t="s">
        <v>569</v>
      </c>
      <c r="G14" s="16"/>
      <c r="H14" s="16"/>
      <c r="I14" s="16"/>
    </row>
    <row r="15" spans="2:14" ht="13.8" x14ac:dyDescent="0.3">
      <c r="C15" s="18" t="s">
        <v>178</v>
      </c>
      <c r="D15" s="18"/>
      <c r="E15" s="19"/>
      <c r="F15" s="16" t="s">
        <v>570</v>
      </c>
      <c r="G15" s="16"/>
      <c r="H15" s="16"/>
      <c r="I15" s="16"/>
    </row>
    <row r="16" spans="2:14" ht="13.8" x14ac:dyDescent="0.3">
      <c r="C16" s="18" t="s">
        <v>179</v>
      </c>
      <c r="D16" s="18"/>
      <c r="E16" s="19"/>
      <c r="F16" s="17">
        <v>14</v>
      </c>
      <c r="G16" s="17"/>
      <c r="H16" s="17"/>
      <c r="I16" s="17"/>
    </row>
    <row r="18" spans="2:10" ht="15.6" x14ac:dyDescent="0.3">
      <c r="C18" s="25" t="s">
        <v>180</v>
      </c>
      <c r="D18" s="25"/>
      <c r="E18" s="25"/>
      <c r="F18" s="25"/>
      <c r="G18" s="25"/>
      <c r="H18" s="25"/>
      <c r="I18" s="25"/>
      <c r="J18" s="25"/>
    </row>
    <row r="19" spans="2:10" ht="13.8" x14ac:dyDescent="0.3">
      <c r="C19" s="18" t="s">
        <v>478</v>
      </c>
      <c r="D19" s="18"/>
      <c r="E19" s="19"/>
      <c r="F19" s="17">
        <v>5</v>
      </c>
      <c r="G19" s="17"/>
      <c r="H19" s="17"/>
      <c r="I19" s="17"/>
      <c r="J19" s="17"/>
    </row>
    <row r="20" spans="2:10" ht="13.8" x14ac:dyDescent="0.3">
      <c r="C20" s="18" t="s">
        <v>567</v>
      </c>
      <c r="D20" s="18"/>
      <c r="E20" s="19"/>
      <c r="F20" s="11" t="s">
        <v>203</v>
      </c>
      <c r="G20" s="11" t="s">
        <v>204</v>
      </c>
      <c r="H20" s="11" t="s">
        <v>205</v>
      </c>
      <c r="I20" s="11" t="s">
        <v>206</v>
      </c>
      <c r="J20" s="11" t="s">
        <v>207</v>
      </c>
    </row>
    <row r="21" spans="2:10" ht="13.8" x14ac:dyDescent="0.3">
      <c r="C21" s="18" t="s">
        <v>568</v>
      </c>
      <c r="D21" s="18"/>
      <c r="E21" s="19"/>
      <c r="F21" s="11" t="s">
        <v>203</v>
      </c>
      <c r="G21" s="11" t="s">
        <v>204</v>
      </c>
      <c r="H21" s="11" t="s">
        <v>205</v>
      </c>
      <c r="I21" s="11" t="s">
        <v>206</v>
      </c>
      <c r="J21" s="11" t="s">
        <v>207</v>
      </c>
    </row>
    <row r="23" spans="2:10" ht="18" x14ac:dyDescent="0.35">
      <c r="B23" s="9" t="s">
        <v>566</v>
      </c>
    </row>
    <row r="25" spans="2:10" x14ac:dyDescent="0.25">
      <c r="C25" s="10" t="s">
        <v>202</v>
      </c>
      <c r="D25" t="s">
        <v>572</v>
      </c>
      <c r="E25" t="s">
        <v>573</v>
      </c>
      <c r="F25" t="s">
        <v>574</v>
      </c>
    </row>
    <row r="26" spans="2:10" x14ac:dyDescent="0.25">
      <c r="C26" s="10" t="s">
        <v>208</v>
      </c>
      <c r="D26" s="15">
        <v>0</v>
      </c>
      <c r="E26" s="15">
        <v>0.81575790586457286</v>
      </c>
      <c r="F26">
        <v>0.18424209413542716</v>
      </c>
    </row>
    <row r="27" spans="2:10" x14ac:dyDescent="0.25">
      <c r="C27" s="10" t="s">
        <v>209</v>
      </c>
      <c r="D27" s="15">
        <v>0</v>
      </c>
      <c r="E27" s="15">
        <v>1</v>
      </c>
      <c r="F27">
        <v>0</v>
      </c>
    </row>
    <row r="28" spans="2:10" x14ac:dyDescent="0.25">
      <c r="C28" s="10" t="s">
        <v>210</v>
      </c>
      <c r="D28" s="15">
        <v>0</v>
      </c>
      <c r="E28" s="15">
        <v>0.5106814106675015</v>
      </c>
      <c r="F28">
        <v>0.48931858933249855</v>
      </c>
    </row>
    <row r="29" spans="2:10" x14ac:dyDescent="0.25">
      <c r="C29" s="10" t="s">
        <v>211</v>
      </c>
      <c r="D29" s="15">
        <v>0</v>
      </c>
      <c r="E29" s="15">
        <v>1</v>
      </c>
      <c r="F29">
        <v>0</v>
      </c>
    </row>
    <row r="30" spans="2:10" x14ac:dyDescent="0.25">
      <c r="C30" s="10" t="s">
        <v>212</v>
      </c>
      <c r="D30" s="15">
        <v>0</v>
      </c>
      <c r="E30" s="15">
        <v>1</v>
      </c>
      <c r="F30">
        <v>0</v>
      </c>
    </row>
    <row r="31" spans="2:10" x14ac:dyDescent="0.25">
      <c r="C31" s="10" t="s">
        <v>213</v>
      </c>
      <c r="D31" s="15">
        <v>0</v>
      </c>
      <c r="E31" s="15">
        <v>0.5106814106675015</v>
      </c>
      <c r="F31">
        <v>0.48931858933249855</v>
      </c>
    </row>
    <row r="32" spans="2:10" x14ac:dyDescent="0.25">
      <c r="C32" s="10" t="s">
        <v>214</v>
      </c>
      <c r="D32" s="15">
        <v>0</v>
      </c>
      <c r="E32" s="15">
        <v>1</v>
      </c>
      <c r="F32">
        <v>0</v>
      </c>
    </row>
    <row r="33" spans="3:6" x14ac:dyDescent="0.25">
      <c r="C33" s="10" t="s">
        <v>215</v>
      </c>
      <c r="D33" s="15">
        <v>1</v>
      </c>
      <c r="E33" s="15">
        <v>0.4660623509110049</v>
      </c>
      <c r="F33">
        <v>0.53393764908899521</v>
      </c>
    </row>
    <row r="34" spans="3:6" x14ac:dyDescent="0.25">
      <c r="C34" s="10" t="s">
        <v>216</v>
      </c>
      <c r="D34" s="15">
        <v>1</v>
      </c>
      <c r="E34" s="15">
        <v>0</v>
      </c>
      <c r="F34">
        <v>1</v>
      </c>
    </row>
    <row r="35" spans="3:6" x14ac:dyDescent="0.25">
      <c r="C35" s="10" t="s">
        <v>217</v>
      </c>
      <c r="D35" s="15">
        <v>1</v>
      </c>
      <c r="E35" s="15">
        <v>0.27938339052255856</v>
      </c>
      <c r="F35">
        <v>0.72061660947744144</v>
      </c>
    </row>
    <row r="36" spans="3:6" x14ac:dyDescent="0.25">
      <c r="C36" s="10" t="s">
        <v>218</v>
      </c>
      <c r="D36" s="15">
        <v>1</v>
      </c>
      <c r="E36" s="15">
        <v>0.4660623509110049</v>
      </c>
      <c r="F36">
        <v>0.53393764908899521</v>
      </c>
    </row>
    <row r="37" spans="3:6" x14ac:dyDescent="0.25">
      <c r="C37" s="10" t="s">
        <v>219</v>
      </c>
      <c r="D37" s="15">
        <v>1</v>
      </c>
      <c r="E37" s="15">
        <v>0.15739000616084578</v>
      </c>
      <c r="F37">
        <v>0.84260999383915425</v>
      </c>
    </row>
    <row r="38" spans="3:6" x14ac:dyDescent="0.25">
      <c r="C38" s="10" t="s">
        <v>220</v>
      </c>
      <c r="D38" s="15">
        <v>1</v>
      </c>
      <c r="E38" s="15">
        <v>0</v>
      </c>
      <c r="F38">
        <v>1</v>
      </c>
    </row>
    <row r="39" spans="3:6" x14ac:dyDescent="0.25">
      <c r="C39" s="10" t="s">
        <v>221</v>
      </c>
      <c r="D39" s="15">
        <v>0</v>
      </c>
      <c r="E39" s="15">
        <v>0.78737510701083302</v>
      </c>
      <c r="F39">
        <v>0.21262489298916695</v>
      </c>
    </row>
  </sheetData>
  <mergeCells count="18">
    <mergeCell ref="C21:E21"/>
    <mergeCell ref="F19:J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J18"/>
    <mergeCell ref="C19:E19"/>
    <mergeCell ref="C20:E20"/>
  </mergeCells>
  <hyperlinks>
    <hyperlink ref="B4" location="'Scoring_NaiveBayes'!$B$10:$B$10" display="Inputs" xr:uid="{C7566E62-A4DF-40FD-9569-91C775783F0A}"/>
    <hyperlink ref="D4" location="'Scoring_NaiveBayes'!$B$23:$B$23" display="Scoring" xr:uid="{99A6656A-2A9F-4244-886D-F1957D7F876E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Description</vt:lpstr>
      <vt:lpstr>Data</vt:lpstr>
      <vt:lpstr>Imputation</vt:lpstr>
      <vt:lpstr>STDPartition3</vt:lpstr>
      <vt:lpstr>NB_Output3</vt:lpstr>
      <vt:lpstr>NB_TrainingScore3</vt:lpstr>
      <vt:lpstr>NB_ValidationScore3</vt:lpstr>
      <vt:lpstr>NB_Stored3</vt:lpstr>
      <vt:lpstr>STDPartition2</vt:lpstr>
      <vt:lpstr>NB_Output2</vt:lpstr>
      <vt:lpstr>NB_TrainingScore2</vt:lpstr>
      <vt:lpstr>NB_ValidationScore2</vt:lpstr>
      <vt:lpstr>NB_Stored2</vt:lpstr>
      <vt:lpstr>STDPartition1</vt:lpstr>
      <vt:lpstr>NB_Output1</vt:lpstr>
      <vt:lpstr>NB_TrainingScore1</vt:lpstr>
      <vt:lpstr>NB_ValidationScore1</vt:lpstr>
      <vt:lpstr>NB_Stored1</vt:lpstr>
      <vt:lpstr>STDPartition</vt:lpstr>
      <vt:lpstr>NB_Output</vt:lpstr>
      <vt:lpstr>NB_TrainingScore</vt:lpstr>
      <vt:lpstr>NB_ValidationScore</vt:lpstr>
      <vt:lpstr>NB_Stored</vt:lpstr>
      <vt:lpstr>New Data</vt:lpstr>
      <vt:lpstr>Imputation1</vt:lpstr>
      <vt:lpstr>Scoring_NaiveBayes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2002-07-25T09:08:36Z</dcterms:created>
  <dcterms:modified xsi:type="dcterms:W3CDTF">2025-04-09T19:48:31Z</dcterms:modified>
</cp:coreProperties>
</file>