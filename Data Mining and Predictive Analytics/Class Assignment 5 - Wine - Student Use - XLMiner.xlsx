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c1f50dbc0191e4/Desktop/FAU/Sem 4/Datasets/"/>
    </mc:Choice>
  </mc:AlternateContent>
  <xr:revisionPtr revIDLastSave="12819" documentId="13_ncr:1_{00BE4675-1A10-442C-ADC6-FD1029DCC0C3}" xr6:coauthVersionLast="47" xr6:coauthVersionMax="47" xr10:uidLastSave="{EE67BC90-C21B-4008-99F5-B0BBB7EF7E60}"/>
  <bookViews>
    <workbookView xWindow="-108" yWindow="-108" windowWidth="23256" windowHeight="12456" tabRatio="729" firstSheet="15" activeTab="17" xr2:uid="{00000000-000D-0000-FFFF-FFFF00000000}"/>
  </bookViews>
  <sheets>
    <sheet name="Description" sheetId="2" r:id="rId1"/>
    <sheet name="Data" sheetId="1" r:id="rId2"/>
    <sheet name="Imputation" sheetId="4" r:id="rId3"/>
    <sheet name="STDPartition5" sheetId="54" r:id="rId4"/>
    <sheet name="CT_Output5" sheetId="61" r:id="rId5"/>
    <sheet name="CT_FullTree5" sheetId="60" r:id="rId6"/>
    <sheet name="CT_BestTree5" sheetId="59" r:id="rId7"/>
    <sheet name="CT_MinErrorTree5" sheetId="58" r:id="rId8"/>
    <sheet name="CT_TrainingScore5" sheetId="57" r:id="rId9"/>
    <sheet name="CT_ValidationScore5" sheetId="56" r:id="rId10"/>
    <sheet name="CT_Stored5" sheetId="55" r:id="rId11"/>
    <sheet name="STDPartition4" sheetId="44" r:id="rId12"/>
    <sheet name="CT_Output4" sheetId="52" r:id="rId13"/>
    <sheet name="CT_FullTree4" sheetId="51" r:id="rId14"/>
    <sheet name="CT_BestTree4" sheetId="50" r:id="rId15"/>
    <sheet name="CT_MinErrorTree4" sheetId="49" r:id="rId16"/>
    <sheet name="CT_TrainingScore4" sheetId="48" r:id="rId17"/>
    <sheet name="CT_ValidationScore4" sheetId="47" r:id="rId18"/>
    <sheet name="CT_Stored4" sheetId="46" r:id="rId19"/>
    <sheet name="STDPartition3" sheetId="36" r:id="rId20"/>
    <sheet name="CT_Output3" sheetId="43" r:id="rId21"/>
    <sheet name="CT_FullTree3" sheetId="42" r:id="rId22"/>
    <sheet name="CT_BestTree3" sheetId="41" r:id="rId23"/>
    <sheet name="CT_MinErrorTree3" sheetId="40" r:id="rId24"/>
    <sheet name="CT_TrainingScore3" sheetId="39" r:id="rId25"/>
    <sheet name="CT_ValidationScore3" sheetId="38" r:id="rId26"/>
    <sheet name="CT_Stored3" sheetId="37" r:id="rId27"/>
    <sheet name="STDPartition2" sheetId="28" r:id="rId28"/>
    <sheet name="CT_Output2" sheetId="35" r:id="rId29"/>
    <sheet name="CT_FullTree2" sheetId="34" r:id="rId30"/>
    <sheet name="CT_BestTree2" sheetId="33" r:id="rId31"/>
    <sheet name="CT_MinErrorTree2" sheetId="32" r:id="rId32"/>
    <sheet name="CT_TrainingScore2" sheetId="31" r:id="rId33"/>
    <sheet name="CT_ValidationScore2" sheetId="30" r:id="rId34"/>
    <sheet name="CT_Stored2" sheetId="29" r:id="rId35"/>
    <sheet name="STDPartition1" sheetId="20" r:id="rId36"/>
    <sheet name="CT_Output1" sheetId="27" r:id="rId37"/>
    <sheet name="CT_FullTree1" sheetId="26" r:id="rId38"/>
    <sheet name="CT_BestTree1" sheetId="25" r:id="rId39"/>
    <sheet name="CT_MinErrorTree1" sheetId="24" r:id="rId40"/>
    <sheet name="CT_TrainingScore1" sheetId="23" r:id="rId41"/>
    <sheet name="CT_ValidationScore1" sheetId="22" r:id="rId42"/>
    <sheet name="CT_Stored1" sheetId="21" r:id="rId43"/>
    <sheet name="STDPartition" sheetId="5" r:id="rId44"/>
    <sheet name="CT_Output" sheetId="19" r:id="rId45"/>
    <sheet name="CT_FullTree" sheetId="18" r:id="rId46"/>
    <sheet name="CT_BestTree" sheetId="17" r:id="rId47"/>
    <sheet name="CT_MinErrorTree" sheetId="16" r:id="rId48"/>
    <sheet name="CT_TrainingScore" sheetId="15" r:id="rId49"/>
    <sheet name="CT_ValidationScore" sheetId="14" r:id="rId50"/>
    <sheet name="CT_Stored" sheetId="13" r:id="rId51"/>
    <sheet name="New Data" sheetId="3" r:id="rId52"/>
    <sheet name="Imputation1" sheetId="45" r:id="rId53"/>
    <sheet name="Scoring_DecisionTree" sheetId="62" r:id="rId54"/>
  </sheets>
  <definedNames>
    <definedName name="xlm_10_1" localSheetId="1" hidden="1">"'{""wksheet"":""Data"",""wkbk"":""Class Assignment 5 - Wine - Student Use - XLMiner.xlsx"",""data_range"":""A1:P330"",""firstRow"":""1"",""rows"":329,""overwriteExistingWorksheet"":false,""has_header"":true,""input_cols"":[{"""</definedName>
    <definedName name="xlm_10_1" localSheetId="51" hidden="1">"'{""wksheet"":""New Data"",""wkbk"":""Class Assignment 5 - Wine - Student Use - XLMiner.xlsx"",""data_range"":""A1:N15"",""firstRow"":""1"",""rows"":14,""overwriteExistingWorksheet"":false,""has_header"":true,""input_cols"":["</definedName>
    <definedName name="xlm_10_2" localSheetId="1" hidden="1">"'varName"":""Observations"",""treatmentCode"":0},{""varName"":""Country"",""treatmentCode"":0},{""varName"":""Type"",""treatmentCode"":1},{""varName"":""Alcohol"",""treatmentCode"":3},{""varName"":""Malic_Acid"",""treatmentCode"":"</definedName>
    <definedName name="xlm_10_2" localSheetId="51" hidden="1">"'{""varName"":""Type"",""treatmentCode"":0},{""varName"":""Alcohol"",""treatmentCode"":3},{""varName"":""Malic_Acid"",""treatmentCode"":3},{""varName"":""Ash"",""treatmentCode"":3},{""varName"":""Ash_Alcalinity"",""treatmentCode"":"</definedName>
    <definedName name="xlm_10_3" localSheetId="1" hidden="1">"'3},{""varName"":""Ash"",""treatmentCode"":3},{""varName"":""Ash_Alcalinity"",""treatmentCode"":3},{""varName"":""Magnesium"",""treatmentCode"":3},{""varName"":""Total_Phenols"",""treatmentCode"":3},{""varName"":""Flavanoids"",""t"</definedName>
    <definedName name="xlm_10_3" localSheetId="51" hidden="1">"'3},{""varName"":""Magnesium"",""treatmentCode"":3},{""varName"":""Total_Phenols"",""treatmentCode"":3},{""varName"":""Flavanoids"",""treatmentCode"":3},{""varName"":""Nonflavanoid_Phenols"",""treatmentCode"":3},{""varName"":""P"</definedName>
    <definedName name="xlm_10_4" localSheetId="1" hidden="1">"'reatmentCode"":3},{""varName"":""Nonflavanoid_Phenols"",""treatmentCode"":3},{""varName"":""Proanthocyanins"",""treatmentCode"":3},{""varName"":""Color_Intensity"",""treatmentCode"":3},{""varName"":""Hue"",""treatmentCode"":3"</definedName>
    <definedName name="xlm_10_4" localSheetId="51" hidden="1">"'roanthocyanins"",""treatmentCode"":3},{""varName"":""Color_Intensity"",""treatmentCode"":3},{""varName"":""Hue"",""treatmentCode"":3},{""varName"":""OD280_OD315"",""treatmentCode"":3},{""varName"":""Proline"",""treatmentCode"":"</definedName>
    <definedName name="xlm_10_5" localSheetId="1" hidden="1">"'},{""varName"":""OD280_OD315"",""treatmentCode"":3},{""varName"":""Proline"",""treatmentCode"":3}]}"</definedName>
    <definedName name="xlm_10_5" localSheetId="51" hidden="1">"'3}]}"</definedName>
    <definedName name="xlm_600_1" localSheetId="43" hidden="1">"'{""wkbk"":""Class Assignment 5 - Wine - Student Use - XLMiner.xlsx"",""wksheet"":""STDPartition"",""data_range"":"""",""header"":[""Record ID"",""Type"",""Treated_Alcohol"",""Treated_Malic_Acid"",""Treated_Ash"",""Treated_Ash"</definedName>
    <definedName name="xlm_600_1" localSheetId="35" hidden="1">"'{""wkbk"":""Class Assignment 5 - Wine - Student Use - XLMiner.xlsx"",""wksheet"":""STDPartition1"",""data_range"":"""",""header"":[""Record ID"",""Type"",""Treated_Alcohol"",""Treated_Malic_Acid"",""Treated_Ash"",""Treated_As"</definedName>
    <definedName name="xlm_600_1" localSheetId="27" hidden="1">"'{""wkbk"":""Class Assignment 5 - Wine - Student Use - XLMiner.xlsx"",""wksheet"":""STDPartition2"",""data_range"":"""",""header"":[""Record ID"",""Type"",""Treated_Alcohol"",""Treated_Malic_Acid"",""Treated_Ash"",""Treated_As"</definedName>
    <definedName name="xlm_600_1" localSheetId="19" hidden="1">"'{""wkbk"":""Class Assignment 5 - Wine - Student Use - XLMiner.xlsx"",""wksheet"":""STDPartition3"",""data_range"":"""",""header"":[""Record ID"",""Type"",""Treated_Alcohol"",""Treated_Malic_Acid"",""Treated_Ash"",""Treated_As"</definedName>
    <definedName name="xlm_600_1" localSheetId="11" hidden="1">"'{""wkbk"":""Class Assignment 5 - Wine - Student Use - XLMiner.xlsx"",""wksheet"":""STDPartition4"",""data_range"":"""",""header"":[""Record ID"",""Type"",""Treated_Alcohol"",""Treated_Malic_Acid"",""Treated_Ash"",""Treated_As"</definedName>
    <definedName name="xlm_600_1" localSheetId="3" hidden="1">"'{""wkbk"":""Class Assignment 5 - Wine - Student Use - XLMiner.xlsx"",""wksheet"":""STDPartition5"",""data_range"":"""",""header"":[""Record ID"",""Type"",""Treated_Alcohol"",""Treated_Malic_Acid"",""Treated_Ash"",""Treated_As"</definedName>
    <definedName name="xlm_600_2" localSheetId="43" hidden="1">"'_Alcalinity"",""Treated_Magnesium"",""Treated_Total_Phenols"",""Treated_Flavanoids"",""Treated_Nonflavanoid_Phenols"",""Treated_Proanthocyanins"",""Treated_Color_Intensity"",""Treated_Hue"",""Treated_OD280_OD315"",""Tr"</definedName>
    <definedName name="xlm_600_2" localSheetId="35" hidden="1">"'h_Alcalinity"",""Treated_Magnesium"",""Treated_Total_Phenols"",""Treated_Flavanoids"",""Treated_Nonflavanoid_Phenols"",""Treated_Proanthocyanins"",""Treated_Color_Intensity"",""Treated_Hue"",""Treated_OD280_OD315"",""T"</definedName>
    <definedName name="xlm_600_2" localSheetId="27" hidden="1">"'h_Alcalinity"",""Treated_Magnesium"",""Treated_Total_Phenols"",""Treated_Flavanoids"",""Treated_Nonflavanoid_Phenols"",""Treated_Proanthocyanins"",""Treated_Color_Intensity"",""Treated_Hue"",""Treated_OD280_OD315"",""T"</definedName>
    <definedName name="xlm_600_2" localSheetId="19" hidden="1">"'h_Alcalinity"",""Treated_Magnesium"",""Treated_Total_Phenols"",""Treated_Flavanoids"",""Treated_Nonflavanoid_Phenols"",""Treated_Proanthocyanins"",""Treated_Color_Intensity"",""Treated_Hue"",""Treated_OD280_OD315"",""T"</definedName>
    <definedName name="xlm_600_2" localSheetId="11" hidden="1">"'h_Alcalinity"",""Treated_Magnesium"",""Treated_Total_Phenols"",""Treated_Flavanoids"",""Treated_Nonflavanoid_Phenols"",""Treated_Proanthocyanins"",""Treated_Color_Intensity"",""Treated_Hue"",""Treated_OD280_OD315"",""T"</definedName>
    <definedName name="xlm_600_2" localSheetId="3" hidden="1">"'h_Alcalinity"",""Treated_Magnesium"",""Treated_Total_Phenols"",""Treated_Flavanoids"",""Treated_Nonflavanoid_Phenols"",""Treated_Proanthocyanins"",""Treated_Color_Intensity"",""Treated_Hue"",""Treated_OD280_OD315"",""T"</definedName>
    <definedName name="xlm_600_3" localSheetId="43" hidden="1">"'eated_Proline""],""has_header"":true,""firstRow"":1,""rows"":329,""train_rows"":197,""validation_rows"":132,""test_rows"":0,""trainingDataRange"":""$C$37:$Q$233"",""validationDataRange"":""$C$234:$Q$365"",""allDataRange"":"""</definedName>
    <definedName name="xlm_600_3" localSheetId="35" hidden="1">"'reated_Proline""],""has_header"":true,""firstRow"":1,""rows"":329,""train_rows"":230,""validation_rows"":99,""test_rows"":0,""trainingDataRange"":""$C$37:$Q$266"",""validationDataRange"":""$C$267:$Q$365"",""allDataRange"":"""</definedName>
    <definedName name="xlm_600_3" localSheetId="27" hidden="1">"'reated_Proline""],""has_header"":true,""firstRow"":1,""rows"":329,""train_rows"":247,""validation_rows"":82,""test_rows"":0,""trainingDataRange"":""$C$37:$Q$283"",""validationDataRange"":""$C$284:$Q$365"",""allDataRange"":"""</definedName>
    <definedName name="xlm_600_3" localSheetId="19" hidden="1">"'reated_Proline""],""has_header"":true,""firstRow"":1,""rows"":329,""train_rows"":263,""validation_rows"":66,""test_rows"":0,""trainingDataRange"":""$C$37:$Q$299"",""validationDataRange"":""$C$300:$Q$365"",""allDataRange"":"""</definedName>
    <definedName name="xlm_600_3" localSheetId="11" hidden="1">"'reated_Proline""],""has_header"":true,""firstRow"":1,""rows"":329,""train_rows"":280,""validation_rows"":49,""test_rows"":0,""trainingDataRange"":""$C$37:$Q$316"",""validationDataRange"":""$C$317:$Q$365"",""allDataRange"":"""</definedName>
    <definedName name="xlm_600_3" localSheetId="3" hidden="1">"'reated_Proline""],""has_header"":true,""firstRow"":1,""rows"":329,""train_rows"":181,""validation_rows"":148,""test_rows"":0,""trainingDataRange"":""$C$37:$Q$217"",""validationDataRange"":""$C$218:$Q$365"",""allDataRange"":"</definedName>
    <definedName name="xlm_600_4" localSheetId="43" hidden="1">"'$C$36:$Q$365"",""isPartitionSheet"":true,""partitionData"":false,""trainDetailRpt"":false,""trainSummaryRpt"":true,""trainLiftChart"":false,""trainROCCurve"":false,""trainFreqChart"":false,""validationDetailRpt"":fals"</definedName>
    <definedName name="xlm_600_4" localSheetId="35" hidden="1">"'$C$36:$Q$365"",""isPartitionSheet"":true,""partitionData"":false,""trainDetailRpt"":false,""trainSummaryRpt"":true,""trainLiftChart"":false,""trainROCCurve"":false,""trainFreqChart"":false,""validationDetailRpt"":fals"</definedName>
    <definedName name="xlm_600_4" localSheetId="27" hidden="1">"'$C$36:$Q$365"",""isPartitionSheet"":true,""partitionData"":false,""trainDetailRpt"":false,""trainSummaryRpt"":true,""trainLiftChart"":false,""trainROCCurve"":false,""trainFreqChart"":false,""validationDetailRpt"":fals"</definedName>
    <definedName name="xlm_600_4" localSheetId="19" hidden="1">"'$C$36:$Q$365"",""isPartitionSheet"":true,""partitionData"":false,""trainDetailRpt"":false,""trainSummaryRpt"":true,""trainLiftChart"":false,""trainROCCurve"":false,""trainFreqChart"":false,""validationDetailRpt"":fals"</definedName>
    <definedName name="xlm_600_4" localSheetId="11" hidden="1">"'$C$36:$Q$365"",""isPartitionSheet"":true,""partitionData"":false,""trainDetailRpt"":false,""trainSummaryRpt"":true,""trainLiftChart"":false,""trainROCCurve"":false,""trainFreqChart"":false,""validationDetailRpt"":fals"</definedName>
    <definedName name="xlm_600_4" localSheetId="3" hidden="1">"'""$C$36:$Q$365"",""isPartitionSheet"":true,""partitionData"":false,""trainDetailRpt"":false,""trainSummaryRpt"":true,""trainLiftChart"":false,""trainROCCurve"":false,""trainFreqChart"":false,""validationDetailRpt"":fal"</definedName>
    <definedName name="xlm_600_5" localSheetId="43" hidden="1">"'e,""validationSummaryRpt"":true,""validationLiftChart"":false,""validROCCurve"":false,""validFreqChart"":false,""newDataWorksheet"":false,""newDataDatabase"":false,""priorClassProbabilityCode"":1,""numOutputClasses"""</definedName>
    <definedName name="xlm_600_5" localSheetId="35" hidden="1">"'e,""validationSummaryRpt"":true,""validationLiftChart"":false,""validROCCurve"":false,""validFreqChart"":false,""newDataWorksheet"":false,""newDataDatabase"":false,""priorClassProbabilityCode"":1,""numOutputClasses"""</definedName>
    <definedName name="xlm_600_5" localSheetId="27" hidden="1">"'e,""validationSummaryRpt"":true,""validationLiftChart"":false,""validROCCurve"":false,""validFreqChart"":false,""newDataWorksheet"":false,""newDataDatabase"":false,""priorClassProbabilityCode"":1,""numOutputClasses"""</definedName>
    <definedName name="xlm_600_5" localSheetId="19" hidden="1">"'e,""validationSummaryRpt"":true,""validationLiftChart"":false,""validROCCurve"":false,""validFreqChart"":false,""newDataWorksheet"":false,""newDataDatabase"":false,""priorClassProbabilityCode"":1,""numOutputClasses"""</definedName>
    <definedName name="xlm_600_5" localSheetId="11" hidden="1">"'e,""validationSummaryRpt"":true,""validationLiftChart"":false,""validROCCurve"":false,""validFreqChart"":false,""newDataWorksheet"":false,""newDataDatabase"":false,""priorClassProbabilityCode"":1,""numOutputClasses"""</definedName>
    <definedName name="xlm_600_5" localSheetId="3" hidden="1">"'se,""validationSummaryRpt"":true,""validationLiftChart"":false,""validROCCurve"":false,""validFreqChart"":false,""newDataWorksheet"":false,""newDataDatabase"":false,""priorClassProbabilityCode"":1,""numOutputClasses"</definedName>
    <definedName name="xlm_600_6" localSheetId="43" hidden="1">"':3,""successClass"":null,""successCutoffProb"":0.5,""rescalerParams"":{""technique"":2,""correction"":0.01,""normType"":null,""rescale"":true},""estimatorParams"":{""treeLimitMask"":null,""treeLimitLevels"":null,""treeLim"</definedName>
    <definedName name="xlm_600_6" localSheetId="35" hidden="1">"':3,""successClass"":null,""successCutoffProb"":0.5,""rescalerParams"":{""technique"":2,""correction"":0.01,""normType"":null,""rescale"":true},""estimatorParams"":{""treeLimitMask"":null,""treeLimitLevels"":null,""treeLim"</definedName>
    <definedName name="xlm_600_6" localSheetId="27" hidden="1">"':3,""successClass"":null,""successCutoffProb"":0.5,""rescalerParams"":{""technique"":2,""correction"":0.01,""normType"":null,""rescale"":true},""estimatorParams"":{""treeLimitMask"":null,""treeLimitLevels"":null,""treeLim"</definedName>
    <definedName name="xlm_600_6" localSheetId="19" hidden="1">"':3,""successClass"":null,""successCutoffProb"":0.5,""rescalerParams"":{""technique"":2,""correction"":0.01,""normType"":null,""rescale"":true},""estimatorParams"":{""treeLimitMask"":null,""treeLimitLevels"":null,""treeLim"</definedName>
    <definedName name="xlm_600_6" localSheetId="11" hidden="1">"':3,""successClass"":null,""successCutoffProb"":0.5,""rescalerParams"":{""technique"":2,""correction"":0.01,""normType"":null,""rescale"":true},""estimatorParams"":{""treeLimitMask"":null,""treeLimitLevels"":null,""treeLim"</definedName>
    <definedName name="xlm_600_6" localSheetId="3" hidden="1">"'"":3,""successClass"":null,""successCutoffProb"":0.5,""rescalerParams"":{""technique"":2,""correction"":0.01,""normType"":null,""rescale"":true},""estimatorParams"":{""treeLimitMask"":null,""treeLimitLevels"":null,""treeLi"</definedName>
    <definedName name="xlm_600_7" localSheetId="43" hidden="1">"'itNodes"":null,""treeLimitSplits"":null,""treeLimitLeafRecords"":null},""modelParams"":{""prune"":true,""scoringTree"":2,""numDecisionNodesScoring"":null},""displayParams"":{""showFeatureImportance"":true,""maxLevels"":"</definedName>
    <definedName name="xlm_600_7" localSheetId="35" hidden="1">"'itNodes"":null,""treeLimitSplits"":null,""treeLimitLeafRecords"":null},""modelParams"":{""prune"":true,""scoringTree"":2,""numDecisionNodesScoring"":null},""displayParams"":{""showFeatureImportance"":true,""maxLevels"":"</definedName>
    <definedName name="xlm_600_7" localSheetId="27" hidden="1">"'itNodes"":null,""treeLimitSplits"":null,""treeLimitLeafRecords"":null},""modelParams"":{""prune"":true,""scoringTree"":2,""numDecisionNodesScoring"":null},""displayParams"":{""showFeatureImportance"":true,""maxLevels"":"</definedName>
    <definedName name="xlm_600_7" localSheetId="19" hidden="1">"'itNodes"":null,""treeLimitSplits"":null,""treeLimitLeafRecords"":null},""modelParams"":{""prune"":true,""scoringTree"":2,""numDecisionNodesScoring"":null},""displayParams"":{""showFeatureImportance"":true,""maxLevels"":"</definedName>
    <definedName name="xlm_600_7" localSheetId="11" hidden="1">"'itNodes"":null,""treeLimitSplits"":null,""treeLimitLeafRecords"":null},""modelParams"":{""prune"":true,""scoringTree"":2,""numDecisionNodesScoring"":null},""displayParams"":{""showFeatureImportance"":true,""maxLevels"":"</definedName>
    <definedName name="xlm_600_7" localSheetId="3" hidden="1">"'mitNodes"":null,""treeLimitSplits"":null,""treeLimitLeafRecords"":null},""modelParams"":{""prune"":true,""scoringTree"":2,""numDecisionNodesScoring"":null},""displayParams"":{""showFeatureImportance"":true,""maxLevels"""</definedName>
    <definedName name="xlm_600_8" localSheetId="43" hidden="1">"'7,""displayTreeMask"":7,""numDecisionNodesDisplay"":null},""extraParams"":null,""simulation"":false}"</definedName>
    <definedName name="xlm_600_8" localSheetId="35" hidden="1">"'7,""displayTreeMask"":7,""numDecisionNodesDisplay"":null},""extraParams"":null,""simulation"":false}"</definedName>
    <definedName name="xlm_600_8" localSheetId="27" hidden="1">"'7,""displayTreeMask"":7,""numDecisionNodesDisplay"":null},""extraParams"":null,""simulation"":false}"</definedName>
    <definedName name="xlm_600_8" localSheetId="19" hidden="1">"'7,""displayTreeMask"":7,""numDecisionNodesDisplay"":null},""extraParams"":null,""simulation"":false}"</definedName>
    <definedName name="xlm_600_8" localSheetId="11" hidden="1">"'7,""displayTreeMask"":7,""numDecisionNodesDisplay"":null},""extraParams"":null,""simulation"":false}"</definedName>
    <definedName name="xlm_600_8" localSheetId="3" hidden="1">"':7,""displayTreeMask"":7,""numDecisionNodesDisplay"":null},""extraParams"":null,""simulation"":false}"</definedName>
    <definedName name="xlm_90_1" localSheetId="2" hidden="1">"'{""wkbk"":""Class Assignment 5 - Wine - Student Use - XLMiner.xlsx"",""wksheet"":""Imputation"",""data_range"":""$C$33:$S$362"",""header"":[""Record ID"",""Observations"",""Country"",""Type"",""Treated_Alcohol"",""Treated_Mal"</definedName>
    <definedName name="xlm_90_2" localSheetId="2" hidden="1">"'ic_Acid"",""Treated_Ash"",""Treated_Ash_Alcalinity"",""Treated_Magnesium"",""Treated_Total_Phenols"",""Treated_Flavanoids"",""Treated_Nonflavanoid_Phenols"",""Treated_Proanthocyanins"",""Treated_Color_Intensity"",""Tre"</definedName>
    <definedName name="xlm_90_3" localSheetId="2" hidden="1">"'ated_Hue"",""Treated_OD280_OD315"",""Treated_Proline""],""has_header"":true,""input_cols"":[{""varName"":""Type""},{""varName"":""Treated_Alcohol""},{""varName"":""Treated_Malic_Acid""},{""varName"":""Treated_Ash""},{""varName"</definedName>
    <definedName name="xlm_90_4" localSheetId="2" hidden="1">"'"":""Treated_Ash_Alcalinity""},{""varName"":""Treated_Magnesium""},{""varName"":""Treated_Total_Phenols""},{""varName"":""Treated_Flavanoids""},{""varName"":""Treated_Nonflavanoid_Phenols""},{""varName"":""Treated_Proantho"</definedName>
    <definedName name="xlm_90_5" localSheetId="2" hidden="1">"'cyanins""},{""varName"":""Treated_Color_Intensity""},{""varName"":""Treated_Hue""},{""varName"":""Treated_OD280_OD315""},{""varName"":""Treated_Proline""}],""cat_cols"":[],""firstRow"":""33"",""rows"":329,""isPartitionSheet"":f"</definedName>
    <definedName name="xlm_90_6" localSheetId="2" hidden="1">"'alse,""type"":1,""usePartitionVar"":false,""partitionVar"":null,""useRandomRows"":true,""partitionCode"":1,""setSeed"":true,""seedValue"":12345,""trainPct"":55,""validationPct"":45,""testPct"":0}"</definedName>
    <definedName name="xlm_clnc_1" localSheetId="43" hidden="1">"'{""input_cols"":[{""varName"":""Treated_Alcohol""},{""varName"":""Treated_Malic_Acid""},{""varName"":""Treated_Ash""},{""varName"":""Treated_Ash_Alcalinity""},{""varName"":""Treated_Magnesium""},{""varName"":""Treated_Total_P"</definedName>
    <definedName name="xlm_clnc_1" localSheetId="35" hidden="1">"'{""input_cols"":[{""varName"":""Treated_Alcohol""},{""varName"":""Treated_Malic_Acid""},{""varName"":""Treated_Ash""},{""varName"":""Treated_Ash_Alcalinity""},{""varName"":""Treated_Magnesium""},{""varName"":""Treated_Total_P"</definedName>
    <definedName name="xlm_clnc_1" localSheetId="27" hidden="1">"'{""input_cols"":[{""varName"":""Treated_Alcohol""},{""varName"":""Treated_Malic_Acid""},{""varName"":""Treated_Ash""},{""varName"":""Treated_Ash_Alcalinity""},{""varName"":""Treated_Magnesium""},{""varName"":""Treated_Total_P"</definedName>
    <definedName name="xlm_clnc_1" localSheetId="19" hidden="1">"'{""input_cols"":[{""varName"":""Treated_Alcohol""},{""varName"":""Treated_Malic_Acid""},{""varName"":""Treated_Ash""},{""varName"":""Treated_Ash_Alcalinity""},{""varName"":""Treated_Magnesium""},{""varName"":""Treated_Total_P"</definedName>
    <definedName name="xlm_clnc_1" localSheetId="11" hidden="1">"'{""input_cols"":[{""varName"":""Treated_Alcohol""},{""varName"":""Treated_Malic_Acid""},{""varName"":""Treated_Ash""},{""varName"":""Treated_Ash_Alcalinity""},{""varName"":""Treated_Magnesium""},{""varName"":""Treated_Total_P"</definedName>
    <definedName name="xlm_clnc_1" localSheetId="3" hidden="1">"'{""input_cols"":[{""varName"":""Treated_Alcohol""},{""varName"":""Treated_Malic_Acid""},{""varName"":""Treated_Ash""},{""varName"":""Treated_Ash_Alcalinity""},{""varName"":""Treated_Magnesium""},{""varName"":""Treated_Total_P"</definedName>
    <definedName name="xlm_clnc_2" localSheetId="43" hidden="1">"'henols""},{""varName"":""Treated_Flavanoids""},{""varName"":""Treated_Nonflavanoid_Phenols""},{""varName"":""Treated_Proanthocyanins""},{""varName"":""Treated_Color_Intensity""},{""varName"":""Treated_Hue""},{""varName"":""T"</definedName>
    <definedName name="xlm_clnc_2" localSheetId="35" hidden="1">"'henols""},{""varName"":""Treated_Flavanoids""},{""varName"":""Treated_Nonflavanoid_Phenols""},{""varName"":""Treated_Proanthocyanins""},{""varName"":""Treated_Color_Intensity""},{""varName"":""Treated_Hue""},{""varName"":""T"</definedName>
    <definedName name="xlm_clnc_2" localSheetId="27" hidden="1">"'henols""},{""varName"":""Treated_Flavanoids""},{""varName"":""Treated_Nonflavanoid_Phenols""},{""varName"":""Treated_Proanthocyanins""},{""varName"":""Treated_Color_Intensity""},{""varName"":""Treated_Hue""},{""varName"":""T"</definedName>
    <definedName name="xlm_clnc_2" localSheetId="19" hidden="1">"'henols""},{""varName"":""Treated_Flavanoids""},{""varName"":""Treated_Nonflavanoid_Phenols""},{""varName"":""Treated_Proanthocyanins""},{""varName"":""Treated_Color_Intensity""},{""varName"":""Treated_Hue""},{""varName"":""T"</definedName>
    <definedName name="xlm_clnc_2" localSheetId="11" hidden="1">"'henols""},{""varName"":""Treated_Flavanoids""},{""varName"":""Treated_Nonflavanoid_Phenols""},{""varName"":""Treated_Proanthocyanins""},{""varName"":""Treated_Color_Intensity""},{""varName"":""Treated_Hue""},{""varName"":""T"</definedName>
    <definedName name="xlm_clnc_2" localSheetId="3" hidden="1">"'henols""},{""varName"":""Treated_Flavanoids""},{""varName"":""Treated_Nonflavanoid_Phenols""},{""varName"":""Treated_Proanthocyanins""},{""varName"":""Treated_Color_Intensity""},{""varName"":""Treated_Hue""},{""varName"":""T"</definedName>
    <definedName name="xlm_clnc_3" localSheetId="43" hidden="1">"'reated_OD280_OD315""},{""varName"":""Treated_Proline""}],""cat_cols"":[],""output_var"":{""varName"":""Type""}}"</definedName>
    <definedName name="xlm_clnc_3" localSheetId="35" hidden="1">"'reated_OD280_OD315""},{""varName"":""Treated_Proline""}],""cat_cols"":[],""output_var"":{""varName"":""Type""}}"</definedName>
    <definedName name="xlm_clnc_3" localSheetId="27" hidden="1">"'reated_OD280_OD315""},{""varName"":""Treated_Proline""}],""cat_cols"":[],""output_var"":{""varName"":""Type""}}"</definedName>
    <definedName name="xlm_clnc_3" localSheetId="19" hidden="1">"'reated_OD280_OD315""},{""varName"":""Treated_Proline""}],""cat_cols"":[],""output_var"":{""varName"":""Type""}}"</definedName>
    <definedName name="xlm_clnc_3" localSheetId="11" hidden="1">"'reated_OD280_OD315""},{""varName"":""Treated_Proline""}],""cat_cols"":[],""output_var"":{""varName"":""Type""}}"</definedName>
    <definedName name="xlm_clnc_3" localSheetId="3" hidden="1">"'reated_OD280_OD315""},{""varName"":""Treated_Proline""}],""cat_cols"":[],""output_var"":{""varName"":""Type""}}"</definedName>
    <definedName name="xlmBestCTreeDiagram" localSheetId="46" hidden="1">"{""nodeIDRange"":""C13:C27"",""parentIDRange"":""D13:D27"",""splitVariableRange"":""G13:G27"",""splitValueRange"":""H13:H27"",""numCasesRange"":""J13:J27"",""responseRange"":""K13:K27"",""nodeTypeRange"":""L13:L27"",""chartTitle"":""Best-Pruned Tree""}"</definedName>
    <definedName name="xlmBestCTreeDiagram" localSheetId="38" hidden="1">"{""nodeIDRange"":""C13:C27"",""parentIDRange"":""D13:D27"",""splitVariableRange"":""G13:G27"",""splitValueRange"":""H13:H27"",""numCasesRange"":""J13:J27"",""responseRange"":""K13:K27"",""nodeTypeRange"":""L13:L27"",""chartTitle"":""Best-Pruned Tree""}"</definedName>
    <definedName name="xlmBestCTreeDiagram" localSheetId="30" hidden="1">"{""nodeIDRange"":""C13:C27"",""parentIDRange"":""D13:D27"",""splitVariableRange"":""G13:G27"",""splitValueRange"":""H13:H27"",""numCasesRange"":""J13:J27"",""responseRange"":""K13:K27"",""nodeTypeRange"":""L13:L27"",""chartTitle"":""Best-Pruned Tree""}"</definedName>
    <definedName name="xlmBestCTreeDiagram" localSheetId="22" hidden="1">"{""nodeIDRange"":""C13:C33"",""parentIDRange"":""D13:D33"",""splitVariableRange"":""G13:G33"",""splitValueRange"":""H13:H33"",""numCasesRange"":""J13:J33"",""responseRange"":""K13:K33"",""nodeTypeRange"":""L13:L33"",""chartTitle"":""Best-Pruned Tree""}"</definedName>
    <definedName name="xlmBestCTreeDiagram" localSheetId="14" hidden="1">"{""nodeIDRange"":""C13:C33"",""parentIDRange"":""D13:D33"",""splitVariableRange"":""G13:G33"",""splitValueRange"":""H13:H33"",""numCasesRange"":""J13:J33"",""responseRange"":""K13:K33"",""nodeTypeRange"":""L13:L33"",""chartTitle"":""Best-Pruned Tree""}"</definedName>
    <definedName name="xlmBestCTreeDiagram" localSheetId="6" hidden="1">"{""nodeIDRange"":""C13:C21"",""parentIDRange"":""D13:D21"",""splitVariableRange"":""G13:G21"",""splitValueRange"":""H13:H21"",""numCasesRange"":""J13:J21"",""responseRange"":""K13:K21"",""nodeTypeRange"":""L13:L21"",""chartTitle"":""Best-Pruned Tree""}"</definedName>
    <definedName name="xlmFullCTreeDiagram" localSheetId="45" hidden="1">"{""nodeIDRange"":""C13:C33"",""parentIDRange"":""D13:D33"",""splitVariableRange"":""G13:G33"",""splitValueRange"":""H13:H33"",""numCasesRange"":""I13:I33"",""responseRange"":""K13:K33"",""nodeTypeRange"":""L13:L33"",""chartTitle"":""Full-Grown Tree""}"</definedName>
    <definedName name="xlmFullCTreeDiagram" localSheetId="37" hidden="1">"{""nodeIDRange"":""C13:C31"",""parentIDRange"":""D13:D31"",""splitVariableRange"":""G13:G31"",""splitValueRange"":""H13:H31"",""numCasesRange"":""I13:I31"",""responseRange"":""K13:K31"",""nodeTypeRange"":""L13:L31"",""chartTitle"":""Full-Grown Tree""}"</definedName>
    <definedName name="xlmFullCTreeDiagram" localSheetId="29" hidden="1">"{""nodeIDRange"":""C13:C33"",""parentIDRange"":""D13:D33"",""splitVariableRange"":""G13:G33"",""splitValueRange"":""H13:H33"",""numCasesRange"":""I13:I33"",""responseRange"":""K13:K33"",""nodeTypeRange"":""L13:L33"",""chartTitle"":""Full-Grown Tree""}"</definedName>
    <definedName name="xlmFullCTreeDiagram" localSheetId="21" hidden="1">"{""nodeIDRange"":""C13:C33"",""parentIDRange"":""D13:D33"",""splitVariableRange"":""G13:G33"",""splitValueRange"":""H13:H33"",""numCasesRange"":""I13:I33"",""responseRange"":""K13:K33"",""nodeTypeRange"":""L13:L33"",""chartTitle"":""Full-Grown Tree""}"</definedName>
    <definedName name="xlmFullCTreeDiagram" localSheetId="13" hidden="1">"{""nodeIDRange"":""C13:C33"",""parentIDRange"":""D13:D33"",""splitVariableRange"":""G13:G33"",""splitValueRange"":""H13:H33"",""numCasesRange"":""I13:I33"",""responseRange"":""K13:K33"",""nodeTypeRange"":""L13:L33"",""chartTitle"":""Full-Grown Tree""}"</definedName>
    <definedName name="xlmFullCTreeDiagram" localSheetId="5" hidden="1">"{""nodeIDRange"":""C13:C29"",""parentIDRange"":""D13:D29"",""splitVariableRange"":""G13:G29"",""splitValueRange"":""H13:H29"",""numCasesRange"":""I13:I29"",""responseRange"":""K13:K29"",""nodeTypeRange"":""L13:L29"",""chartTitle"":""Full-Grown Tree""}"</definedName>
    <definedName name="xlmMinErrorCTreeDiagram" localSheetId="47" hidden="1">"{""nodeIDRange"":""C13:C29"",""parentIDRange"":""D13:D29"",""splitVariableRange"":""G13:G29"",""splitValueRange"":""H13:H29"",""numCasesRange"":""J13:J29"",""responseRange"":""K13:K29"",""nodeTypeRange"":""L13:L29"",""chartTitle"":""Min-Error Tree""}"</definedName>
    <definedName name="xlmMinErrorCTreeDiagram" localSheetId="39" hidden="1">"{""nodeIDRange"":""C13:C27"",""parentIDRange"":""D13:D27"",""splitVariableRange"":""G13:G27"",""splitValueRange"":""H13:H27"",""numCasesRange"":""J13:J27"",""responseRange"":""K13:K27"",""nodeTypeRange"":""L13:L27"",""chartTitle"":""Min-Error Tree""}"</definedName>
    <definedName name="xlmMinErrorCTreeDiagram" localSheetId="31" hidden="1">"{""nodeIDRange"":""C13:C29"",""parentIDRange"":""D13:D29"",""splitVariableRange"":""G13:G29"",""splitValueRange"":""H13:H29"",""numCasesRange"":""J13:J29"",""responseRange"":""K13:K29"",""nodeTypeRange"":""L13:L29"",""chartTitle"":""Min-Error Tree""}"</definedName>
    <definedName name="xlmMinErrorCTreeDiagram" localSheetId="23" hidden="1">"{""nodeIDRange"":""C13:C33"",""parentIDRange"":""D13:D33"",""splitVariableRange"":""G13:G33"",""splitValueRange"":""H13:H33"",""numCasesRange"":""J13:J33"",""responseRange"":""K13:K33"",""nodeTypeRange"":""L13:L33"",""chartTitle"":""Min-Error Tree""}"</definedName>
    <definedName name="xlmMinErrorCTreeDiagram" localSheetId="15" hidden="1">"{""nodeIDRange"":""C13:C33"",""parentIDRange"":""D13:D33"",""splitVariableRange"":""G13:G33"",""splitValueRange"":""H13:H33"",""numCasesRange"":""J13:J33"",""responseRange"":""K13:K33"",""nodeTypeRange"":""L13:L33"",""chartTitle"":""Min-Error Tree""}"</definedName>
    <definedName name="xlmMinErrorCTreeDiagram" localSheetId="7" hidden="1">"{""nodeIDRange"":""C13:C25"",""parentIDRange"":""D13:D25"",""splitVariableRange"":""G13:G25"",""splitValueRange"":""H13:H25"",""numCasesRange"":""J13:J25"",""responseRange"":""K13:K25"",""nodeTypeRange"":""L13:L25"",""chartTitle"":""Min-Error Tree""}"</definedName>
    <definedName name="XLMPartitionAllData" localSheetId="43" hidden="1">"$C$36:$Q$365"</definedName>
    <definedName name="XLMPartitionAllData" localSheetId="35" hidden="1">"$C$36:$Q$365"</definedName>
    <definedName name="XLMPartitionAllData" localSheetId="27" hidden="1">"$C$36:$Q$365"</definedName>
    <definedName name="XLMPartitionAllData" localSheetId="19" hidden="1">"$C$36:$Q$365"</definedName>
    <definedName name="XLMPartitionAllData" localSheetId="11" hidden="1">"$C$36:$Q$365"</definedName>
    <definedName name="XLMPartitionAllData" localSheetId="3" hidden="1">"$C$36:$Q$365"</definedName>
    <definedName name="XLMPartitionTrainingData" localSheetId="43" hidden="1">"$C$37:$Q$233"</definedName>
    <definedName name="XLMPartitionTrainingData" localSheetId="35" hidden="1">"$C$37:$Q$266"</definedName>
    <definedName name="XLMPartitionTrainingData" localSheetId="27" hidden="1">"$C$37:$Q$283"</definedName>
    <definedName name="XLMPartitionTrainingData" localSheetId="19" hidden="1">"$C$37:$Q$299"</definedName>
    <definedName name="XLMPartitionTrainingData" localSheetId="11" hidden="1">"$C$37:$Q$316"</definedName>
    <definedName name="XLMPartitionTrainingData" localSheetId="3" hidden="1">"$C$37:$Q$217"</definedName>
    <definedName name="XLMPartitionType" localSheetId="43" hidden="1">0</definedName>
    <definedName name="XLMPartitionType" localSheetId="35" hidden="1">0</definedName>
    <definedName name="XLMPartitionType" localSheetId="27" hidden="1">0</definedName>
    <definedName name="XLMPartitionType" localSheetId="19" hidden="1">0</definedName>
    <definedName name="XLMPartitionType" localSheetId="11" hidden="1">0</definedName>
    <definedName name="XLMPartitionType" localSheetId="3" hidden="1">0</definedName>
    <definedName name="XLMPartitionValidationData" localSheetId="43" hidden="1">"$C$234:$Q$365"</definedName>
    <definedName name="XLMPartitionValidationData" localSheetId="35" hidden="1">"$C$267:$Q$365"</definedName>
    <definedName name="XLMPartitionValidationData" localSheetId="27" hidden="1">"$C$284:$Q$365"</definedName>
    <definedName name="XLMPartitionValidationData" localSheetId="19" hidden="1">"$C$300:$Q$365"</definedName>
    <definedName name="XLMPartitionValidationData" localSheetId="11" hidden="1">"$C$317:$Q$365"</definedName>
    <definedName name="XLMPartitionValidationData" localSheetId="3" hidden="1">"$C$218:$Q$365"</definedName>
    <definedName name="XLMPartitionVariableNames" localSheetId="43" hidden="1">"$C$36:$Q$36"</definedName>
    <definedName name="XLMPartitionVariableNames" localSheetId="35" hidden="1">"$C$36:$Q$36"</definedName>
    <definedName name="XLMPartitionVariableNames" localSheetId="27" hidden="1">"$C$36:$Q$36"</definedName>
    <definedName name="XLMPartitionVariableNames" localSheetId="19" hidden="1">"$C$36:$Q$36"</definedName>
    <definedName name="XLMPartitionVariableNames" localSheetId="11" hidden="1">"$C$36:$Q$36"</definedName>
    <definedName name="XLMPartitionVariableNames" localSheetId="3" hidden="1">"$C$36:$Q$36"</definedName>
    <definedName name="XLMPMMLModelRange" localSheetId="50" hidden="1">"$B$12:$B$181"</definedName>
    <definedName name="XLMPMMLModelRange" localSheetId="42" hidden="1">"$B$12:$B$181"</definedName>
    <definedName name="XLMPMMLModelRange" localSheetId="34" hidden="1">"$B$12:$B$181"</definedName>
    <definedName name="XLMPMMLModelRange" localSheetId="26" hidden="1">"$B$12:$B$250"</definedName>
    <definedName name="XLMPMMLModelRange" localSheetId="18" hidden="1">"$B$12:$B$231"</definedName>
    <definedName name="XLMPMMLModelRange" localSheetId="10" hidden="1">"$B$12:$B$131"</definedName>
    <definedName name="XLMRasonModelRange" localSheetId="44" hidden="1">"CV1:CV1"</definedName>
    <definedName name="XLMRasonModelRange" localSheetId="36" hidden="1">"CV1:CV1"</definedName>
    <definedName name="XLMRasonModelRange" localSheetId="28" hidden="1">"CV1:CV1"</definedName>
    <definedName name="XLMRasonModelRange" localSheetId="20" hidden="1">"CV1:CV1"</definedName>
    <definedName name="XLMRasonModelRange" localSheetId="12" hidden="1">"CV1:CV1"</definedName>
    <definedName name="XLMRasonModelRange" localSheetId="4" hidden="1">"CV1:CV1"</definedName>
    <definedName name="XLMRasonModelRange" localSheetId="2" hidden="1">"CV1:CV1"</definedName>
    <definedName name="XLMRasonModelRange" localSheetId="52" hidden="1">"CV1:CV1"</definedName>
    <definedName name="XLMRasonModelRange" localSheetId="43" hidden="1">"CV1:CV1"</definedName>
    <definedName name="XLMRasonModelRange" localSheetId="35" hidden="1">"CV1:CV1"</definedName>
    <definedName name="XLMRasonModelRange" localSheetId="27" hidden="1">"CV1:CV1"</definedName>
    <definedName name="XLMRasonModelRange" localSheetId="19" hidden="1">"CV1:CV1"</definedName>
    <definedName name="XLMRasonModelRange" localSheetId="11" hidden="1">"CV1:CV1"</definedName>
    <definedName name="XLMRasonModelRange" localSheetId="3" hidden="1">"CV1:CV1"</definedName>
    <definedName name="XLMReportData" localSheetId="2" hidden="1">"$C$33:$S$362"</definedName>
    <definedName name="XLMReportData" localSheetId="52" hidden="1">"$C$33:$Q$47"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60" l="1"/>
  <c r="E19" i="60"/>
  <c r="F19" i="60"/>
  <c r="G19" i="60"/>
  <c r="H19" i="60"/>
  <c r="E20" i="60"/>
  <c r="F20" i="60"/>
  <c r="G20" i="60"/>
  <c r="H20" i="60"/>
  <c r="E22" i="60"/>
  <c r="F22" i="60"/>
  <c r="G22" i="60"/>
  <c r="H22" i="60"/>
  <c r="E23" i="60"/>
  <c r="F23" i="60"/>
  <c r="G23" i="60"/>
  <c r="H23" i="60"/>
  <c r="E24" i="60"/>
  <c r="F24" i="60"/>
  <c r="G24" i="60"/>
  <c r="H24" i="60"/>
  <c r="E25" i="60"/>
  <c r="F25" i="60"/>
  <c r="G25" i="60"/>
  <c r="H25" i="60"/>
  <c r="E26" i="60"/>
  <c r="F26" i="60"/>
  <c r="G26" i="60"/>
  <c r="H26" i="60"/>
  <c r="E28" i="60"/>
  <c r="F28" i="60"/>
  <c r="G28" i="60"/>
  <c r="H28" i="60"/>
  <c r="E29" i="60"/>
  <c r="F29" i="60"/>
  <c r="G29" i="60"/>
  <c r="H29" i="60"/>
  <c r="D13" i="59"/>
  <c r="E17" i="59"/>
  <c r="F17" i="59"/>
  <c r="G17" i="59"/>
  <c r="H17" i="59"/>
  <c r="E18" i="59"/>
  <c r="F18" i="59"/>
  <c r="G18" i="59"/>
  <c r="H18" i="59"/>
  <c r="E19" i="59"/>
  <c r="F19" i="59"/>
  <c r="G19" i="59"/>
  <c r="H19" i="59"/>
  <c r="E20" i="59"/>
  <c r="F20" i="59"/>
  <c r="G20" i="59"/>
  <c r="H20" i="59"/>
  <c r="E21" i="59"/>
  <c r="F21" i="59"/>
  <c r="G21" i="59"/>
  <c r="H21" i="59"/>
  <c r="D13" i="58"/>
  <c r="E19" i="58"/>
  <c r="F19" i="58"/>
  <c r="G19" i="58"/>
  <c r="H19" i="58"/>
  <c r="E20" i="58"/>
  <c r="F20" i="58"/>
  <c r="G20" i="58"/>
  <c r="H20" i="58"/>
  <c r="E21" i="58"/>
  <c r="F21" i="58"/>
  <c r="G21" i="58"/>
  <c r="H21" i="58"/>
  <c r="E22" i="58"/>
  <c r="F22" i="58"/>
  <c r="G22" i="58"/>
  <c r="H22" i="58"/>
  <c r="E23" i="58"/>
  <c r="F23" i="58"/>
  <c r="G23" i="58"/>
  <c r="H23" i="58"/>
  <c r="E24" i="58"/>
  <c r="F24" i="58"/>
  <c r="G24" i="58"/>
  <c r="H24" i="58"/>
  <c r="E25" i="58"/>
  <c r="F25" i="58"/>
  <c r="G25" i="58"/>
  <c r="H25" i="58"/>
  <c r="E22" i="57"/>
  <c r="D22" i="57"/>
  <c r="F22" i="57" s="1"/>
  <c r="E21" i="57"/>
  <c r="D21" i="57"/>
  <c r="F21" i="57" s="1"/>
  <c r="E20" i="57"/>
  <c r="E23" i="57" s="1"/>
  <c r="D20" i="57"/>
  <c r="D23" i="57" s="1"/>
  <c r="D23" i="56"/>
  <c r="F22" i="56"/>
  <c r="E22" i="56"/>
  <c r="D22" i="56"/>
  <c r="F21" i="56"/>
  <c r="E21" i="56"/>
  <c r="D21" i="56"/>
  <c r="E20" i="56"/>
  <c r="E23" i="56" s="1"/>
  <c r="D20" i="56"/>
  <c r="D13" i="51"/>
  <c r="E20" i="51"/>
  <c r="F20" i="51"/>
  <c r="G20" i="51"/>
  <c r="H20" i="51"/>
  <c r="E21" i="51"/>
  <c r="F21" i="51"/>
  <c r="G21" i="51"/>
  <c r="H21" i="51"/>
  <c r="E23" i="51"/>
  <c r="F23" i="51"/>
  <c r="G23" i="51"/>
  <c r="H23" i="51"/>
  <c r="E24" i="51"/>
  <c r="F24" i="51"/>
  <c r="G24" i="51"/>
  <c r="H24" i="51"/>
  <c r="E25" i="51"/>
  <c r="F25" i="51"/>
  <c r="G25" i="51"/>
  <c r="H25" i="51"/>
  <c r="E26" i="51"/>
  <c r="F26" i="51"/>
  <c r="G26" i="51"/>
  <c r="H26" i="51"/>
  <c r="E27" i="51"/>
  <c r="F27" i="51"/>
  <c r="G27" i="51"/>
  <c r="H27" i="51"/>
  <c r="E28" i="51"/>
  <c r="F28" i="51"/>
  <c r="G28" i="51"/>
  <c r="H28" i="51"/>
  <c r="E30" i="51"/>
  <c r="F30" i="51"/>
  <c r="G30" i="51"/>
  <c r="H30" i="51"/>
  <c r="E32" i="51"/>
  <c r="F32" i="51"/>
  <c r="G32" i="51"/>
  <c r="H32" i="51"/>
  <c r="E33" i="51"/>
  <c r="F33" i="51"/>
  <c r="G33" i="51"/>
  <c r="H33" i="51"/>
  <c r="D13" i="50"/>
  <c r="E20" i="50"/>
  <c r="F20" i="50"/>
  <c r="G20" i="50"/>
  <c r="H20" i="50"/>
  <c r="E21" i="50"/>
  <c r="F21" i="50"/>
  <c r="G21" i="50"/>
  <c r="H21" i="50"/>
  <c r="E23" i="50"/>
  <c r="F23" i="50"/>
  <c r="G23" i="50"/>
  <c r="H23" i="50"/>
  <c r="E24" i="50"/>
  <c r="F24" i="50"/>
  <c r="G24" i="50"/>
  <c r="H24" i="50"/>
  <c r="E25" i="50"/>
  <c r="F25" i="50"/>
  <c r="G25" i="50"/>
  <c r="H25" i="50"/>
  <c r="E26" i="50"/>
  <c r="F26" i="50"/>
  <c r="G26" i="50"/>
  <c r="H26" i="50"/>
  <c r="E27" i="50"/>
  <c r="F27" i="50"/>
  <c r="G27" i="50"/>
  <c r="H27" i="50"/>
  <c r="E28" i="50"/>
  <c r="F28" i="50"/>
  <c r="G28" i="50"/>
  <c r="H28" i="50"/>
  <c r="E30" i="50"/>
  <c r="F30" i="50"/>
  <c r="G30" i="50"/>
  <c r="H30" i="50"/>
  <c r="E32" i="50"/>
  <c r="F32" i="50"/>
  <c r="G32" i="50"/>
  <c r="H32" i="50"/>
  <c r="E33" i="50"/>
  <c r="F33" i="50"/>
  <c r="G33" i="50"/>
  <c r="H33" i="50"/>
  <c r="D13" i="49"/>
  <c r="E20" i="49"/>
  <c r="F20" i="49"/>
  <c r="G20" i="49"/>
  <c r="H20" i="49"/>
  <c r="E21" i="49"/>
  <c r="F21" i="49"/>
  <c r="G21" i="49"/>
  <c r="H21" i="49"/>
  <c r="E23" i="49"/>
  <c r="F23" i="49"/>
  <c r="G23" i="49"/>
  <c r="H23" i="49"/>
  <c r="E24" i="49"/>
  <c r="F24" i="49"/>
  <c r="G24" i="49"/>
  <c r="H24" i="49"/>
  <c r="E25" i="49"/>
  <c r="F25" i="49"/>
  <c r="G25" i="49"/>
  <c r="H25" i="49"/>
  <c r="E26" i="49"/>
  <c r="F26" i="49"/>
  <c r="G26" i="49"/>
  <c r="H26" i="49"/>
  <c r="E27" i="49"/>
  <c r="F27" i="49"/>
  <c r="G27" i="49"/>
  <c r="H27" i="49"/>
  <c r="E28" i="49"/>
  <c r="F28" i="49"/>
  <c r="G28" i="49"/>
  <c r="H28" i="49"/>
  <c r="E30" i="49"/>
  <c r="F30" i="49"/>
  <c r="G30" i="49"/>
  <c r="H30" i="49"/>
  <c r="E32" i="49"/>
  <c r="F32" i="49"/>
  <c r="G32" i="49"/>
  <c r="H32" i="49"/>
  <c r="E33" i="49"/>
  <c r="F33" i="49"/>
  <c r="G33" i="49"/>
  <c r="H33" i="49"/>
  <c r="E23" i="48"/>
  <c r="D23" i="48"/>
  <c r="F23" i="48" s="1"/>
  <c r="F22" i="48"/>
  <c r="E22" i="48"/>
  <c r="D22" i="48"/>
  <c r="F21" i="48"/>
  <c r="E21" i="48"/>
  <c r="D21" i="48"/>
  <c r="F20" i="48"/>
  <c r="E20" i="48"/>
  <c r="D20" i="48"/>
  <c r="E22" i="47"/>
  <c r="D22" i="47"/>
  <c r="D23" i="47" s="1"/>
  <c r="E21" i="47"/>
  <c r="F21" i="47" s="1"/>
  <c r="D21" i="47"/>
  <c r="E20" i="47"/>
  <c r="E23" i="47" s="1"/>
  <c r="D20" i="47"/>
  <c r="F20" i="47" s="1"/>
  <c r="D13" i="42"/>
  <c r="E20" i="42"/>
  <c r="F20" i="42"/>
  <c r="G20" i="42"/>
  <c r="H20" i="42"/>
  <c r="E22" i="42"/>
  <c r="F22" i="42"/>
  <c r="G22" i="42"/>
  <c r="H22" i="42"/>
  <c r="E23" i="42"/>
  <c r="F23" i="42"/>
  <c r="G23" i="42"/>
  <c r="H23" i="42"/>
  <c r="E24" i="42"/>
  <c r="F24" i="42"/>
  <c r="G24" i="42"/>
  <c r="H24" i="42"/>
  <c r="E25" i="42"/>
  <c r="F25" i="42"/>
  <c r="G25" i="42"/>
  <c r="H25" i="42"/>
  <c r="E26" i="42"/>
  <c r="F26" i="42"/>
  <c r="G26" i="42"/>
  <c r="H26" i="42"/>
  <c r="E27" i="42"/>
  <c r="F27" i="42"/>
  <c r="G27" i="42"/>
  <c r="H27" i="42"/>
  <c r="E28" i="42"/>
  <c r="F28" i="42"/>
  <c r="G28" i="42"/>
  <c r="H28" i="42"/>
  <c r="E30" i="42"/>
  <c r="F30" i="42"/>
  <c r="G30" i="42"/>
  <c r="H30" i="42"/>
  <c r="E32" i="42"/>
  <c r="F32" i="42"/>
  <c r="G32" i="42"/>
  <c r="H32" i="42"/>
  <c r="E33" i="42"/>
  <c r="F33" i="42"/>
  <c r="G33" i="42"/>
  <c r="H33" i="42"/>
  <c r="D13" i="41"/>
  <c r="E20" i="41"/>
  <c r="F20" i="41"/>
  <c r="G20" i="41"/>
  <c r="H20" i="41"/>
  <c r="E22" i="41"/>
  <c r="F22" i="41"/>
  <c r="G22" i="41"/>
  <c r="H22" i="41"/>
  <c r="E23" i="41"/>
  <c r="F23" i="41"/>
  <c r="G23" i="41"/>
  <c r="H23" i="41"/>
  <c r="E24" i="41"/>
  <c r="F24" i="41"/>
  <c r="G24" i="41"/>
  <c r="H24" i="41"/>
  <c r="E25" i="41"/>
  <c r="F25" i="41"/>
  <c r="G25" i="41"/>
  <c r="H25" i="41"/>
  <c r="E26" i="41"/>
  <c r="F26" i="41"/>
  <c r="G26" i="41"/>
  <c r="H26" i="41"/>
  <c r="E27" i="41"/>
  <c r="F27" i="41"/>
  <c r="G27" i="41"/>
  <c r="H27" i="41"/>
  <c r="E28" i="41"/>
  <c r="F28" i="41"/>
  <c r="G28" i="41"/>
  <c r="H28" i="41"/>
  <c r="E30" i="41"/>
  <c r="F30" i="41"/>
  <c r="G30" i="41"/>
  <c r="H30" i="41"/>
  <c r="E32" i="41"/>
  <c r="F32" i="41"/>
  <c r="G32" i="41"/>
  <c r="H32" i="41"/>
  <c r="E33" i="41"/>
  <c r="F33" i="41"/>
  <c r="G33" i="41"/>
  <c r="H33" i="41"/>
  <c r="D13" i="40"/>
  <c r="E20" i="40"/>
  <c r="F20" i="40"/>
  <c r="G20" i="40"/>
  <c r="H20" i="40"/>
  <c r="E22" i="40"/>
  <c r="F22" i="40"/>
  <c r="G22" i="40"/>
  <c r="H22" i="40"/>
  <c r="E23" i="40"/>
  <c r="F23" i="40"/>
  <c r="G23" i="40"/>
  <c r="H23" i="40"/>
  <c r="E24" i="40"/>
  <c r="F24" i="40"/>
  <c r="G24" i="40"/>
  <c r="H24" i="40"/>
  <c r="E25" i="40"/>
  <c r="F25" i="40"/>
  <c r="G25" i="40"/>
  <c r="H25" i="40"/>
  <c r="E26" i="40"/>
  <c r="F26" i="40"/>
  <c r="G26" i="40"/>
  <c r="H26" i="40"/>
  <c r="E27" i="40"/>
  <c r="F27" i="40"/>
  <c r="G27" i="40"/>
  <c r="H27" i="40"/>
  <c r="E28" i="40"/>
  <c r="F28" i="40"/>
  <c r="G28" i="40"/>
  <c r="H28" i="40"/>
  <c r="E30" i="40"/>
  <c r="F30" i="40"/>
  <c r="G30" i="40"/>
  <c r="H30" i="40"/>
  <c r="E32" i="40"/>
  <c r="F32" i="40"/>
  <c r="G32" i="40"/>
  <c r="H32" i="40"/>
  <c r="E33" i="40"/>
  <c r="F33" i="40"/>
  <c r="G33" i="40"/>
  <c r="H33" i="40"/>
  <c r="E22" i="39"/>
  <c r="D22" i="39"/>
  <c r="F22" i="39" s="1"/>
  <c r="E21" i="39"/>
  <c r="D21" i="39"/>
  <c r="F21" i="39" s="1"/>
  <c r="E20" i="39"/>
  <c r="E23" i="39" s="1"/>
  <c r="D20" i="39"/>
  <c r="D23" i="39" s="1"/>
  <c r="F23" i="39" s="1"/>
  <c r="E22" i="38"/>
  <c r="D22" i="38"/>
  <c r="F22" i="38" s="1"/>
  <c r="E21" i="38"/>
  <c r="D21" i="38"/>
  <c r="F21" i="38" s="1"/>
  <c r="E20" i="38"/>
  <c r="E23" i="38" s="1"/>
  <c r="D20" i="38"/>
  <c r="D23" i="38" s="1"/>
  <c r="F23" i="38" s="1"/>
  <c r="D13" i="34"/>
  <c r="E20" i="34"/>
  <c r="F20" i="34"/>
  <c r="G20" i="34"/>
  <c r="H20" i="34"/>
  <c r="E21" i="34"/>
  <c r="F21" i="34"/>
  <c r="G21" i="34"/>
  <c r="H21" i="34"/>
  <c r="E23" i="34"/>
  <c r="F23" i="34"/>
  <c r="G23" i="34"/>
  <c r="H23" i="34"/>
  <c r="E24" i="34"/>
  <c r="F24" i="34"/>
  <c r="G24" i="34"/>
  <c r="H24" i="34"/>
  <c r="E25" i="34"/>
  <c r="F25" i="34"/>
  <c r="G25" i="34"/>
  <c r="H25" i="34"/>
  <c r="E26" i="34"/>
  <c r="F26" i="34"/>
  <c r="G26" i="34"/>
  <c r="H26" i="34"/>
  <c r="E27" i="34"/>
  <c r="F27" i="34"/>
  <c r="G27" i="34"/>
  <c r="H27" i="34"/>
  <c r="E28" i="34"/>
  <c r="F28" i="34"/>
  <c r="G28" i="34"/>
  <c r="H28" i="34"/>
  <c r="E30" i="34"/>
  <c r="F30" i="34"/>
  <c r="G30" i="34"/>
  <c r="H30" i="34"/>
  <c r="E32" i="34"/>
  <c r="F32" i="34"/>
  <c r="G32" i="34"/>
  <c r="H32" i="34"/>
  <c r="E33" i="34"/>
  <c r="F33" i="34"/>
  <c r="G33" i="34"/>
  <c r="H33" i="34"/>
  <c r="D13" i="33"/>
  <c r="E20" i="33"/>
  <c r="F20" i="33"/>
  <c r="G20" i="33"/>
  <c r="H20" i="33"/>
  <c r="E21" i="33"/>
  <c r="F21" i="33"/>
  <c r="G21" i="33"/>
  <c r="H21" i="33"/>
  <c r="E22" i="33"/>
  <c r="F22" i="33"/>
  <c r="G22" i="33"/>
  <c r="H22" i="33"/>
  <c r="E23" i="33"/>
  <c r="F23" i="33"/>
  <c r="G23" i="33"/>
  <c r="H23" i="33"/>
  <c r="E24" i="33"/>
  <c r="F24" i="33"/>
  <c r="G24" i="33"/>
  <c r="H24" i="33"/>
  <c r="E25" i="33"/>
  <c r="F25" i="33"/>
  <c r="G25" i="33"/>
  <c r="H25" i="33"/>
  <c r="E26" i="33"/>
  <c r="F26" i="33"/>
  <c r="G26" i="33"/>
  <c r="H26" i="33"/>
  <c r="E27" i="33"/>
  <c r="F27" i="33"/>
  <c r="G27" i="33"/>
  <c r="H27" i="33"/>
  <c r="D13" i="32"/>
  <c r="E20" i="32"/>
  <c r="F20" i="32"/>
  <c r="G20" i="32"/>
  <c r="H20" i="32"/>
  <c r="E21" i="32"/>
  <c r="F21" i="32"/>
  <c r="G21" i="32"/>
  <c r="H21" i="32"/>
  <c r="E23" i="32"/>
  <c r="F23" i="32"/>
  <c r="G23" i="32"/>
  <c r="H23" i="32"/>
  <c r="E24" i="32"/>
  <c r="F24" i="32"/>
  <c r="G24" i="32"/>
  <c r="H24" i="32"/>
  <c r="E25" i="32"/>
  <c r="F25" i="32"/>
  <c r="G25" i="32"/>
  <c r="H25" i="32"/>
  <c r="E26" i="32"/>
  <c r="F26" i="32"/>
  <c r="G26" i="32"/>
  <c r="H26" i="32"/>
  <c r="E27" i="32"/>
  <c r="F27" i="32"/>
  <c r="G27" i="32"/>
  <c r="H27" i="32"/>
  <c r="E28" i="32"/>
  <c r="F28" i="32"/>
  <c r="G28" i="32"/>
  <c r="H28" i="32"/>
  <c r="E29" i="32"/>
  <c r="F29" i="32"/>
  <c r="G29" i="32"/>
  <c r="H29" i="32"/>
  <c r="E22" i="31"/>
  <c r="D22" i="31"/>
  <c r="F22" i="31" s="1"/>
  <c r="E21" i="31"/>
  <c r="D21" i="31"/>
  <c r="F21" i="31" s="1"/>
  <c r="E20" i="31"/>
  <c r="E23" i="31" s="1"/>
  <c r="D20" i="31"/>
  <c r="F20" i="31" s="1"/>
  <c r="E22" i="30"/>
  <c r="D22" i="30"/>
  <c r="F22" i="30" s="1"/>
  <c r="E21" i="30"/>
  <c r="D21" i="30"/>
  <c r="F21" i="30" s="1"/>
  <c r="E20" i="30"/>
  <c r="E23" i="30" s="1"/>
  <c r="D20" i="30"/>
  <c r="D23" i="30" s="1"/>
  <c r="F23" i="30" s="1"/>
  <c r="D13" i="26"/>
  <c r="E20" i="26"/>
  <c r="F20" i="26"/>
  <c r="G20" i="26"/>
  <c r="H20" i="26"/>
  <c r="E21" i="26"/>
  <c r="F21" i="26"/>
  <c r="G21" i="26"/>
  <c r="H21" i="26"/>
  <c r="E23" i="26"/>
  <c r="F23" i="26"/>
  <c r="G23" i="26"/>
  <c r="H23" i="26"/>
  <c r="E24" i="26"/>
  <c r="F24" i="26"/>
  <c r="G24" i="26"/>
  <c r="H24" i="26"/>
  <c r="E25" i="26"/>
  <c r="F25" i="26"/>
  <c r="G25" i="26"/>
  <c r="H25" i="26"/>
  <c r="E26" i="26"/>
  <c r="F26" i="26"/>
  <c r="G26" i="26"/>
  <c r="H26" i="26"/>
  <c r="E27" i="26"/>
  <c r="F27" i="26"/>
  <c r="G27" i="26"/>
  <c r="H27" i="26"/>
  <c r="E28" i="26"/>
  <c r="F28" i="26"/>
  <c r="G28" i="26"/>
  <c r="H28" i="26"/>
  <c r="E30" i="26"/>
  <c r="F30" i="26"/>
  <c r="G30" i="26"/>
  <c r="H30" i="26"/>
  <c r="E31" i="26"/>
  <c r="F31" i="26"/>
  <c r="G31" i="26"/>
  <c r="H31" i="26"/>
  <c r="D13" i="25"/>
  <c r="E20" i="25"/>
  <c r="F20" i="25"/>
  <c r="G20" i="25"/>
  <c r="H20" i="25"/>
  <c r="E21" i="25"/>
  <c r="F21" i="25"/>
  <c r="G21" i="25"/>
  <c r="H21" i="25"/>
  <c r="E22" i="25"/>
  <c r="F22" i="25"/>
  <c r="G22" i="25"/>
  <c r="H22" i="25"/>
  <c r="E23" i="25"/>
  <c r="F23" i="25"/>
  <c r="G23" i="25"/>
  <c r="H23" i="25"/>
  <c r="E24" i="25"/>
  <c r="F24" i="25"/>
  <c r="G24" i="25"/>
  <c r="H24" i="25"/>
  <c r="E25" i="25"/>
  <c r="F25" i="25"/>
  <c r="G25" i="25"/>
  <c r="H25" i="25"/>
  <c r="E26" i="25"/>
  <c r="F26" i="25"/>
  <c r="G26" i="25"/>
  <c r="H26" i="25"/>
  <c r="E27" i="25"/>
  <c r="F27" i="25"/>
  <c r="G27" i="25"/>
  <c r="H27" i="25"/>
  <c r="D13" i="24"/>
  <c r="E20" i="24"/>
  <c r="F20" i="24"/>
  <c r="G20" i="24"/>
  <c r="H20" i="24"/>
  <c r="E21" i="24"/>
  <c r="F21" i="24"/>
  <c r="G21" i="24"/>
  <c r="H21" i="24"/>
  <c r="E22" i="24"/>
  <c r="F22" i="24"/>
  <c r="G22" i="24"/>
  <c r="H22" i="24"/>
  <c r="E23" i="24"/>
  <c r="F23" i="24"/>
  <c r="G23" i="24"/>
  <c r="H23" i="24"/>
  <c r="E24" i="24"/>
  <c r="F24" i="24"/>
  <c r="G24" i="24"/>
  <c r="H24" i="24"/>
  <c r="E25" i="24"/>
  <c r="F25" i="24"/>
  <c r="G25" i="24"/>
  <c r="H25" i="24"/>
  <c r="E26" i="24"/>
  <c r="F26" i="24"/>
  <c r="G26" i="24"/>
  <c r="H26" i="24"/>
  <c r="E27" i="24"/>
  <c r="F27" i="24"/>
  <c r="G27" i="24"/>
  <c r="H27" i="24"/>
  <c r="E22" i="23"/>
  <c r="D22" i="23"/>
  <c r="F22" i="23" s="1"/>
  <c r="E21" i="23"/>
  <c r="D21" i="23"/>
  <c r="F21" i="23" s="1"/>
  <c r="E20" i="23"/>
  <c r="E23" i="23" s="1"/>
  <c r="D20" i="23"/>
  <c r="D23" i="23" s="1"/>
  <c r="F23" i="23" s="1"/>
  <c r="E22" i="22"/>
  <c r="D22" i="22"/>
  <c r="F22" i="22" s="1"/>
  <c r="E21" i="22"/>
  <c r="D21" i="22"/>
  <c r="F21" i="22" s="1"/>
  <c r="E20" i="22"/>
  <c r="E23" i="22" s="1"/>
  <c r="D20" i="22"/>
  <c r="D23" i="22" s="1"/>
  <c r="F23" i="22" s="1"/>
  <c r="D13" i="18"/>
  <c r="E21" i="18"/>
  <c r="F21" i="18"/>
  <c r="G21" i="18"/>
  <c r="H21" i="18"/>
  <c r="E22" i="18"/>
  <c r="F22" i="18"/>
  <c r="G22" i="18"/>
  <c r="H22" i="18"/>
  <c r="E24" i="18"/>
  <c r="F24" i="18"/>
  <c r="G24" i="18"/>
  <c r="H24" i="18"/>
  <c r="E25" i="18"/>
  <c r="F25" i="18"/>
  <c r="G25" i="18"/>
  <c r="H25" i="18"/>
  <c r="E26" i="18"/>
  <c r="F26" i="18"/>
  <c r="G26" i="18"/>
  <c r="H26" i="18"/>
  <c r="E27" i="18"/>
  <c r="F27" i="18"/>
  <c r="G27" i="18"/>
  <c r="H27" i="18"/>
  <c r="E28" i="18"/>
  <c r="F28" i="18"/>
  <c r="G28" i="18"/>
  <c r="H28" i="18"/>
  <c r="E29" i="18"/>
  <c r="F29" i="18"/>
  <c r="G29" i="18"/>
  <c r="H29" i="18"/>
  <c r="E30" i="18"/>
  <c r="F30" i="18"/>
  <c r="G30" i="18"/>
  <c r="H30" i="18"/>
  <c r="E32" i="18"/>
  <c r="F32" i="18"/>
  <c r="G32" i="18"/>
  <c r="H32" i="18"/>
  <c r="E33" i="18"/>
  <c r="F33" i="18"/>
  <c r="G33" i="18"/>
  <c r="H33" i="18"/>
  <c r="D13" i="17"/>
  <c r="E19" i="17"/>
  <c r="F19" i="17"/>
  <c r="G19" i="17"/>
  <c r="H19" i="17"/>
  <c r="E21" i="17"/>
  <c r="F21" i="17"/>
  <c r="G21" i="17"/>
  <c r="H21" i="17"/>
  <c r="E22" i="17"/>
  <c r="F22" i="17"/>
  <c r="G22" i="17"/>
  <c r="H22" i="17"/>
  <c r="E23" i="17"/>
  <c r="F23" i="17"/>
  <c r="G23" i="17"/>
  <c r="H23" i="17"/>
  <c r="E24" i="17"/>
  <c r="F24" i="17"/>
  <c r="G24" i="17"/>
  <c r="H24" i="17"/>
  <c r="E25" i="17"/>
  <c r="F25" i="17"/>
  <c r="G25" i="17"/>
  <c r="H25" i="17"/>
  <c r="E26" i="17"/>
  <c r="F26" i="17"/>
  <c r="G26" i="17"/>
  <c r="H26" i="17"/>
  <c r="E27" i="17"/>
  <c r="F27" i="17"/>
  <c r="G27" i="17"/>
  <c r="H27" i="17"/>
  <c r="D13" i="16"/>
  <c r="E21" i="16"/>
  <c r="F21" i="16"/>
  <c r="G21" i="16"/>
  <c r="H21" i="16"/>
  <c r="E22" i="16"/>
  <c r="F22" i="16"/>
  <c r="G22" i="16"/>
  <c r="H22" i="16"/>
  <c r="E23" i="16"/>
  <c r="F23" i="16"/>
  <c r="G23" i="16"/>
  <c r="H23" i="16"/>
  <c r="E24" i="16"/>
  <c r="F24" i="16"/>
  <c r="G24" i="16"/>
  <c r="H24" i="16"/>
  <c r="E25" i="16"/>
  <c r="F25" i="16"/>
  <c r="G25" i="16"/>
  <c r="H25" i="16"/>
  <c r="E26" i="16"/>
  <c r="F26" i="16"/>
  <c r="G26" i="16"/>
  <c r="H26" i="16"/>
  <c r="E27" i="16"/>
  <c r="F27" i="16"/>
  <c r="G27" i="16"/>
  <c r="H27" i="16"/>
  <c r="E28" i="16"/>
  <c r="F28" i="16"/>
  <c r="G28" i="16"/>
  <c r="H28" i="16"/>
  <c r="E29" i="16"/>
  <c r="F29" i="16"/>
  <c r="G29" i="16"/>
  <c r="H29" i="16"/>
  <c r="E22" i="15"/>
  <c r="D22" i="15"/>
  <c r="F22" i="15" s="1"/>
  <c r="E21" i="15"/>
  <c r="E23" i="15" s="1"/>
  <c r="D21" i="15"/>
  <c r="F21" i="15" s="1"/>
  <c r="F20" i="15"/>
  <c r="E20" i="15"/>
  <c r="D20" i="15"/>
  <c r="D23" i="15" s="1"/>
  <c r="F23" i="15" s="1"/>
  <c r="E22" i="14"/>
  <c r="D22" i="14"/>
  <c r="F22" i="14" s="1"/>
  <c r="E21" i="14"/>
  <c r="E23" i="14" s="1"/>
  <c r="D21" i="14"/>
  <c r="D23" i="14" s="1"/>
  <c r="F23" i="14" s="1"/>
  <c r="E20" i="14"/>
  <c r="D20" i="14"/>
  <c r="F20" i="14" s="1"/>
  <c r="F23" i="57" l="1"/>
  <c r="F20" i="57"/>
  <c r="F23" i="56"/>
  <c r="F20" i="56"/>
  <c r="F23" i="47"/>
  <c r="F22" i="47"/>
  <c r="F20" i="39"/>
  <c r="F20" i="38"/>
  <c r="D23" i="31"/>
  <c r="F23" i="31" s="1"/>
  <c r="F20" i="30"/>
  <c r="F20" i="23"/>
  <c r="F20" i="22"/>
  <c r="F21" i="14"/>
</calcChain>
</file>

<file path=xl/sharedStrings.xml><?xml version="1.0" encoding="utf-8"?>
<sst xmlns="http://schemas.openxmlformats.org/spreadsheetml/2006/main" count="9820" uniqueCount="860">
  <si>
    <t>Type</t>
  </si>
  <si>
    <t>Alcohol</t>
  </si>
  <si>
    <t>Malic_Acid</t>
  </si>
  <si>
    <t>Ash</t>
  </si>
  <si>
    <t>Ash_Alcalinity</t>
  </si>
  <si>
    <t>Magnesium</t>
  </si>
  <si>
    <t>Total_Phenols</t>
  </si>
  <si>
    <t>Flavanoids</t>
  </si>
  <si>
    <t>Nonflavanoid_Phenols</t>
  </si>
  <si>
    <t>Proanthocyanins</t>
  </si>
  <si>
    <t>Color_Intensity</t>
  </si>
  <si>
    <t>Hue</t>
  </si>
  <si>
    <t>Proline</t>
  </si>
  <si>
    <t>A</t>
  </si>
  <si>
    <t>B</t>
  </si>
  <si>
    <t>C</t>
  </si>
  <si>
    <t>This dataset can be used for classification with Type as a output variable OR can be used</t>
  </si>
  <si>
    <t>This data set can be found in the UCI Machine Learning Repository (http://www.ics.uci.edu/~mlearn/MLSummary.html or ftp://ftp.ics.uci.edu/pub/machine-learning-databases/wine/)</t>
  </si>
  <si>
    <t>OD280_OD315</t>
  </si>
  <si>
    <t>to perform clustering to without using Type variable to see the accuracy of prediction.</t>
  </si>
  <si>
    <t>Description</t>
  </si>
  <si>
    <t>?</t>
  </si>
  <si>
    <t xml:space="preserve"> There are 13 variables describing various properties of wine among the three classes.</t>
  </si>
  <si>
    <t>This dataset contains information about wine captured from three different wineries (A, B or C) in Italy</t>
  </si>
  <si>
    <t xml:space="preserve">Data set source: Forina, M. et al, PARVUS - 
An Extendible Package for Data Exploration, Classification and Correlation. 
Institute of Pharmaceutical and Food Analysis and Technologies, Via Brigata Salerno, 
16147 Genoa, Italy. </t>
  </si>
  <si>
    <t xml:space="preserve"> </t>
  </si>
  <si>
    <t xml:space="preserve">Italy </t>
  </si>
  <si>
    <t>Country</t>
  </si>
  <si>
    <t>Observations</t>
  </si>
  <si>
    <t>Data Science: Missing Data Handling</t>
  </si>
  <si>
    <t>Output Navigator</t>
  </si>
  <si>
    <t>Inputs</t>
  </si>
  <si>
    <t>Transformed Data</t>
  </si>
  <si>
    <t>Data</t>
  </si>
  <si>
    <t>Workbook</t>
  </si>
  <si>
    <t>Worksheet</t>
  </si>
  <si>
    <t>Range</t>
  </si>
  <si>
    <t># Records in the input data</t>
  </si>
  <si>
    <t>Variables</t>
  </si>
  <si>
    <t># Selected Variables</t>
  </si>
  <si>
    <t>Selected Variables</t>
  </si>
  <si>
    <t>Imputer Parameters</t>
  </si>
  <si>
    <t>Variable</t>
  </si>
  <si>
    <t>Reduction Type</t>
  </si>
  <si>
    <t># Records Treated</t>
  </si>
  <si>
    <t>Missing Value Code</t>
  </si>
  <si>
    <t># Output Records</t>
  </si>
  <si>
    <t>#Records Deleted</t>
  </si>
  <si>
    <t>Class Assignment 5 - Wine - Student Use - XLMiner.xlsx</t>
  </si>
  <si>
    <t>A1:P330</t>
  </si>
  <si>
    <t>NONE</t>
  </si>
  <si>
    <t>DELETE RECORD</t>
  </si>
  <si>
    <t>MEAN</t>
  </si>
  <si>
    <t>Elapsed Times in Milliseconds</t>
  </si>
  <si>
    <t>Data Reading Time</t>
  </si>
  <si>
    <t>Algorithm Time</t>
  </si>
  <si>
    <t>Report Time</t>
  </si>
  <si>
    <t>Total</t>
  </si>
  <si>
    <t>Date: 25-Feb-2025 19:54:13</t>
  </si>
  <si>
    <t>{"comment":"this RASON template was auto-generated by Analytic Solver Data Science","datasources":{},"datasets":{},"estimator":{"imputationEstimator":{"type":"transformation","algorithm":"imputation","parameters":{"imputationStrategy":[["Type","DELETE_RECORD"],["Alcohol","MEAN"],["Malic_Acid","MEAN"],["OD280_OD315","MEAN"],["Ash","MEAN"],["Magnesium","MEAN"],["Ash_Alcalinity","MEAN"],["Total_Phenols","MEAN"],["Flavanoids","MEAN"],["Proline","MEAN"],["Nonflavanoid_Phenols","MEAN"],["Proanthocyanins","MEAN"],["Color_Intensity","MEAN"],["Hue","MEAN"]],"placeholder":[]}}},"actions":{}}</t>
  </si>
  <si>
    <t>Record ID</t>
  </si>
  <si>
    <t>Treated_Alcohol</t>
  </si>
  <si>
    <t>Treated_Malic_Acid</t>
  </si>
  <si>
    <t>Treated_Ash</t>
  </si>
  <si>
    <t>Treated_Ash_Alcalinity</t>
  </si>
  <si>
    <t>Treated_Magnesium</t>
  </si>
  <si>
    <t>Treated_Total_Phenols</t>
  </si>
  <si>
    <t>Treated_Flavanoids</t>
  </si>
  <si>
    <t>Treated_Nonflavanoid_Phenols</t>
  </si>
  <si>
    <t>Treated_Proanthocyanins</t>
  </si>
  <si>
    <t>Treated_Color_Intensity</t>
  </si>
  <si>
    <t>Treated_Hue</t>
  </si>
  <si>
    <t>Treated_OD280_OD315</t>
  </si>
  <si>
    <t>Treated_Proline</t>
  </si>
  <si>
    <t>Record 1</t>
  </si>
  <si>
    <t>Record 2</t>
  </si>
  <si>
    <t>Record 3</t>
  </si>
  <si>
    <t>Record 4</t>
  </si>
  <si>
    <t>Record 5</t>
  </si>
  <si>
    <t>Record 6</t>
  </si>
  <si>
    <t>Record 7</t>
  </si>
  <si>
    <t>Record 8</t>
  </si>
  <si>
    <t>Record 9</t>
  </si>
  <si>
    <t>Record 10</t>
  </si>
  <si>
    <t>Record 11</t>
  </si>
  <si>
    <t>Record 12</t>
  </si>
  <si>
    <t>Record 13</t>
  </si>
  <si>
    <t>Record 14</t>
  </si>
  <si>
    <t>Record 15</t>
  </si>
  <si>
    <t>Record 16</t>
  </si>
  <si>
    <t>Record 17</t>
  </si>
  <si>
    <t>Record 18</t>
  </si>
  <si>
    <t>Record 19</t>
  </si>
  <si>
    <t>Record 20</t>
  </si>
  <si>
    <t>Record 21</t>
  </si>
  <si>
    <t>Record 22</t>
  </si>
  <si>
    <t>Record 23</t>
  </si>
  <si>
    <t>Record 24</t>
  </si>
  <si>
    <t>Record 25</t>
  </si>
  <si>
    <t>Record 26</t>
  </si>
  <si>
    <t>Record 27</t>
  </si>
  <si>
    <t>Record 28</t>
  </si>
  <si>
    <t>Record 29</t>
  </si>
  <si>
    <t>Record 30</t>
  </si>
  <si>
    <t>Record 31</t>
  </si>
  <si>
    <t>Record 32</t>
  </si>
  <si>
    <t>Record 33</t>
  </si>
  <si>
    <t>Record 34</t>
  </si>
  <si>
    <t>Record 35</t>
  </si>
  <si>
    <t>Record 36</t>
  </si>
  <si>
    <t>Record 37</t>
  </si>
  <si>
    <t>Record 38</t>
  </si>
  <si>
    <t>Record 39</t>
  </si>
  <si>
    <t>Record 40</t>
  </si>
  <si>
    <t>Record 41</t>
  </si>
  <si>
    <t>Record 42</t>
  </si>
  <si>
    <t>Record 43</t>
  </si>
  <si>
    <t>Record 44</t>
  </si>
  <si>
    <t>Record 45</t>
  </si>
  <si>
    <t>Record 46</t>
  </si>
  <si>
    <t>Record 47</t>
  </si>
  <si>
    <t>Record 48</t>
  </si>
  <si>
    <t>Record 49</t>
  </si>
  <si>
    <t>Record 50</t>
  </si>
  <si>
    <t>Record 51</t>
  </si>
  <si>
    <t>Record 52</t>
  </si>
  <si>
    <t>Record 53</t>
  </si>
  <si>
    <t>Record 54</t>
  </si>
  <si>
    <t>Record 55</t>
  </si>
  <si>
    <t>Record 56</t>
  </si>
  <si>
    <t>Record 57</t>
  </si>
  <si>
    <t>Record 58</t>
  </si>
  <si>
    <t>Record 59</t>
  </si>
  <si>
    <t>Record 60</t>
  </si>
  <si>
    <t>Record 61</t>
  </si>
  <si>
    <t>Record 62</t>
  </si>
  <si>
    <t>Record 63</t>
  </si>
  <si>
    <t>Record 64</t>
  </si>
  <si>
    <t>Record 65</t>
  </si>
  <si>
    <t>Record 66</t>
  </si>
  <si>
    <t>Record 67</t>
  </si>
  <si>
    <t>Record 68</t>
  </si>
  <si>
    <t>Record 69</t>
  </si>
  <si>
    <t>Record 70</t>
  </si>
  <si>
    <t>Record 71</t>
  </si>
  <si>
    <t>Record 72</t>
  </si>
  <si>
    <t>Record 73</t>
  </si>
  <si>
    <t>Record 74</t>
  </si>
  <si>
    <t>Record 75</t>
  </si>
  <si>
    <t>Record 76</t>
  </si>
  <si>
    <t>Record 77</t>
  </si>
  <si>
    <t>Record 78</t>
  </si>
  <si>
    <t>Record 79</t>
  </si>
  <si>
    <t>Record 80</t>
  </si>
  <si>
    <t>Record 81</t>
  </si>
  <si>
    <t>Record 82</t>
  </si>
  <si>
    <t>Record 83</t>
  </si>
  <si>
    <t>Record 84</t>
  </si>
  <si>
    <t>Record 85</t>
  </si>
  <si>
    <t>Record 86</t>
  </si>
  <si>
    <t>Record 87</t>
  </si>
  <si>
    <t>Record 88</t>
  </si>
  <si>
    <t>Record 89</t>
  </si>
  <si>
    <t>Record 90</t>
  </si>
  <si>
    <t>Record 91</t>
  </si>
  <si>
    <t>Record 92</t>
  </si>
  <si>
    <t>Record 93</t>
  </si>
  <si>
    <t>Record 94</t>
  </si>
  <si>
    <t>Record 95</t>
  </si>
  <si>
    <t>Record 96</t>
  </si>
  <si>
    <t>Record 97</t>
  </si>
  <si>
    <t>Record 98</t>
  </si>
  <si>
    <t>Record 99</t>
  </si>
  <si>
    <t>Record 100</t>
  </si>
  <si>
    <t>Record 101</t>
  </si>
  <si>
    <t>Record 102</t>
  </si>
  <si>
    <t>Record 103</t>
  </si>
  <si>
    <t>Record 104</t>
  </si>
  <si>
    <t>Record 105</t>
  </si>
  <si>
    <t>Record 106</t>
  </si>
  <si>
    <t>Record 107</t>
  </si>
  <si>
    <t>Record 108</t>
  </si>
  <si>
    <t>Record 109</t>
  </si>
  <si>
    <t>Record 110</t>
  </si>
  <si>
    <t>Record 111</t>
  </si>
  <si>
    <t>Record 112</t>
  </si>
  <si>
    <t>Record 113</t>
  </si>
  <si>
    <t>Record 114</t>
  </si>
  <si>
    <t>Record 115</t>
  </si>
  <si>
    <t>Record 116</t>
  </si>
  <si>
    <t>Record 117</t>
  </si>
  <si>
    <t>Record 118</t>
  </si>
  <si>
    <t>Record 119</t>
  </si>
  <si>
    <t>Record 120</t>
  </si>
  <si>
    <t>Record 121</t>
  </si>
  <si>
    <t>Record 122</t>
  </si>
  <si>
    <t>Record 123</t>
  </si>
  <si>
    <t>Record 124</t>
  </si>
  <si>
    <t>Record 125</t>
  </si>
  <si>
    <t>Record 126</t>
  </si>
  <si>
    <t>Record 127</t>
  </si>
  <si>
    <t>Record 128</t>
  </si>
  <si>
    <t>Record 129</t>
  </si>
  <si>
    <t>Record 130</t>
  </si>
  <si>
    <t>Record 131</t>
  </si>
  <si>
    <t>Record 132</t>
  </si>
  <si>
    <t>Record 133</t>
  </si>
  <si>
    <t>Record 134</t>
  </si>
  <si>
    <t>Record 135</t>
  </si>
  <si>
    <t>Record 136</t>
  </si>
  <si>
    <t>Record 137</t>
  </si>
  <si>
    <t>Record 138</t>
  </si>
  <si>
    <t>Record 139</t>
  </si>
  <si>
    <t>Record 140</t>
  </si>
  <si>
    <t>Record 141</t>
  </si>
  <si>
    <t>Record 142</t>
  </si>
  <si>
    <t>Record 143</t>
  </si>
  <si>
    <t>Record 144</t>
  </si>
  <si>
    <t>Record 145</t>
  </si>
  <si>
    <t>Record 146</t>
  </si>
  <si>
    <t>Record 147</t>
  </si>
  <si>
    <t>Record 148</t>
  </si>
  <si>
    <t>Record 149</t>
  </si>
  <si>
    <t>Record 150</t>
  </si>
  <si>
    <t>Record 151</t>
  </si>
  <si>
    <t>Record 152</t>
  </si>
  <si>
    <t>Record 153</t>
  </si>
  <si>
    <t>Record 154</t>
  </si>
  <si>
    <t>Record 155</t>
  </si>
  <si>
    <t>Record 156</t>
  </si>
  <si>
    <t>Record 157</t>
  </si>
  <si>
    <t>Record 158</t>
  </si>
  <si>
    <t>Record 159</t>
  </si>
  <si>
    <t>Record 160</t>
  </si>
  <si>
    <t>Record 161</t>
  </si>
  <si>
    <t>Record 162</t>
  </si>
  <si>
    <t>Record 163</t>
  </si>
  <si>
    <t>Record 164</t>
  </si>
  <si>
    <t>Record 165</t>
  </si>
  <si>
    <t>Record 166</t>
  </si>
  <si>
    <t>Record 167</t>
  </si>
  <si>
    <t>Record 168</t>
  </si>
  <si>
    <t>Record 169</t>
  </si>
  <si>
    <t>Record 170</t>
  </si>
  <si>
    <t>Record 171</t>
  </si>
  <si>
    <t>Record 172</t>
  </si>
  <si>
    <t>Record 173</t>
  </si>
  <si>
    <t>Record 174</t>
  </si>
  <si>
    <t>Record 175</t>
  </si>
  <si>
    <t>Record 176</t>
  </si>
  <si>
    <t>Record 177</t>
  </si>
  <si>
    <t>Record 178</t>
  </si>
  <si>
    <t>Record 179</t>
  </si>
  <si>
    <t>Record 180</t>
  </si>
  <si>
    <t>Record 181</t>
  </si>
  <si>
    <t>Record 182</t>
  </si>
  <si>
    <t>Record 183</t>
  </si>
  <si>
    <t>Record 184</t>
  </si>
  <si>
    <t>Record 185</t>
  </si>
  <si>
    <t>Record 186</t>
  </si>
  <si>
    <t>Record 187</t>
  </si>
  <si>
    <t>Record 188</t>
  </si>
  <si>
    <t>Record 189</t>
  </si>
  <si>
    <t>Record 190</t>
  </si>
  <si>
    <t>Record 191</t>
  </si>
  <si>
    <t>Record 192</t>
  </si>
  <si>
    <t>Record 193</t>
  </si>
  <si>
    <t>Record 194</t>
  </si>
  <si>
    <t>Record 195</t>
  </si>
  <si>
    <t>Record 196</t>
  </si>
  <si>
    <t>Record 197</t>
  </si>
  <si>
    <t>Record 198</t>
  </si>
  <si>
    <t>Record 199</t>
  </si>
  <si>
    <t>Record 200</t>
  </si>
  <si>
    <t>Record 201</t>
  </si>
  <si>
    <t>Record 202</t>
  </si>
  <si>
    <t>Record 203</t>
  </si>
  <si>
    <t>Record 204</t>
  </si>
  <si>
    <t>Record 205</t>
  </si>
  <si>
    <t>Record 206</t>
  </si>
  <si>
    <t>Record 207</t>
  </si>
  <si>
    <t>Record 208</t>
  </si>
  <si>
    <t>Record 209</t>
  </si>
  <si>
    <t>Record 210</t>
  </si>
  <si>
    <t>Record 211</t>
  </si>
  <si>
    <t>Record 212</t>
  </si>
  <si>
    <t>Record 213</t>
  </si>
  <si>
    <t>Record 214</t>
  </si>
  <si>
    <t>Record 215</t>
  </si>
  <si>
    <t>Record 216</t>
  </si>
  <si>
    <t>Record 217</t>
  </si>
  <si>
    <t>Record 218</t>
  </si>
  <si>
    <t>Record 219</t>
  </si>
  <si>
    <t>Record 220</t>
  </si>
  <si>
    <t>Record 221</t>
  </si>
  <si>
    <t>Record 222</t>
  </si>
  <si>
    <t>Record 223</t>
  </si>
  <si>
    <t>Record 224</t>
  </si>
  <si>
    <t>Record 225</t>
  </si>
  <si>
    <t>Record 226</t>
  </si>
  <si>
    <t>Record 227</t>
  </si>
  <si>
    <t>Record 228</t>
  </si>
  <si>
    <t>Record 229</t>
  </si>
  <si>
    <t>Record 230</t>
  </si>
  <si>
    <t>Record 231</t>
  </si>
  <si>
    <t>Record 232</t>
  </si>
  <si>
    <t>Record 233</t>
  </si>
  <si>
    <t>Record 234</t>
  </si>
  <si>
    <t>Record 235</t>
  </si>
  <si>
    <t>Record 236</t>
  </si>
  <si>
    <t>Record 237</t>
  </si>
  <si>
    <t>Record 238</t>
  </si>
  <si>
    <t>Record 239</t>
  </si>
  <si>
    <t>Record 240</t>
  </si>
  <si>
    <t>Record 241</t>
  </si>
  <si>
    <t>Record 242</t>
  </si>
  <si>
    <t>Record 243</t>
  </si>
  <si>
    <t>Record 244</t>
  </si>
  <si>
    <t>Record 245</t>
  </si>
  <si>
    <t>Record 246</t>
  </si>
  <si>
    <t>Record 247</t>
  </si>
  <si>
    <t>Record 248</t>
  </si>
  <si>
    <t>Record 249</t>
  </si>
  <si>
    <t>Record 250</t>
  </si>
  <si>
    <t>Record 251</t>
  </si>
  <si>
    <t>Record 252</t>
  </si>
  <si>
    <t>Record 253</t>
  </si>
  <si>
    <t>Record 254</t>
  </si>
  <si>
    <t>Record 255</t>
  </si>
  <si>
    <t>Record 256</t>
  </si>
  <si>
    <t>Record 257</t>
  </si>
  <si>
    <t>Record 258</t>
  </si>
  <si>
    <t>Record 259</t>
  </si>
  <si>
    <t>Record 260</t>
  </si>
  <si>
    <t>Record 261</t>
  </si>
  <si>
    <t>Record 262</t>
  </si>
  <si>
    <t>Record 263</t>
  </si>
  <si>
    <t>Record 264</t>
  </si>
  <si>
    <t>Record 265</t>
  </si>
  <si>
    <t>Record 266</t>
  </si>
  <si>
    <t>Record 267</t>
  </si>
  <si>
    <t>Record 268</t>
  </si>
  <si>
    <t>Record 269</t>
  </si>
  <si>
    <t>Record 270</t>
  </si>
  <si>
    <t>Record 271</t>
  </si>
  <si>
    <t>Record 272</t>
  </si>
  <si>
    <t>Record 273</t>
  </si>
  <si>
    <t>Record 274</t>
  </si>
  <si>
    <t>Record 275</t>
  </si>
  <si>
    <t>Record 276</t>
  </si>
  <si>
    <t>Record 277</t>
  </si>
  <si>
    <t>Record 278</t>
  </si>
  <si>
    <t>Record 279</t>
  </si>
  <si>
    <t>Record 280</t>
  </si>
  <si>
    <t>Record 281</t>
  </si>
  <si>
    <t>Record 282</t>
  </si>
  <si>
    <t>Record 283</t>
  </si>
  <si>
    <t>Record 284</t>
  </si>
  <si>
    <t>Record 285</t>
  </si>
  <si>
    <t>Record 286</t>
  </si>
  <si>
    <t>Record 287</t>
  </si>
  <si>
    <t>Record 288</t>
  </si>
  <si>
    <t>Record 289</t>
  </si>
  <si>
    <t>Record 290</t>
  </si>
  <si>
    <t>Record 291</t>
  </si>
  <si>
    <t>Record 292</t>
  </si>
  <si>
    <t>Record 293</t>
  </si>
  <si>
    <t>Record 294</t>
  </si>
  <si>
    <t>Record 295</t>
  </si>
  <si>
    <t>Record 296</t>
  </si>
  <si>
    <t>Record 297</t>
  </si>
  <si>
    <t>Record 298</t>
  </si>
  <si>
    <t>Record 299</t>
  </si>
  <si>
    <t>Record 300</t>
  </si>
  <si>
    <t>Record 301</t>
  </si>
  <si>
    <t>Record 302</t>
  </si>
  <si>
    <t>Record 303</t>
  </si>
  <si>
    <t>Record 304</t>
  </si>
  <si>
    <t>Record 305</t>
  </si>
  <si>
    <t>Record 306</t>
  </si>
  <si>
    <t>Record 307</t>
  </si>
  <si>
    <t>Record 308</t>
  </si>
  <si>
    <t>Record 309</t>
  </si>
  <si>
    <t>Record 310</t>
  </si>
  <si>
    <t>Record 311</t>
  </si>
  <si>
    <t>Record 312</t>
  </si>
  <si>
    <t>Record 313</t>
  </si>
  <si>
    <t>Record 314</t>
  </si>
  <si>
    <t>Record 315</t>
  </si>
  <si>
    <t>Record 316</t>
  </si>
  <si>
    <t>Record 317</t>
  </si>
  <si>
    <t>Record 318</t>
  </si>
  <si>
    <t>Record 319</t>
  </si>
  <si>
    <t>Record 320</t>
  </si>
  <si>
    <t>Record 321</t>
  </si>
  <si>
    <t>Record 322</t>
  </si>
  <si>
    <t>Record 323</t>
  </si>
  <si>
    <t>Record 324</t>
  </si>
  <si>
    <t>Record 325</t>
  </si>
  <si>
    <t>Record 326</t>
  </si>
  <si>
    <t>Record 327</t>
  </si>
  <si>
    <t>Record 328</t>
  </si>
  <si>
    <t>Record 329</t>
  </si>
  <si>
    <t>Data Science: Standard Partitioner</t>
  </si>
  <si>
    <t>Partition Summary</t>
  </si>
  <si>
    <t>Partitioning Parameters</t>
  </si>
  <si>
    <t>Partitioning type</t>
  </si>
  <si>
    <t>Random seed</t>
  </si>
  <si>
    <t>Ratio - Training</t>
  </si>
  <si>
    <t>Ratio - Validation</t>
  </si>
  <si>
    <t>Imputation</t>
  </si>
  <si>
    <t>$C$33:$S$362</t>
  </si>
  <si>
    <t>RANDOM</t>
  </si>
  <si>
    <t>Date: 25-Feb-2025 19:55:44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</si>
  <si>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Science","datasources":{},"datasets":{},"transformer":{"partitioner":{"type":"transformation","algorithm":"partitioning","parameters":{"partitionMethod":"RANDOM","ratios":[["Training",0.59999999999999998],["Validation",0.40000000000000002]],"seed":12345}}},"actions":{}}</t>
  </si>
  <si>
    <t>Partitioned Data</t>
  </si>
  <si>
    <t>Partition</t>
  </si>
  <si>
    <t># Records</t>
  </si>
  <si>
    <t>Training</t>
  </si>
  <si>
    <t>Validation</t>
  </si>
  <si>
    <t>Data Science: Classification Tree - Stored Model</t>
  </si>
  <si>
    <t>PMML Model</t>
  </si>
  <si>
    <t>&lt;?xml version="1.0" encoding="utf-8"?&gt;</t>
  </si>
  <si>
    <t>&lt;PMML version="4.2" xsi:schemaLocation="http://www.dmg.org/PMML-4_2 http://www.dmg.org/v4-2/pmml-4-2.xsd" xmlns:xsi="http://www.w3.org/2001/XMLSchema-instance" xmlns="http://www.dmg.org/PMML-4_2"&gt;</t>
  </si>
  <si>
    <t>&lt;Header copyright="Copyright (c) 2025 Frontline Systems Inc." description="TreeModel"&gt;</t>
  </si>
  <si>
    <t>&lt;Application name="XLMinerSDK" version="25.0.2.0"/&gt;</t>
  </si>
  <si>
    <t>&lt;ModelName/&gt;</t>
  </si>
  <si>
    <t>&lt;/Header&gt;</t>
  </si>
  <si>
    <t>&lt;DataDictionary numberOfFields="14"&gt;</t>
  </si>
  <si>
    <t>&lt;DataField optype="continuous" dataType="double" name="Treated_Alcohol"/&gt;</t>
  </si>
  <si>
    <t>&lt;DataField optype="continuous" dataType="double" name="Treated_Malic_Acid"/&gt;</t>
  </si>
  <si>
    <t>&lt;DataField optype="continuous" dataType="double" name="Treated_Ash"/&gt;</t>
  </si>
  <si>
    <t>&lt;DataField optype="continuous" dataType="double" name="Treated_Ash_Alcalinity"/&gt;</t>
  </si>
  <si>
    <t>&lt;DataField optype="continuous" dataType="double" name="Treated_Magnesium"/&gt;</t>
  </si>
  <si>
    <t>&lt;DataField optype="continuous" dataType="double" name="Treated_Total_Phenols"/&gt;</t>
  </si>
  <si>
    <t>&lt;DataField optype="continuous" dataType="double" name="Treated_Flavanoids"/&gt;</t>
  </si>
  <si>
    <t>&lt;DataField optype="continuous" dataType="double" name="Treated_Nonflavanoid_Phenols"/&gt;</t>
  </si>
  <si>
    <t>&lt;DataField optype="continuous" dataType="double" name="Treated_Proanthocyanins"/&gt;</t>
  </si>
  <si>
    <t>&lt;DataField optype="continuous" dataType="double" name="Treated_Color_Intensity"/&gt;</t>
  </si>
  <si>
    <t>&lt;DataField optype="continuous" dataType="double" name="Treated_Hue"/&gt;</t>
  </si>
  <si>
    <t>&lt;DataField optype="continuous" dataType="double" name="Treated_OD280_OD315"/&gt;</t>
  </si>
  <si>
    <t>&lt;DataField optype="continuous" dataType="double" name="Treated_Proline"/&gt;</t>
  </si>
  <si>
    <t>&lt;DataField optype="categorical" dataType="string" name="Type"&gt;</t>
  </si>
  <si>
    <t>&lt;Value value="A"/&gt;</t>
  </si>
  <si>
    <t>&lt;Value value="B"/&gt;</t>
  </si>
  <si>
    <t>&lt;Value value="C"/&gt;</t>
  </si>
  <si>
    <t>&lt;/DataField&gt;</t>
  </si>
  <si>
    <t>&lt;/DataDictionary&gt;</t>
  </si>
  <si>
    <t>&lt;TreeModel modelName="TreeModel" functionName="classification" algorithmName="DecisionTree" splitCharacteristic="binarySplit" missingValueStrategy="defaultChild" noTrueChildStrategy="returnLastPrediction"&gt;</t>
  </si>
  <si>
    <t>&lt;LocalTransformations&gt;</t>
  </si>
  <si>
    <t>&lt;DerivedField optype="continuous" dataType="double" name="Treated_Malic_Acid*" displayName="Treated_Malic_Acid"&gt;</t>
  </si>
  <si>
    <t>&lt;NormContinuous field="Treated_Malic_Acid"&gt;</t>
  </si>
  <si>
    <t>&lt;LinearNorm orig="0.73" norm="0"/&gt;</t>
  </si>
  <si>
    <t>&lt;LinearNorm orig="1.73" norm="0.20284"/&gt;</t>
  </si>
  <si>
    <t>&lt;/NormContinuous&gt;</t>
  </si>
  <si>
    <t>&lt;/DerivedField&gt;</t>
  </si>
  <si>
    <t>&lt;DerivedField optype="continuous" dataType="double" name="Treated_Flavanoids*" displayName="Treated_Flavanoids"&gt;</t>
  </si>
  <si>
    <t>&lt;NormContinuous field="Treated_Flavanoids"&gt;</t>
  </si>
  <si>
    <t>&lt;LinearNorm orig="0.33" norm="0"/&gt;</t>
  </si>
  <si>
    <t>&lt;LinearNorm orig="1.33" norm="0.21008"/&gt;</t>
  </si>
  <si>
    <t>&lt;DerivedField optype="continuous" dataType="double" name="Treated_Hue*" displayName="Treated_Hue"&gt;</t>
  </si>
  <si>
    <t>&lt;NormContinuous field="Treated_Hue"&gt;</t>
  </si>
  <si>
    <t>&lt;LinearNorm orig="0.53" norm="0"/&gt;</t>
  </si>
  <si>
    <t>&lt;LinearNorm orig="1.53" norm="1.0753"/&gt;</t>
  </si>
  <si>
    <t>&lt;DerivedField optype="continuous" dataType="double" name="Treated_OD280_OD315*" displayName="Treated_OD280_OD315"&gt;</t>
  </si>
  <si>
    <t>&lt;NormContinuous field="Treated_OD280_OD315"&gt;</t>
  </si>
  <si>
    <t>&lt;LinearNorm orig="1.26" norm="0"/&gt;</t>
  </si>
  <si>
    <t>&lt;LinearNorm orig="2.26" norm="0.36364"/&gt;</t>
  </si>
  <si>
    <t>&lt;DerivedField optype="continuous" dataType="double" name="Treated_Proline*" displayName="Treated_Proline"&gt;</t>
  </si>
  <si>
    <t>&lt;NormContinuous field="Treated_Proline"&gt;</t>
  </si>
  <si>
    <t>&lt;LinearNorm orig="277.99" norm="0"/&gt;</t>
  </si>
  <si>
    <t>&lt;LinearNorm orig="278.99" norm="0.00078801"/&gt;</t>
  </si>
  <si>
    <t>&lt;/LocalTransformations&gt;</t>
  </si>
  <si>
    <t>&lt;MiningSchema&gt;</t>
  </si>
  <si>
    <t>&lt;MiningField name="Type" usageType="predicted"/&gt;</t>
  </si>
  <si>
    <t>&lt;MiningField name="Treated_Malic_Acid" usageType="active"/&gt;</t>
  </si>
  <si>
    <t>&lt;MiningField name="Treated_Flavanoids" usageType="active"/&gt;</t>
  </si>
  <si>
    <t>&lt;MiningField name="Treated_Hue" usageType="active"/&gt;</t>
  </si>
  <si>
    <t>&lt;MiningField name="Treated_OD280_OD315" usageType="active"/&gt;</t>
  </si>
  <si>
    <t>&lt;MiningField name="Treated_Proline" usageType="active"/&gt;</t>
  </si>
  <si>
    <t>&lt;/MiningSchema&gt;</t>
  </si>
  <si>
    <t>&lt;Output&gt;</t>
  </si>
  <si>
    <t>&lt;OutputField optype="categorical" dataType="string" name="Predicted_Type" feature="predictedValue"/&gt;</t>
  </si>
  <si>
    <t>&lt;/Output&gt;</t>
  </si>
  <si>
    <t>&lt;Targets&gt;</t>
  </si>
  <si>
    <t>&lt;Target field="Type" optype="categorical"&gt;</t>
  </si>
  <si>
    <t>&lt;TargetValue value="A" priorProbability="0.3045685279187818"/&gt;</t>
  </si>
  <si>
    <t>&lt;TargetValue value="B" priorProbability="0.4416243654822335"/&gt;</t>
  </si>
  <si>
    <t>&lt;TargetValue value="C" priorProbability="0.2538071065989848"/&gt;</t>
  </si>
  <si>
    <t>&lt;/Target&gt;</t>
  </si>
  <si>
    <t>&lt;/Targets&gt;</t>
  </si>
  <si>
    <t>&lt;Node id="1" score="1" recordCount="197" defaultChild="3"&gt;</t>
  </si>
  <si>
    <t>&lt;True/&gt;</t>
  </si>
  <si>
    <t>&lt;ScoreDistribution value="A" recordCount="60"/&gt;</t>
  </si>
  <si>
    <t>&lt;ScoreDistribution value="B" recordCount="87"/&gt;</t>
  </si>
  <si>
    <t>&lt;ScoreDistribution value="C" recordCount="50"/&gt;</t>
  </si>
  <si>
    <t>&lt;Node id="2" score="1" recordCount="129" defaultChild="5"&gt;</t>
  </si>
  <si>
    <t>&lt;SimplePredicate field="Treated_Proline" operator="lessThan" value="0.3758884808750059"/&gt;</t>
  </si>
  <si>
    <t>&lt;ScoreDistribution value="A" recordCount="1"/&gt;</t>
  </si>
  <si>
    <t>&lt;ScoreDistribution value="B" recordCount="84"/&gt;</t>
  </si>
  <si>
    <t>&lt;ScoreDistribution value="C" recordCount="44"/&gt;</t>
  </si>
  <si>
    <t>&lt;Node id="4" score="2" recordCount="50" defaultChild="9"&gt;</t>
  </si>
  <si>
    <t>&lt;SimplePredicate field="Treated_OD280_OD315" operator="lessThan" value="0.3018181818181819"/&gt;</t>
  </si>
  <si>
    <t>&lt;ScoreDistribution value="A" recordCount="0"/&gt;</t>
  </si>
  <si>
    <t>&lt;ScoreDistribution value="B" recordCount="8"/&gt;</t>
  </si>
  <si>
    <t>&lt;ScoreDistribution value="C" recordCount="42"/&gt;</t>
  </si>
  <si>
    <t>&lt;Node id="8" score="2" recordCount="44" defaultChild="15"&gt;</t>
  </si>
  <si>
    <t>&lt;SimplePredicate field="Treated_Hue" operator="lessThan" value="0.4731182795698914"/&gt;</t>
  </si>
  <si>
    <t>&lt;ScoreDistribution value="B" recordCount="2"/&gt;</t>
  </si>
  <si>
    <t>&lt;Node id="14" score="2" recordCount="42"&gt;</t>
  </si>
  <si>
    <t>&lt;SimplePredicate field="Treated_Flavanoids" operator="lessThan" value="0.2436974789915956"/&gt;</t>
  </si>
  <si>
    <t>&lt;ScoreDistribution value="B" recordCount="0"/&gt;</t>
  </si>
  <si>
    <t>&lt;/Node&gt;</t>
  </si>
  <si>
    <t>&lt;Node id="15" score="1" recordCount="2"&gt;</t>
  </si>
  <si>
    <t>&lt;SimplePredicate field="Treated_Flavanoids" operator="greaterOrEqual" value="0.2436974789915956"/&gt;</t>
  </si>
  <si>
    <t>&lt;ScoreDistribution value="C" recordCount="0"/&gt;</t>
  </si>
  <si>
    <t>&lt;Node id="9" score="1" recordCount="6"&gt;</t>
  </si>
  <si>
    <t>&lt;SimplePredicate field="Treated_Hue" operator="greaterOrEqual" value="0.4731182795698914"/&gt;</t>
  </si>
  <si>
    <t>&lt;ScoreDistribution value="B" recordCount="6"/&gt;</t>
  </si>
  <si>
    <t>&lt;Node id="5" score="1" recordCount="79" defaultChild="11"&gt;</t>
  </si>
  <si>
    <t>&lt;SimplePredicate field="Treated_OD280_OD315" operator="greaterOrEqual" value="0.3018181818181819"/&gt;</t>
  </si>
  <si>
    <t>&lt;ScoreDistribution value="B" recordCount="76"/&gt;</t>
  </si>
  <si>
    <t>&lt;ScoreDistribution value="C" recordCount="2"/&gt;</t>
  </si>
  <si>
    <t>&lt;Node id="10" score="2" recordCount="2"&gt;</t>
  </si>
  <si>
    <t>&lt;SimplePredicate field="Treated_Flavanoids" operator="lessThan" value="0.09768907563025189"/&gt;</t>
  </si>
  <si>
    <t>&lt;Node id="11" score="1" recordCount="77"&gt;</t>
  </si>
  <si>
    <t>&lt;SimplePredicate field="Treated_Flavanoids" operator="greaterOrEqual" value="0.09768907563025189"/&gt;</t>
  </si>
  <si>
    <t>&lt;Node id="3" score="0" recordCount="68" defaultChild="7"&gt;</t>
  </si>
  <si>
    <t>&lt;SimplePredicate field="Treated_Proline" operator="greaterOrEqual" value="0.3758884808750059"/&gt;</t>
  </si>
  <si>
    <t>&lt;ScoreDistribution value="A" recordCount="59"/&gt;</t>
  </si>
  <si>
    <t>&lt;ScoreDistribution value="B" recordCount="3"/&gt;</t>
  </si>
  <si>
    <t>&lt;ScoreDistribution value="C" recordCount="6"/&gt;</t>
  </si>
  <si>
    <t>&lt;Node id="6" score="2" recordCount="8" defaultChild="13"&gt;</t>
  </si>
  <si>
    <t>&lt;SimplePredicate field="Treated_Flavanoids" operator="lessThan" value="0.3855042016806712"/&gt;</t>
  </si>
  <si>
    <t>&lt;Node id="12" score="1" recordCount="2"&gt;</t>
  </si>
  <si>
    <t>&lt;SimplePredicate field="Treated_Malic_Acid" operator="lessThan" value="0.2748478701825559"/&gt;</t>
  </si>
  <si>
    <t>&lt;Node id="13" score="2" recordCount="6"&gt;</t>
  </si>
  <si>
    <t>&lt;SimplePredicate field="Treated_Malic_Acid" operator="greaterOrEqual" value="0.2748478701825559"/&gt;</t>
  </si>
  <si>
    <t>&lt;Node id="7" score="0" recordCount="60"&gt;</t>
  </si>
  <si>
    <t>&lt;SimplePredicate field="Treated_Flavanoids" operator="greaterOrEqual" value="0.3855042016806712"/&gt;</t>
  </si>
  <si>
    <t>&lt;ScoreDistribution value="B" recordCount="1"/&gt;</t>
  </si>
  <si>
    <t>&lt;/TreeModel&gt;</t>
  </si>
  <si>
    <t>&lt;/PMML&gt;</t>
  </si>
  <si>
    <t>Best Pruned Tree Rules (Using Validation Data)</t>
  </si>
  <si>
    <t>Fully Grown Tree Rules (Using Training Data)</t>
  </si>
  <si>
    <t>Min Error Tree Rules (Using Validation Data)</t>
  </si>
  <si>
    <t>Feature Importance</t>
  </si>
  <si>
    <t>Training: Classification Summary</t>
  </si>
  <si>
    <t>Validation: Classification Summary</t>
  </si>
  <si>
    <t>Data Science: Classification Tree - Prediction of Validation Data</t>
  </si>
  <si>
    <t>Confusion Matrix</t>
  </si>
  <si>
    <t>Error Report</t>
  </si>
  <si>
    <t>Class</t>
  </si>
  <si>
    <t>Overall</t>
  </si>
  <si>
    <t>Metrics</t>
  </si>
  <si>
    <t>Metric</t>
  </si>
  <si>
    <t>Accuracy (#correct)</t>
  </si>
  <si>
    <t>Accuracy (%correct)</t>
  </si>
  <si>
    <t># Cases</t>
  </si>
  <si>
    <t>Value</t>
  </si>
  <si>
    <t># Errors</t>
  </si>
  <si>
    <t>% Error</t>
  </si>
  <si>
    <t>Actual\Predicted</t>
  </si>
  <si>
    <t>Data Science: Classification Tree - Prediction of Training Data</t>
  </si>
  <si>
    <t>Data Science: Classification Tree</t>
  </si>
  <si>
    <t>Node ID</t>
  </si>
  <si>
    <t>Parent ID</t>
  </si>
  <si>
    <t>Left Child ID</t>
  </si>
  <si>
    <t>Right Child ID</t>
  </si>
  <si>
    <t>Split Var</t>
  </si>
  <si>
    <t>Split Value/Set</t>
  </si>
  <si>
    <t>Training Cases</t>
  </si>
  <si>
    <t>Validation Cases</t>
  </si>
  <si>
    <t>Response</t>
  </si>
  <si>
    <t>Node Type</t>
  </si>
  <si>
    <t>Decision</t>
  </si>
  <si>
    <t>Terminal</t>
  </si>
  <si>
    <t>Training data used for building the model</t>
  </si>
  <si>
    <t># Records in the training data</t>
  </si>
  <si>
    <t>Validation data</t>
  </si>
  <si>
    <t># Records in the validation data</t>
  </si>
  <si>
    <t># Variables</t>
  </si>
  <si>
    <t>Scale Variables</t>
  </si>
  <si>
    <t>Categorical Variables</t>
  </si>
  <si>
    <t>Output Variable</t>
  </si>
  <si>
    <t>Rescaling: Fitting Parameters</t>
  </si>
  <si>
    <t>Rescale Data?</t>
  </si>
  <si>
    <t>Technique</t>
  </si>
  <si>
    <t>Correction</t>
  </si>
  <si>
    <t>Decision Tree Classification: Fitting Parameters</t>
  </si>
  <si>
    <t>Prior Probability Calculation</t>
  </si>
  <si>
    <t>NORMALIZATION</t>
  </si>
  <si>
    <t>EMPIRICAL</t>
  </si>
  <si>
    <t>STDPartition</t>
  </si>
  <si>
    <t>$C$37:$Q$233</t>
  </si>
  <si>
    <t>$C$234:$Q$365</t>
  </si>
  <si>
    <t>{"comment":"this RASON template was auto-generated by Analytic Solver Data Science","datasources":{},"datasets":{},"estimator":{"treeClassificationEstimator":{"type":"classification","algorithm":"decisionTree","parameters":{"categoricalFeaturesNames":[],"priorProbMethod":"EMPIRICAL"}}},"actions":{}}</t>
  </si>
  <si>
    <t>Training Log (Growing the full tree using training data)</t>
  </si>
  <si>
    <t>Decision Tree: Model Parameters</t>
  </si>
  <si>
    <t>Prune?</t>
  </si>
  <si>
    <t>Scoring tree type</t>
  </si>
  <si>
    <t>Decision Tree Classification: Model Parameters</t>
  </si>
  <si>
    <t># Classes</t>
  </si>
  <si>
    <t>Decision Tree: Reporting Parameters</t>
  </si>
  <si>
    <t>Trees to draw</t>
  </si>
  <si>
    <t># Max levels to display</t>
  </si>
  <si>
    <t>Show feature importance?</t>
  </si>
  <si>
    <t>Output Options</t>
  </si>
  <si>
    <t>Summary report of scoring on training data</t>
  </si>
  <si>
    <t>Summary report of scoring on validation data</t>
  </si>
  <si>
    <t>Best pruned</t>
  </si>
  <si>
    <t>Fully grown, Best pruned, Min error</t>
  </si>
  <si>
    <t>Prune Log (Using Validation Data)</t>
  </si>
  <si>
    <t># Decision Nodes</t>
  </si>
  <si>
    <t>Error Rate</t>
  </si>
  <si>
    <t>Feature</t>
  </si>
  <si>
    <t>Importance</t>
  </si>
  <si>
    <t>&lt;Timestamp&gt;2025-2-25 20:15:29&lt;/Timestamp&gt;</t>
  </si>
  <si>
    <t>Date: 25-Feb-2025 20:15:29</t>
  </si>
  <si>
    <t>Date: 25-Feb-2025 20:20:51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</si>
  <si>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Science","datasources":{},"datasets":{},"transformer":{"partitioner":{"type":"transformation","algorithm":"partitioning","parameters":{"partitionMethod":"RANDOM","ratios":[["Training",0.69999999999999996],["Validation",0.29999999999999999]],"seed":12345}}},"actions":{}}</t>
  </si>
  <si>
    <t>&lt;Timestamp&gt;2025-2-25 20:24:11&lt;/Timestamp&gt;</t>
  </si>
  <si>
    <t>Date: 25-Feb-2025 20:24:11</t>
  </si>
  <si>
    <t>&lt;DerivedField optype="continuous" dataType="double" name="Treated_Magnesium*" displayName="Treated_Magnesium"&gt;</t>
  </si>
  <si>
    <t>&lt;NormContinuous field="Treated_Magnesium"&gt;</t>
  </si>
  <si>
    <t>&lt;LinearNorm orig="69.99" norm="0"/&gt;</t>
  </si>
  <si>
    <t>&lt;LinearNorm orig="70.99" norm="0.010867"/&gt;</t>
  </si>
  <si>
    <t>&lt;DerivedField optype="continuous" dataType="double" name="Treated_Color_Intensity*" displayName="Treated_Color_Intensity"&gt;</t>
  </si>
  <si>
    <t>&lt;NormContinuous field="Treated_Color_Intensity"&gt;</t>
  </si>
  <si>
    <t>&lt;LinearNorm orig="1.27" norm="0"/&gt;</t>
  </si>
  <si>
    <t>&lt;LinearNorm orig="2.27" norm="0.085179"/&gt;</t>
  </si>
  <si>
    <t>&lt;MiningField name="Treated_Magnesium" usageType="active"/&gt;</t>
  </si>
  <si>
    <t>&lt;MiningField name="Treated_Color_Intensity" usageType="active"/&gt;</t>
  </si>
  <si>
    <t>&lt;TargetValue value="A" priorProbability="0.308695652173913"/&gt;</t>
  </si>
  <si>
    <t>&lt;TargetValue value="B" priorProbability="0.4304347826086957"/&gt;</t>
  </si>
  <si>
    <t>&lt;TargetValue value="C" priorProbability="0.2608695652173913"/&gt;</t>
  </si>
  <si>
    <t>&lt;Node id="1" score="1" recordCount="230" defaultChild="3"&gt;</t>
  </si>
  <si>
    <t>&lt;ScoreDistribution value="A" recordCount="71"/&gt;</t>
  </si>
  <si>
    <t>&lt;ScoreDistribution value="B" recordCount="99"/&gt;</t>
  </si>
  <si>
    <t>&lt;ScoreDistribution value="C" recordCount="60"/&gt;</t>
  </si>
  <si>
    <t>&lt;Node id="2" score="1" recordCount="150" defaultChild="5"&gt;</t>
  </si>
  <si>
    <t>&lt;ScoreDistribution value="B" recordCount="95"/&gt;</t>
  </si>
  <si>
    <t>&lt;ScoreDistribution value="C" recordCount="54"/&gt;</t>
  </si>
  <si>
    <t>&lt;Node id="4" score="2" recordCount="63" defaultChild="9"&gt;</t>
  </si>
  <si>
    <t>&lt;SimplePredicate field="Treated_Flavanoids" operator="lessThan" value="0.2069327731092437"/&gt;</t>
  </si>
  <si>
    <t>&lt;ScoreDistribution value="B" recordCount="10"/&gt;</t>
  </si>
  <si>
    <t>&lt;ScoreDistribution value="C" recordCount="53"/&gt;</t>
  </si>
  <si>
    <t>&lt;Node id="8" score="1" recordCount="10"&gt;</t>
  </si>
  <si>
    <t>&lt;SimplePredicate field="Treated_Color_Intensity" operator="lessThan" value="0.209114139693356"/&gt;</t>
  </si>
  <si>
    <t>&lt;Node id="9" score="2" recordCount="53"&gt;</t>
  </si>
  <si>
    <t>&lt;SimplePredicate field="Treated_Color_Intensity" operator="greaterOrEqual" value="0.209114139693356"/&gt;</t>
  </si>
  <si>
    <t>&lt;Node id="5" score="1" recordCount="87" defaultChild="11"&gt;</t>
  </si>
  <si>
    <t>&lt;SimplePredicate field="Treated_Flavanoids" operator="greaterOrEqual" value="0.2069327731092437"/&gt;</t>
  </si>
  <si>
    <t>&lt;ScoreDistribution value="B" recordCount="85"/&gt;</t>
  </si>
  <si>
    <t>&lt;ScoreDistribution value="C" recordCount="1"/&gt;</t>
  </si>
  <si>
    <t>&lt;Node id="10" score="1" recordCount="86"&gt;</t>
  </si>
  <si>
    <t>&lt;SimplePredicate field="Treated_Color_Intensity" operator="lessThan" value="0.5477001703577513"/&gt;</t>
  </si>
  <si>
    <t>&lt;Node id="11" score="2" recordCount="1"&gt;</t>
  </si>
  <si>
    <t>&lt;SimplePredicate field="Treated_Color_Intensity" operator="greaterOrEqual" value="0.5477001703577513"/&gt;</t>
  </si>
  <si>
    <t>&lt;Node id="3" score="0" recordCount="80" defaultChild="7"&gt;</t>
  </si>
  <si>
    <t>&lt;ScoreDistribution value="A" recordCount="70"/&gt;</t>
  </si>
  <si>
    <t>&lt;ScoreDistribution value="B" recordCount="4"/&gt;</t>
  </si>
  <si>
    <t>&lt;Node id="7" score="0" recordCount="72" defaultChild="15"&gt;</t>
  </si>
  <si>
    <t>&lt;Node id="14" score="0" recordCount="70"&gt;</t>
  </si>
  <si>
    <t>&lt;SimplePredicate field="Treated_Magnesium" operator="lessThan" value="0.7119104542490764"/&gt;</t>
  </si>
  <si>
    <t>&lt;SimplePredicate field="Treated_Magnesium" operator="greaterOrEqual" value="0.7119104542490764"/&gt;</t>
  </si>
  <si>
    <t>STDPartition1</t>
  </si>
  <si>
    <t>$C$37:$Q$266</t>
  </si>
  <si>
    <t>$C$267:$Q$365</t>
  </si>
  <si>
    <t>Date: 25-Feb-2025 20:25:40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</si>
  <si>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Science","datasources":{},"datasets":{},"transformer":{"partitioner":{"type":"transformation","algorithm":"partitioning","parameters":{"partitionMethod":"RANDOM","ratios":[["Training",0.75],["Validation",0.25]],"seed":12345}}},"actions":{}}</t>
  </si>
  <si>
    <t>&lt;Timestamp&gt;2025-2-25 20:26:37&lt;/Timestamp&gt;</t>
  </si>
  <si>
    <t>Date: 25-Feb-2025 20:26:37</t>
  </si>
  <si>
    <t>&lt;LinearNorm orig="1.73" norm="0.19685"/&gt;</t>
  </si>
  <si>
    <t>&lt;TargetValue value="A" priorProbability="0.3076923076923077"/&gt;</t>
  </si>
  <si>
    <t>&lt;TargetValue value="B" priorProbability="0.4372469635627531"/&gt;</t>
  </si>
  <si>
    <t>&lt;TargetValue value="C" priorProbability="0.2550607287449393"/&gt;</t>
  </si>
  <si>
    <t>&lt;Node id="1" score="1" recordCount="247" defaultChild="3"&gt;</t>
  </si>
  <si>
    <t>&lt;ScoreDistribution value="A" recordCount="76"/&gt;</t>
  </si>
  <si>
    <t>&lt;ScoreDistribution value="B" recordCount="108"/&gt;</t>
  </si>
  <si>
    <t>&lt;ScoreDistribution value="C" recordCount="63"/&gt;</t>
  </si>
  <si>
    <t>&lt;Node id="2" score="1" recordCount="162" defaultChild="5"&gt;</t>
  </si>
  <si>
    <t>&lt;ScoreDistribution value="B" recordCount="104"/&gt;</t>
  </si>
  <si>
    <t>&lt;ScoreDistribution value="C" recordCount="57"/&gt;</t>
  </si>
  <si>
    <t>&lt;Node id="4" score="2" recordCount="56" defaultChild="9"&gt;</t>
  </si>
  <si>
    <t>&lt;SimplePredicate field="Treated_Flavanoids" operator="lessThan" value="0.1901260504201681"/&gt;</t>
  </si>
  <si>
    <t>&lt;ScoreDistribution value="B" recordCount="5"/&gt;</t>
  </si>
  <si>
    <t>&lt;ScoreDistribution value="C" recordCount="51"/&gt;</t>
  </si>
  <si>
    <t>&lt;Node id="8" score="1" recordCount="5"&gt;</t>
  </si>
  <si>
    <t>&lt;SimplePredicate field="Treated_Color_Intensity" operator="lessThan" value="0.1950596252129472"/&gt;</t>
  </si>
  <si>
    <t>&lt;Node id="9" score="2" recordCount="51"&gt;</t>
  </si>
  <si>
    <t>&lt;SimplePredicate field="Treated_Color_Intensity" operator="greaterOrEqual" value="0.1950596252129472"/&gt;</t>
  </si>
  <si>
    <t>&lt;Node id="5" score="1" recordCount="106" defaultChild="11"&gt;</t>
  </si>
  <si>
    <t>&lt;SimplePredicate field="Treated_Flavanoids" operator="greaterOrEqual" value="0.1901260504201681"/&gt;</t>
  </si>
  <si>
    <t>&lt;Node id="10" score="1" recordCount="101"&gt;</t>
  </si>
  <si>
    <t>&lt;SimplePredicate field="Treated_Color_Intensity" operator="lessThan" value="0.449744463373083"/&gt;</t>
  </si>
  <si>
    <t>&lt;Node id="11" score="2" recordCount="5"&gt;</t>
  </si>
  <si>
    <t>&lt;SimplePredicate field="Treated_Color_Intensity" operator="greaterOrEqual" value="0.449744463373083"/&gt;</t>
  </si>
  <si>
    <t>&lt;ScoreDistribution value="C" recordCount="5"/&gt;</t>
  </si>
  <si>
    <t>&lt;Node id="3" score="0" recordCount="85" defaultChild="7"&gt;</t>
  </si>
  <si>
    <t>&lt;ScoreDistribution value="A" recordCount="75"/&gt;</t>
  </si>
  <si>
    <t>&lt;SimplePredicate field="Treated_Malic_Acid" operator="lessThan" value="0.2667322834645676"/&gt;</t>
  </si>
  <si>
    <t>&lt;SimplePredicate field="Treated_Malic_Acid" operator="greaterOrEqual" value="0.2667322834645676"/&gt;</t>
  </si>
  <si>
    <t>&lt;Node id="7" score="0" recordCount="77" defaultChild="15"&gt;</t>
  </si>
  <si>
    <t>&lt;Node id="14" score="0" recordCount="75"&gt;</t>
  </si>
  <si>
    <t>STDPartition2</t>
  </si>
  <si>
    <t>$C$37:$Q$283</t>
  </si>
  <si>
    <t>$C$284:$Q$365</t>
  </si>
  <si>
    <t>Date: 25-Feb-2025 20:28:07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</si>
  <si>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Science","datasources":{},"datasets":{},"transformer":{"partitioner":{"type":"transformation","algorithm":"partitioning","parameters":{"partitionMethod":"RANDOM","ratios":[["Training",0.80000000000000004],["Validation",0.20000000000000001]],"seed":12345}}},"actions":{}}</t>
  </si>
  <si>
    <t>&lt;Timestamp&gt;2025-2-25 20:29:7&lt;/Timestamp&gt;</t>
  </si>
  <si>
    <t>Date: 25-Feb-2025 20:29:07</t>
  </si>
  <si>
    <t>&lt;DerivedField optype="continuous" dataType="double" name="Treated_Alcohol*" displayName="Treated_Alcohol"&gt;</t>
  </si>
  <si>
    <t>&lt;NormContinuous field="Treated_Alcohol"&gt;</t>
  </si>
  <si>
    <t>&lt;LinearNorm orig="11.02" norm="0"/&gt;</t>
  </si>
  <si>
    <t>&lt;LinearNorm orig="12.02" norm="0.26738"/&gt;</t>
  </si>
  <si>
    <t>&lt;DerivedField optype="continuous" dataType="double" name="Treated_Total_Phenols*" displayName="Treated_Total_Phenols"&gt;</t>
  </si>
  <si>
    <t>&lt;NormContinuous field="Treated_Total_Phenols"&gt;</t>
  </si>
  <si>
    <t>&lt;LinearNorm orig="0.97" norm="0"/&gt;</t>
  </si>
  <si>
    <t>&lt;LinearNorm orig="1.97" norm="0.34247"/&gt;</t>
  </si>
  <si>
    <t>&lt;LinearNorm orig="278.99" norm="0.00071326"/&gt;</t>
  </si>
  <si>
    <t>&lt;MiningField name="Treated_Alcohol" usageType="active"/&gt;</t>
  </si>
  <si>
    <t>&lt;MiningField name="Treated_Total_Phenols" usageType="active"/&gt;</t>
  </si>
  <si>
    <t>&lt;TargetValue value="A" priorProbability="0.3041825095057034"/&gt;</t>
  </si>
  <si>
    <t>&lt;TargetValue value="B" priorProbability="0.4334600760456274"/&gt;</t>
  </si>
  <si>
    <t>&lt;TargetValue value="C" priorProbability="0.2623574144486692"/&gt;</t>
  </si>
  <si>
    <t>&lt;Node id="1" score="1" recordCount="263" defaultChild="3"&gt;</t>
  </si>
  <si>
    <t>&lt;ScoreDistribution value="A" recordCount="80"/&gt;</t>
  </si>
  <si>
    <t>&lt;ScoreDistribution value="B" recordCount="114"/&gt;</t>
  </si>
  <si>
    <t>&lt;ScoreDistribution value="C" recordCount="69"/&gt;</t>
  </si>
  <si>
    <t>&lt;Node id="2" score="1" recordCount="172" defaultChild="5"&gt;</t>
  </si>
  <si>
    <t>&lt;SimplePredicate field="Treated_Proline" operator="lessThan" value="0.340230524528894"/&gt;</t>
  </si>
  <si>
    <t>&lt;ScoreDistribution value="A" recordCount="2"/&gt;</t>
  </si>
  <si>
    <t>&lt;ScoreDistribution value="B" recordCount="109"/&gt;</t>
  </si>
  <si>
    <t>&lt;ScoreDistribution value="C" recordCount="61"/&gt;</t>
  </si>
  <si>
    <t>&lt;Node id="4" score="1" recordCount="112" defaultChild="9"&gt;</t>
  </si>
  <si>
    <t>&lt;SimplePredicate field="Treated_Color_Intensity" operator="lessThan" value="0.3049403747870524"/&gt;</t>
  </si>
  <si>
    <t>&lt;Node id="8" score="2" recordCount="4"&gt;</t>
  </si>
  <si>
    <t>&lt;SimplePredicate field="Treated_Flavanoids" operator="lessThan" value="0.04516806722689065"/&gt;</t>
  </si>
  <si>
    <t>&lt;ScoreDistribution value="C" recordCount="4"/&gt;</t>
  </si>
  <si>
    <t>&lt;Node id="9" score="1" recordCount="108" defaultChild="17"&gt;</t>
  </si>
  <si>
    <t>&lt;SimplePredicate field="Treated_Flavanoids" operator="greaterOrEqual" value="0.04516806722689065"/&gt;</t>
  </si>
  <si>
    <t>&lt;Node id="16" score="2" recordCount="1"&gt;</t>
  </si>
  <si>
    <t>&lt;SimplePredicate field="Treated_OD280_OD315" operator="lessThan" value="0.07999999999999818"/&gt;</t>
  </si>
  <si>
    <t>&lt;Node id="17" score="1" recordCount="107" defaultChild="19"&gt;</t>
  </si>
  <si>
    <t>&lt;SimplePredicate field="Treated_OD280_OD315" operator="greaterOrEqual" value="0.07999999999999818"/&gt;</t>
  </si>
  <si>
    <t>&lt;Node id="18" score="1" recordCount="98"&gt;</t>
  </si>
  <si>
    <t>&lt;SimplePredicate field="Treated_Alcohol" operator="lessThan" value="0.5681818181818299"/&gt;</t>
  </si>
  <si>
    <t>&lt;ScoreDistribution value="B" recordCount="98"/&gt;</t>
  </si>
  <si>
    <t>&lt;Node id="19" score="1" recordCount="9" defaultChild="21"&gt;</t>
  </si>
  <si>
    <t>&lt;SimplePredicate field="Treated_Alcohol" operator="greaterOrEqual" value="0.5681818181818299"/&gt;</t>
  </si>
  <si>
    <t>&lt;Node id="20" score="1" recordCount="6"&gt;</t>
  </si>
  <si>
    <t>&lt;SimplePredicate field="Treated_Color_Intensity" operator="lessThan" value="0.2376490630323675"/&gt;</t>
  </si>
  <si>
    <t>&lt;Node id="21" score="0" recordCount="3" defaultChild="23"&gt;</t>
  </si>
  <si>
    <t>&lt;SimplePredicate field="Treated_Color_Intensity" operator="greaterOrEqual" value="0.2376490630323675"/&gt;</t>
  </si>
  <si>
    <t>&lt;Node id="22" score="2" recordCount="1"&gt;</t>
  </si>
  <si>
    <t>&lt;SimplePredicate field="Treated_Total_Phenols" operator="lessThan" value="0.4623287671232895"/&gt;</t>
  </si>
  <si>
    <t>&lt;Node id="23" score="0" recordCount="2"&gt;</t>
  </si>
  <si>
    <t>&lt;SimplePredicate field="Treated_Total_Phenols" operator="greaterOrEqual" value="0.4623287671232895"/&gt;</t>
  </si>
  <si>
    <t>&lt;Node id="5" score="2" recordCount="60" defaultChild="11"&gt;</t>
  </si>
  <si>
    <t>&lt;SimplePredicate field="Treated_Color_Intensity" operator="greaterOrEqual" value="0.3049403747870524"/&gt;</t>
  </si>
  <si>
    <t>&lt;ScoreDistribution value="C" recordCount="55"/&gt;</t>
  </si>
  <si>
    <t>&lt;Node id="10" score="2" recordCount="55"&gt;</t>
  </si>
  <si>
    <t>&lt;SimplePredicate field="Treated_Flavanoids" operator="lessThan" value="0.2247899159663844"/&gt;</t>
  </si>
  <si>
    <t>&lt;Node id="11" score="1" recordCount="5"&gt;</t>
  </si>
  <si>
    <t>&lt;SimplePredicate field="Treated_Flavanoids" operator="greaterOrEqual" value="0.2247899159663844"/&gt;</t>
  </si>
  <si>
    <t>&lt;Node id="3" score="0" recordCount="91" defaultChild="7"&gt;</t>
  </si>
  <si>
    <t>&lt;SimplePredicate field="Treated_Proline" operator="greaterOrEqual" value="0.340230524528894"/&gt;</t>
  </si>
  <si>
    <t>&lt;ScoreDistribution value="A" recordCount="78"/&gt;</t>
  </si>
  <si>
    <t>&lt;ScoreDistribution value="C" recordCount="8"/&gt;</t>
  </si>
  <si>
    <t>&lt;Node id="6" score="2" recordCount="10" defaultChild="13"&gt;</t>
  </si>
  <si>
    <t>&lt;Node id="13" score="2" recordCount="8"&gt;</t>
  </si>
  <si>
    <t>&lt;Node id="7" score="0" recordCount="81" defaultChild="15"&gt;</t>
  </si>
  <si>
    <t>&lt;Node id="14" score="0" recordCount="78"&gt;</t>
  </si>
  <si>
    <t>&lt;Node id="15" score="1" recordCount="3"&gt;</t>
  </si>
  <si>
    <t>STDPartition3</t>
  </si>
  <si>
    <t>$C$37:$Q$299</t>
  </si>
  <si>
    <t>$C$300:$Q$365</t>
  </si>
  <si>
    <t>Date: 25-Feb-2025 20:31:17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</si>
  <si>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Science","datasources":{},"datasets":{},"transformer":{"partitioner":{"type":"transformation","algorithm":"partitioning","parameters":{"partitionMethod":"RANDOM","ratios":[["Training",0.84999999999999998],["Validation",0.14999999999999999]],"seed":12345}}},"actions":{}}</t>
  </si>
  <si>
    <t>New Data</t>
  </si>
  <si>
    <t>A1:N15</t>
  </si>
  <si>
    <t>Date: 25-Feb-2025 20:34:03</t>
  </si>
  <si>
    <t>{"comment":"this RASON template was auto-generated by Analytic Solver Data Science","datasources":{},"datasets":{},"estimator":{"imputationEstimator":{"type":"transformation","algorithm":"imputation","parameters":{"imputationStrategy":[["Alcohol","MEAN"],["Malic_Acid","MEAN"],["OD280_OD315","MEAN"],["Ash","MEAN"],["Magnesium","MEAN"],["Ash_Alcalinity","MEAN"],["Total_Phenols","MEAN"],["Nonflavanoid_Phenols","MEAN"],["Flavanoids","MEAN"],["Proline","MEAN"],["Proanthocyanins","MEAN"],["Color_Intensity","MEAN"],["Hue","MEAN"]],"placeholder":[]}}},"actions":{}}</t>
  </si>
  <si>
    <t>&lt;Timestamp&gt;2025-2-25 20:35:29&lt;/Timestamp&gt;</t>
  </si>
  <si>
    <t>Date: 25-Feb-2025 20:35:29</t>
  </si>
  <si>
    <t>&lt;TargetValue value="A" priorProbability="0.3"/&gt;</t>
  </si>
  <si>
    <t>&lt;TargetValue value="B" priorProbability="0.4321428571428572"/&gt;</t>
  </si>
  <si>
    <t>&lt;TargetValue value="C" priorProbability="0.2678571428571428"/&gt;</t>
  </si>
  <si>
    <t>&lt;Node id="1" score="1" recordCount="280" defaultChild="3"&gt;</t>
  </si>
  <si>
    <t>&lt;ScoreDistribution value="A" recordCount="84"/&gt;</t>
  </si>
  <si>
    <t>&lt;ScoreDistribution value="B" recordCount="121"/&gt;</t>
  </si>
  <si>
    <t>&lt;ScoreDistribution value="C" recordCount="75"/&gt;</t>
  </si>
  <si>
    <t>&lt;Node id="2" score="1" recordCount="185" defaultChild="5"&gt;</t>
  </si>
  <si>
    <t>&lt;ScoreDistribution value="A" recordCount="3"/&gt;</t>
  </si>
  <si>
    <t>&lt;ScoreDistribution value="B" recordCount="116"/&gt;</t>
  </si>
  <si>
    <t>&lt;ScoreDistribution value="C" recordCount="66"/&gt;</t>
  </si>
  <si>
    <t>&lt;Node id="4" score="2" recordCount="64" defaultChild="9"&gt;</t>
  </si>
  <si>
    <t>&lt;ScoreDistribution value="C" recordCount="59"/&gt;</t>
  </si>
  <si>
    <t>&lt;Node id="9" score="2" recordCount="59"&gt;</t>
  </si>
  <si>
    <t>&lt;Node id="5" score="1" recordCount="121" defaultChild="11"&gt;</t>
  </si>
  <si>
    <t>&lt;ScoreDistribution value="B" recordCount="111"/&gt;</t>
  </si>
  <si>
    <t>&lt;ScoreDistribution value="C" recordCount="7"/&gt;</t>
  </si>
  <si>
    <t>&lt;Node id="10" score="1" recordCount="115" defaultChild="17"&gt;</t>
  </si>
  <si>
    <t>&lt;SimplePredicate field="Treated_OD280_OD315" operator="lessThan" value="0.06545454545454547"/&gt;</t>
  </si>
  <si>
    <t>&lt;Node id="17" score="1" recordCount="114" defaultChild="19"&gt;</t>
  </si>
  <si>
    <t>&lt;SimplePredicate field="Treated_OD280_OD315" operator="greaterOrEqual" value="0.06545454545454547"/&gt;</t>
  </si>
  <si>
    <t>&lt;Node id="18" score="1" recordCount="104"&gt;</t>
  </si>
  <si>
    <t>&lt;SimplePredicate field="Treated_Alcohol" operator="lessThan" value="0.5762032085561477"/&gt;</t>
  </si>
  <si>
    <t>&lt;Node id="19" score="1" recordCount="10" defaultChild="21"&gt;</t>
  </si>
  <si>
    <t>&lt;SimplePredicate field="Treated_Alcohol" operator="greaterOrEqual" value="0.5762032085561477"/&gt;</t>
  </si>
  <si>
    <t>&lt;ScoreDistribution value="B" recordCount="7"/&gt;</t>
  </si>
  <si>
    <t>&lt;Node id="20" score="1" recordCount="7"&gt;</t>
  </si>
  <si>
    <t>&lt;Node id="21" score="0" recordCount="3"&gt;</t>
  </si>
  <si>
    <t>&lt;Node id="11" score="2" recordCount="6"&gt;</t>
  </si>
  <si>
    <t>&lt;Node id="3" score="0" recordCount="95" defaultChild="7"&gt;</t>
  </si>
  <si>
    <t>&lt;ScoreDistribution value="A" recordCount="81"/&gt;</t>
  </si>
  <si>
    <t>&lt;ScoreDistribution value="C" recordCount="9"/&gt;</t>
  </si>
  <si>
    <t>&lt;Node id="6" score="2" recordCount="11" defaultChild="13"&gt;</t>
  </si>
  <si>
    <t>&lt;Node id="13" score="2" recordCount="9"&gt;</t>
  </si>
  <si>
    <t>&lt;Node id="7" score="0" recordCount="84" defaultChild="15"&gt;</t>
  </si>
  <si>
    <t>&lt;Node id="14" score="0" recordCount="81"&gt;</t>
  </si>
  <si>
    <t>STDPartition4</t>
  </si>
  <si>
    <t>$C$37:$Q$316</t>
  </si>
  <si>
    <t>$C$317:$Q$365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</si>
  <si>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Science","datasources":{},"datasets":{},"transformer":{"partitioner":{"type":"transformation","algorithm":"partitioning","parameters":{"partitionMethod":"RANDOM","ratios":[["Training",0.55000000000000004],["Validation",0.45000000000000001]],"seed":12345}}},"actions":{}}</t>
  </si>
  <si>
    <t>Date: 25-Feb-2025 20:37:38</t>
  </si>
  <si>
    <t>&lt;Timestamp&gt;2025-2-25 20:38:28&lt;/Timestamp&gt;</t>
  </si>
  <si>
    <t>Date: 25-Feb-2025 20:38:28</t>
  </si>
  <si>
    <t>&lt;TargetValue value="A" priorProbability="0.3038674033149171"/&gt;</t>
  </si>
  <si>
    <t>&lt;TargetValue value="B" priorProbability="0.430939226519337"/&gt;</t>
  </si>
  <si>
    <t>&lt;TargetValue value="C" priorProbability="0.2651933701657458"/&gt;</t>
  </si>
  <si>
    <t>&lt;Node id="1" score="1" recordCount="181" defaultChild="3"&gt;</t>
  </si>
  <si>
    <t>&lt;ScoreDistribution value="A" recordCount="55"/&gt;</t>
  </si>
  <si>
    <t>&lt;ScoreDistribution value="B" recordCount="78"/&gt;</t>
  </si>
  <si>
    <t>&lt;ScoreDistribution value="C" recordCount="48"/&gt;</t>
  </si>
  <si>
    <t>&lt;Node id="2" score="1" recordCount="119" defaultChild="5"&gt;</t>
  </si>
  <si>
    <t>&lt;Node id="4" score="1" recordCount="77" defaultChild="9"&gt;</t>
  </si>
  <si>
    <t>&lt;ScoreDistribution value="B" recordCount="72"/&gt;</t>
  </si>
  <si>
    <t>&lt;Node id="9" score="1" recordCount="73"&gt;</t>
  </si>
  <si>
    <t>&lt;Node id="5" score="2" recordCount="42"&gt;</t>
  </si>
  <si>
    <t>&lt;ScoreDistribution value="C" recordCount="38"/&gt;</t>
  </si>
  <si>
    <t>&lt;Node id="3" score="0" recordCount="62" defaultChild="7"&gt;</t>
  </si>
  <si>
    <t>&lt;ScoreDistribution value="A" recordCount="54"/&gt;</t>
  </si>
  <si>
    <t>&lt;Node id="6" score="2" recordCount="8"&gt;</t>
  </si>
  <si>
    <t>&lt;Node id="7" score="0" recordCount="54"&gt;</t>
  </si>
  <si>
    <t>STDPartition5</t>
  </si>
  <si>
    <t>$C$37:$Q$217</t>
  </si>
  <si>
    <t>$C$218:$Q$365</t>
  </si>
  <si>
    <t>Data Science: Scoring New Data - DecisionTree</t>
  </si>
  <si>
    <t>Scoring</t>
  </si>
  <si>
    <t>Model Variables</t>
  </si>
  <si>
    <t>Variables in New Data</t>
  </si>
  <si>
    <t>Imputation1</t>
  </si>
  <si>
    <t>$C$33:$Q$47</t>
  </si>
  <si>
    <t>Date: 25-Feb-2025 20:42:08</t>
  </si>
  <si>
    <t>Prediction: Type</t>
  </si>
  <si>
    <t>PostProb: A</t>
  </si>
  <si>
    <t>PostProb: B</t>
  </si>
  <si>
    <t>PostProb: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</si>
</sst>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1" x14ac:knownFonts="1">
    <font>
      <sz val="10"/>
      <name val="Arial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Calibri"/>
      <family val="2"/>
    </font>
    <font>
      <u/>
      <sz val="10"/>
      <color theme="10"/>
      <name val="Calibri"/>
      <family val="2"/>
    </font>
    <font>
      <b/>
      <sz val="10"/>
      <color rgb="FF4169E1"/>
      <name val="Calibri"/>
      <family val="2"/>
    </font>
    <font>
      <b/>
      <sz val="14"/>
      <color rgb="FF4169E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3" xfId="0" applyFont="1" applyBorder="1"/>
    <xf numFmtId="0" fontId="5" fillId="0" borderId="3" xfId="0" applyFont="1" applyBorder="1" applyAlignment="1">
      <alignment horizontal="left"/>
    </xf>
    <xf numFmtId="0" fontId="7" fillId="4" borderId="2" xfId="0" applyFont="1" applyFill="1" applyBorder="1" applyAlignment="1">
      <alignment horizontal="center"/>
    </xf>
    <xf numFmtId="164" fontId="0" fillId="0" borderId="0" xfId="0" applyNumberFormat="1"/>
    <xf numFmtId="0" fontId="6" fillId="0" borderId="3" xfId="1" applyFont="1" applyBorder="1"/>
    <xf numFmtId="0" fontId="10" fillId="3" borderId="7" xfId="0" applyFont="1" applyFill="1" applyBorder="1"/>
    <xf numFmtId="0" fontId="10" fillId="3" borderId="5" xfId="0" applyFont="1" applyFill="1" applyBorder="1"/>
    <xf numFmtId="0" fontId="10" fillId="3" borderId="6" xfId="0" applyFont="1" applyFill="1" applyBorder="1"/>
    <xf numFmtId="0" fontId="7" fillId="4" borderId="3" xfId="0" applyFont="1" applyFill="1" applyBorder="1" applyAlignment="1">
      <alignment horizontal="left"/>
    </xf>
    <xf numFmtId="0" fontId="7" fillId="4" borderId="7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5" fillId="0" borderId="3" xfId="0" applyFont="1" applyBorder="1" applyAlignment="1">
      <alignment horizontal="left"/>
    </xf>
    <xf numFmtId="0" fontId="10" fillId="3" borderId="4" xfId="0" applyFont="1" applyFill="1" applyBorder="1"/>
    <xf numFmtId="0" fontId="5" fillId="0" borderId="3" xfId="0" applyFont="1" applyBorder="1"/>
    <xf numFmtId="0" fontId="0" fillId="0" borderId="7" xfId="0" applyBorder="1"/>
    <xf numFmtId="0" fontId="0" fillId="0" borderId="6" xfId="0" applyBorder="1"/>
    <xf numFmtId="0" fontId="5" fillId="0" borderId="7" xfId="0" applyFont="1" applyBorder="1"/>
    <xf numFmtId="0" fontId="5" fillId="0" borderId="5" xfId="0" applyFont="1" applyBorder="1"/>
    <xf numFmtId="0" fontId="5" fillId="0" borderId="6" xfId="0" applyFont="1" applyBorder="1"/>
    <xf numFmtId="0" fontId="6" fillId="0" borderId="7" xfId="1" applyFont="1" applyBorder="1"/>
    <xf numFmtId="0" fontId="6" fillId="0" borderId="6" xfId="1" applyFont="1" applyBorder="1"/>
    <xf numFmtId="0" fontId="7" fillId="4" borderId="5" xfId="0" applyFont="1" applyFill="1" applyBorder="1" applyAlignment="1">
      <alignment horizontal="left"/>
    </xf>
    <xf numFmtId="0" fontId="7" fillId="4" borderId="6" xfId="0" applyFont="1" applyFill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10" fillId="3" borderId="3" xfId="0" applyFont="1" applyFill="1" applyBorder="1"/>
    <xf numFmtId="0" fontId="0" fillId="0" borderId="3" xfId="0" applyBorder="1"/>
  </cellXfs>
  <cellStyles count="2">
    <cellStyle name="Hyperlink" xfId="1" builtinId="8"/>
    <cellStyle name="Normal" xfId="0" builtinId="0"/>
  </cellStyles>
  <dxfs count="425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/>
    </dxf>
    <dxf>
      <alignment horizontal="left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/>
    </dxf>
    <dxf>
      <alignment horizontal="left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/>
    </dxf>
    <dxf>
      <alignment horizontal="left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/>
    </dxf>
    <dxf>
      <alignment horizontal="left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/>
    </dxf>
    <dxf>
      <alignment horizontal="left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/>
    </dxf>
    <dxf>
      <alignment horizontal="left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DDC364-B6F4-40C8-8FAB-9A9E0F20D061}" name="Table1" displayName="Table1" ref="C33:S362" totalsRowShown="0" headerRowDxfId="424" dataDxfId="423">
  <autoFilter ref="C33:S362" xr:uid="{1BDDC364-B6F4-40C8-8FAB-9A9E0F20D061}"/>
  <tableColumns count="17">
    <tableColumn id="1" xr3:uid="{F6D36431-43B2-41CD-89E6-FE6EEE3B4A63}" name="Record ID" dataDxfId="422"/>
    <tableColumn id="2" xr3:uid="{51BF50A0-BED9-44B1-9E0F-3CC0D9D04DB2}" name="Observations" dataDxfId="421"/>
    <tableColumn id="3" xr3:uid="{97122E4E-B500-400E-A287-754D46477C85}" name="Country" dataDxfId="420"/>
    <tableColumn id="4" xr3:uid="{52EBF8CB-AC85-4584-BB83-CA69A89D8C3A}" name="Type" dataDxfId="419"/>
    <tableColumn id="5" xr3:uid="{A792682F-404D-40E0-8E92-AA79EFDC9791}" name="Treated_Alcohol" dataDxfId="418"/>
    <tableColumn id="6" xr3:uid="{A0788C59-1085-4A9D-BD20-3D0E7BD82827}" name="Treated_Malic_Acid" dataDxfId="417"/>
    <tableColumn id="7" xr3:uid="{9A3BFE2B-E920-448E-9841-10BF197C48DD}" name="Treated_Ash" dataDxfId="416"/>
    <tableColumn id="8" xr3:uid="{DD475629-EEBD-4CA5-83BE-D094399B7C19}" name="Treated_Ash_Alcalinity" dataDxfId="415"/>
    <tableColumn id="9" xr3:uid="{80B9A903-EA35-4632-9E60-4FB6D6FF8CCD}" name="Treated_Magnesium" dataDxfId="414"/>
    <tableColumn id="10" xr3:uid="{A2FBE93E-9867-4879-922F-200D7F37F11B}" name="Treated_Total_Phenols" dataDxfId="413"/>
    <tableColumn id="11" xr3:uid="{C5F27DA8-58D7-48EC-873B-237B115E4144}" name="Treated_Flavanoids" dataDxfId="412"/>
    <tableColumn id="12" xr3:uid="{CB1BE41D-D6A5-464B-A3E5-02805A9CFFFA}" name="Treated_Nonflavanoid_Phenols" dataDxfId="411"/>
    <tableColumn id="13" xr3:uid="{462E064E-C8C4-45D4-B1A9-E75EE9C80AA8}" name="Treated_Proanthocyanins" dataDxfId="410"/>
    <tableColumn id="14" xr3:uid="{E30BF9EC-94A3-4A0E-930D-5CFEB194B9EE}" name="Treated_Color_Intensity" dataDxfId="409"/>
    <tableColumn id="15" xr3:uid="{60FB9C82-35C5-43D1-9D00-A4AA2EBA6BD3}" name="Treated_Hue" dataDxfId="408"/>
    <tableColumn id="16" xr3:uid="{1A79BD96-C904-4720-8ABF-4C90A274CFB4}" name="Treated_OD280_OD315" dataDxfId="407"/>
    <tableColumn id="17" xr3:uid="{81661E6E-5B62-4976-83B5-6CF26A0F3D16}" name="Treated_Proline" dataDxfId="406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CE267C08-784F-4575-9CB0-230C8FD38C06}" name="Table85" displayName="Table85" ref="C30:D32" totalsRowShown="0">
  <autoFilter ref="C30:D32" xr:uid="{CE267C08-784F-4575-9CB0-230C8FD38C06}"/>
  <tableColumns count="2">
    <tableColumn id="1" xr3:uid="{6D885780-5107-4763-8AE7-F8E72C0AA920}" name="Partition" dataDxfId="405"/>
    <tableColumn id="2" xr3:uid="{8F382F69-4091-4D2C-920A-878EB65C2BC4}" name="# Records"/>
  </tableColumns>
  <tableStyleInfo name="TableStyleMedium9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E85EFFBD-458A-40E6-B235-1048FD024CCB}" name="Table86" displayName="Table86" ref="C36:Q365" totalsRowShown="0" dataDxfId="404">
  <autoFilter ref="C36:Q365" xr:uid="{E85EFFBD-458A-40E6-B235-1048FD024CCB}"/>
  <tableColumns count="15">
    <tableColumn id="1" xr3:uid="{1E7E1439-3496-44BF-996E-BC4F58D5FACE}" name="Record ID" dataDxfId="403"/>
    <tableColumn id="2" xr3:uid="{2A6E0FF4-2632-4CE2-B548-E623CB1BC46C}" name="Type" dataDxfId="402"/>
    <tableColumn id="3" xr3:uid="{33AB22DD-D663-413D-85C1-782336192B91}" name="Treated_Alcohol" dataDxfId="401"/>
    <tableColumn id="4" xr3:uid="{CA996B52-EA05-4D9D-89A9-330CAAAA7AB5}" name="Treated_Malic_Acid" dataDxfId="400"/>
    <tableColumn id="5" xr3:uid="{D60EF8FC-F86E-4840-BF2A-116635C55C21}" name="Treated_Ash" dataDxfId="399"/>
    <tableColumn id="6" xr3:uid="{BFDC1ECE-8B8D-45DD-810D-972BF203D22F}" name="Treated_Ash_Alcalinity" dataDxfId="398"/>
    <tableColumn id="7" xr3:uid="{6DAAF042-84FB-4F6E-A93D-D644E29B1021}" name="Treated_Magnesium" dataDxfId="397"/>
    <tableColumn id="8" xr3:uid="{F87FF7D6-78F4-4E67-9AC0-FDB23189A70F}" name="Treated_Total_Phenols" dataDxfId="396"/>
    <tableColumn id="9" xr3:uid="{DCDC5DED-A541-4B44-9F77-85C809BC5B99}" name="Treated_Flavanoids" dataDxfId="395"/>
    <tableColumn id="10" xr3:uid="{EC040C89-5325-48CF-BFC5-F2FCB68ACBB3}" name="Treated_Nonflavanoid_Phenols" dataDxfId="394"/>
    <tableColumn id="11" xr3:uid="{07D20E17-1B71-4606-ADA7-5E6D5F26D02B}" name="Treated_Proanthocyanins" dataDxfId="393"/>
    <tableColumn id="12" xr3:uid="{C1A7457D-14FB-4D20-B895-CBECA3BBBF86}" name="Treated_Color_Intensity" dataDxfId="392"/>
    <tableColumn id="13" xr3:uid="{2D952EA7-BAC0-4E20-95B9-569685B52027}" name="Treated_Hue" dataDxfId="391"/>
    <tableColumn id="14" xr3:uid="{3952A102-B39C-4067-83FA-D88B1136CA3A}" name="Treated_OD280_OD315" dataDxfId="390"/>
    <tableColumn id="15" xr3:uid="{91D2DFBF-4B1F-4806-9E46-6C7B714EA277}" name="Treated_Proline" dataDxfId="389"/>
  </tableColumns>
  <tableStyleInfo name="TableStyleMedium9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AA3D6CC1-2871-4488-AA4D-7C0348584099}" name="Table96" displayName="Table96" ref="C53:D62" totalsRowShown="0">
  <autoFilter ref="C53:D62" xr:uid="{AA3D6CC1-2871-4488-AA4D-7C0348584099}"/>
  <tableColumns count="2">
    <tableColumn id="1" xr3:uid="{19C29BFB-8DE2-4A04-96F2-D788C9BD0644}" name="# Decision Nodes" dataDxfId="388"/>
    <tableColumn id="2" xr3:uid="{F1211FD5-2C49-43EF-A497-0E050C41BD5B}" name="Error Rate"/>
  </tableColumns>
  <tableStyleInfo name="TableStyleMedium9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226B6911-C8AB-437D-99BF-0BAEA03B37CD}" name="Table97" displayName="Table97" ref="G53:H62" totalsRowShown="0">
  <autoFilter ref="G53:H62" xr:uid="{226B6911-C8AB-437D-99BF-0BAEA03B37CD}"/>
  <tableColumns count="2">
    <tableColumn id="1" xr3:uid="{49C63422-0069-47BC-A827-A6CC707C02D6}" name="# Decision Nodes" dataDxfId="387"/>
    <tableColumn id="2" xr3:uid="{C36DBD78-5321-4929-AB2E-AF7CA266F1C0}" name="Error Rate"/>
  </tableColumns>
  <tableStyleInfo name="TableStyleMedium9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F94372EB-1DF1-43C9-BCE9-9BBD3C37DCD4}" name="Table98" displayName="Table98" ref="C67:D80" totalsRowShown="0">
  <autoFilter ref="C67:D80" xr:uid="{F94372EB-1DF1-43C9-BCE9-9BBD3C37DCD4}"/>
  <tableColumns count="2">
    <tableColumn id="1" xr3:uid="{B6C5A142-57B2-496A-AFF4-1D71F86D289F}" name="Feature" dataDxfId="386"/>
    <tableColumn id="2" xr3:uid="{1DB76C64-1B1A-43DF-882F-1996F173D3FA}" name="Importance"/>
  </tableColumns>
  <tableStyleInfo name="TableStyleMedium9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08F476F-329B-42E5-8C10-B2C5DC37A25E}" name="Table95" displayName="Table95" ref="C12:L29" totalsRowShown="0" dataDxfId="385">
  <autoFilter ref="C12:L29" xr:uid="{208F476F-329B-42E5-8C10-B2C5DC37A25E}"/>
  <tableColumns count="10">
    <tableColumn id="1" xr3:uid="{7BD7A08F-E208-4D7A-B5FF-F7B658706472}" name="Node ID" dataDxfId="384"/>
    <tableColumn id="2" xr3:uid="{BF048BF7-D279-423D-8F24-27B715B5EF97}" name="Parent ID" dataDxfId="383"/>
    <tableColumn id="3" xr3:uid="{49D679F5-43DE-4448-9111-A69A17161480}" name="Left Child ID" dataDxfId="382">
      <calculatedColumnFormula>NA()</calculatedColumnFormula>
    </tableColumn>
    <tableColumn id="4" xr3:uid="{C378D465-3008-4540-86C9-9CD42FC3BA31}" name="Right Child ID" dataDxfId="381">
      <calculatedColumnFormula>NA()</calculatedColumnFormula>
    </tableColumn>
    <tableColumn id="5" xr3:uid="{B7247B2F-1F5D-4FA9-BF61-43212E293C4F}" name="Split Var" dataDxfId="380">
      <calculatedColumnFormula>NA()</calculatedColumnFormula>
    </tableColumn>
    <tableColumn id="6" xr3:uid="{BA1DB1C9-B930-4956-96B4-15E1B669481A}" name="Split Value/Set" dataDxfId="379">
      <calculatedColumnFormula>NA()</calculatedColumnFormula>
    </tableColumn>
    <tableColumn id="7" xr3:uid="{6FE097F6-087B-41B1-9F04-342B27C1F830}" name="Training Cases" dataDxfId="378"/>
    <tableColumn id="8" xr3:uid="{0EE2A071-F5A0-44A7-AF6A-D3ADFC80F1DF}" name="Validation Cases" dataDxfId="377"/>
    <tableColumn id="9" xr3:uid="{FF549DA9-AB6C-48F1-9AD2-568FA73D44C4}" name="Response" dataDxfId="376"/>
    <tableColumn id="10" xr3:uid="{34C76AE5-34D3-49E3-884C-DB562B2D0295}" name="Node Type"/>
  </tableColumns>
  <tableStyleInfo name="TableStyleMedium9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E4657805-9D8A-448A-A51A-FA6956445AB4}" name="Table94" displayName="Table94" ref="C12:L21" totalsRowShown="0" dataDxfId="375">
  <autoFilter ref="C12:L21" xr:uid="{E4657805-9D8A-448A-A51A-FA6956445AB4}"/>
  <tableColumns count="10">
    <tableColumn id="1" xr3:uid="{AA84ACF5-12AD-47C9-8D63-DA4951CB9C4B}" name="Node ID" dataDxfId="374"/>
    <tableColumn id="2" xr3:uid="{D9191E3B-40D5-454E-8486-8B87056115B3}" name="Parent ID" dataDxfId="373"/>
    <tableColumn id="3" xr3:uid="{CC209CAB-0A55-49C5-9620-B30D4B317F2D}" name="Left Child ID" dataDxfId="372">
      <calculatedColumnFormula>NA()</calculatedColumnFormula>
    </tableColumn>
    <tableColumn id="4" xr3:uid="{D3A3A943-611A-42D1-8BBA-61849138B308}" name="Right Child ID" dataDxfId="371">
      <calculatedColumnFormula>NA()</calculatedColumnFormula>
    </tableColumn>
    <tableColumn id="5" xr3:uid="{2C6007A6-7890-48BF-AD72-6E038D089FDB}" name="Split Var" dataDxfId="370">
      <calculatedColumnFormula>NA()</calculatedColumnFormula>
    </tableColumn>
    <tableColumn id="6" xr3:uid="{A33ACE3E-8A46-4D7E-AFDD-792550694DB9}" name="Split Value/Set" dataDxfId="369">
      <calculatedColumnFormula>NA()</calculatedColumnFormula>
    </tableColumn>
    <tableColumn id="7" xr3:uid="{EA7A8984-A27D-408D-A5FC-E79C77C90FA7}" name="Training Cases" dataDxfId="368"/>
    <tableColumn id="8" xr3:uid="{820051C7-65EC-4FD2-9A48-B1011C2D09B0}" name="Validation Cases" dataDxfId="367"/>
    <tableColumn id="9" xr3:uid="{9CEE7905-6E09-46D4-A276-4EFC62DA3DCA}" name="Response" dataDxfId="366"/>
    <tableColumn id="10" xr3:uid="{BD0AD577-6718-4A61-B1AA-B198C771BB7A}" name="Node Type"/>
  </tableColumns>
  <tableStyleInfo name="TableStyleMedium9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BCAB02B5-AD6C-4B04-9148-A39D9309B092}" name="Table93" displayName="Table93" ref="C12:L25" totalsRowShown="0" dataDxfId="365">
  <autoFilter ref="C12:L25" xr:uid="{BCAB02B5-AD6C-4B04-9148-A39D9309B092}"/>
  <tableColumns count="10">
    <tableColumn id="1" xr3:uid="{1412000E-4731-4F57-8CF2-F37D8A7645E6}" name="Node ID" dataDxfId="364"/>
    <tableColumn id="2" xr3:uid="{67BEC186-488D-4211-8104-29D4BB5B44CC}" name="Parent ID" dataDxfId="363"/>
    <tableColumn id="3" xr3:uid="{768FB7B3-9D50-4EEA-B75D-A0688CEEE6C7}" name="Left Child ID" dataDxfId="362">
      <calculatedColumnFormula>NA()</calculatedColumnFormula>
    </tableColumn>
    <tableColumn id="4" xr3:uid="{D7014631-BDDF-4CA3-B386-471E1D77577A}" name="Right Child ID" dataDxfId="361">
      <calculatedColumnFormula>NA()</calculatedColumnFormula>
    </tableColumn>
    <tableColumn id="5" xr3:uid="{023F2F3A-C57B-400C-932A-CE25D22190D2}" name="Split Var" dataDxfId="360">
      <calculatedColumnFormula>NA()</calculatedColumnFormula>
    </tableColumn>
    <tableColumn id="6" xr3:uid="{68426957-226E-45DB-A5EC-D8C77A4D31B7}" name="Split Value/Set" dataDxfId="359">
      <calculatedColumnFormula>NA()</calculatedColumnFormula>
    </tableColumn>
    <tableColumn id="7" xr3:uid="{28BE54B3-3FAB-411A-BF4B-13CC03806159}" name="Training Cases" dataDxfId="358"/>
    <tableColumn id="8" xr3:uid="{CFA0308C-C5C8-4914-AFBC-464E10AE38D5}" name="Validation Cases" dataDxfId="357"/>
    <tableColumn id="9" xr3:uid="{730E69FD-07CB-4A60-8E6D-D9F81390A8B9}" name="Response" dataDxfId="356"/>
    <tableColumn id="10" xr3:uid="{E01C203D-0B03-49CE-9591-7F0D4D37ACA5}" name="Node Type"/>
  </tableColumns>
  <tableStyleInfo name="TableStyleMedium9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952F24E-D2F5-4796-9F59-C4C317B59A8C}" name="Table90" displayName="Table90" ref="C13:F16" totalsRowShown="0" tableBorderDxfId="355">
  <autoFilter ref="C13:F16" xr:uid="{0952F24E-D2F5-4796-9F59-C4C317B59A8C}"/>
  <tableColumns count="4">
    <tableColumn id="1" xr3:uid="{AAD24E71-CCDA-46DB-96EF-5D3DB268C980}" name="Actual\Predicted" dataDxfId="354"/>
    <tableColumn id="2" xr3:uid="{839B0BC3-7826-461E-B995-F8D508368C52}" name="A" dataDxfId="353"/>
    <tableColumn id="3" xr3:uid="{53936A3B-F37C-4858-BC9F-F26815ADC5A0}" name="B" dataDxfId="352"/>
    <tableColumn id="4" xr3:uid="{8E374BB5-0619-45B9-86D4-4DC86F15A5AD}" name="C"/>
  </tableColumns>
  <tableStyleInfo name="TableStyleMedium9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A5C80C3C-B664-42D4-A2DC-E91A8EB3D6B0}" name="Table91" displayName="Table91" ref="C19:F23" totalsRowShown="0" tableBorderDxfId="351">
  <autoFilter ref="C19:F23" xr:uid="{A5C80C3C-B664-42D4-A2DC-E91A8EB3D6B0}"/>
  <tableColumns count="4">
    <tableColumn id="1" xr3:uid="{44062C75-F034-4E91-A7E8-0F654F58F7B0}" name="Class" dataDxfId="350"/>
    <tableColumn id="2" xr3:uid="{52D60F3B-5073-41B1-9A73-6E94D562A1F1}" name="# Cases"/>
    <tableColumn id="3" xr3:uid="{25DB6C61-8638-4607-BF76-18147D0C9CFB}" name="# Errors"/>
    <tableColumn id="4" xr3:uid="{BC098C76-A780-4728-9930-EC5B84FE3C0C}" name="% Error"/>
  </tableColumns>
  <tableStyleInfo name="TableStyleMedium9"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9462CA15-7F91-4161-99A5-4E3A009439CF}" name="Table92" displayName="Table92" ref="C26:D28" totalsRowShown="0" tableBorderDxfId="349">
  <autoFilter ref="C26:D28" xr:uid="{9462CA15-7F91-4161-99A5-4E3A009439CF}"/>
  <tableColumns count="2">
    <tableColumn id="1" xr3:uid="{3A37DBC4-88DE-4C3F-A5AA-D23EE992E96B}" name="Metric"/>
    <tableColumn id="2" xr3:uid="{35F53015-BF73-4D14-A8FF-A134FEB58D62}" name="Value"/>
  </tableColumns>
  <tableStyleInfo name="TableStyleMedium9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416783A2-FC59-4AE7-91F7-7B723C533D77}" name="Table87" displayName="Table87" ref="C13:F16" totalsRowShown="0" tableBorderDxfId="348">
  <autoFilter ref="C13:F16" xr:uid="{416783A2-FC59-4AE7-91F7-7B723C533D77}"/>
  <tableColumns count="4">
    <tableColumn id="1" xr3:uid="{4367F9F3-5CF5-44DB-9930-92345FB8D5FD}" name="Actual\Predicted" dataDxfId="347"/>
    <tableColumn id="2" xr3:uid="{2166A86F-5AED-44C3-B8DF-AF8041DFB836}" name="A" dataDxfId="346"/>
    <tableColumn id="3" xr3:uid="{ECA15E4A-81F1-4A7F-A824-74D335FE3F6F}" name="B" dataDxfId="345"/>
    <tableColumn id="4" xr3:uid="{13FB1579-50F8-4106-A374-13294432C8E7}" name="C"/>
  </tableColumns>
  <tableStyleInfo name="TableStyleMedium9"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AFD136D5-1A0F-4FC1-9675-0C2EFD6B5F8D}" name="Table88" displayName="Table88" ref="C19:F23" totalsRowShown="0" tableBorderDxfId="344">
  <autoFilter ref="C19:F23" xr:uid="{AFD136D5-1A0F-4FC1-9675-0C2EFD6B5F8D}"/>
  <tableColumns count="4">
    <tableColumn id="1" xr3:uid="{B47F0C2A-9CBA-4809-8098-FE6CA0A1E8EC}" name="Class" dataDxfId="343"/>
    <tableColumn id="2" xr3:uid="{76CDBF26-7D33-4123-B0D2-822099876A1B}" name="# Cases"/>
    <tableColumn id="3" xr3:uid="{52500CFC-2703-48E7-B16B-431539F12C28}" name="# Errors"/>
    <tableColumn id="4" xr3:uid="{3BFD060B-C899-44CE-AD14-7621D35A06E0}" name="% Error"/>
  </tableColumns>
  <tableStyleInfo name="TableStyleMedium9"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6BB50315-F8B6-476A-98A9-2448B8FC1EBF}" name="Table89" displayName="Table89" ref="C26:D28" totalsRowShown="0" tableBorderDxfId="342">
  <autoFilter ref="C26:D28" xr:uid="{6BB50315-F8B6-476A-98A9-2448B8FC1EBF}"/>
  <tableColumns count="2">
    <tableColumn id="1" xr3:uid="{9F1EDA2D-E894-4BCE-960E-754EFBA3B6F1}" name="Metric"/>
    <tableColumn id="2" xr3:uid="{065E5928-1E24-4A3F-A544-F635BB06FD19}" name="Value"/>
  </tableColumns>
  <tableStyleInfo name="TableStyleMedium9"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6FBE878-5FA7-47BA-97E4-E09B8F69CF90}" name="Table70" displayName="Table70" ref="C30:D32" totalsRowShown="0">
  <autoFilter ref="C30:D32" xr:uid="{C6FBE878-5FA7-47BA-97E4-E09B8F69CF90}"/>
  <tableColumns count="2">
    <tableColumn id="1" xr3:uid="{E9CDE6B2-10F5-4D45-8BAF-EACDEA11B206}" name="Partition" dataDxfId="341"/>
    <tableColumn id="2" xr3:uid="{7352E429-2EEE-4E73-A88D-20414D9A4914}" name="# Records"/>
  </tableColumns>
  <tableStyleInfo name="TableStyleMedium9"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DF294F91-95E5-4AF2-82D9-5E572A13AF5F}" name="Table71" displayName="Table71" ref="C36:Q365" totalsRowShown="0" dataDxfId="340">
  <autoFilter ref="C36:Q365" xr:uid="{DF294F91-95E5-4AF2-82D9-5E572A13AF5F}"/>
  <tableColumns count="15">
    <tableColumn id="1" xr3:uid="{DCD2F031-EE66-49F1-87F7-E9C8937E760C}" name="Record ID" dataDxfId="339"/>
    <tableColumn id="2" xr3:uid="{9AD95999-3D11-464D-9C78-31CAC0750617}" name="Type" dataDxfId="338"/>
    <tableColumn id="3" xr3:uid="{BD6244AC-9C7B-40C2-83B0-131DFAECC39F}" name="Treated_Alcohol" dataDxfId="337"/>
    <tableColumn id="4" xr3:uid="{3C7EBA27-3A14-4266-8677-64E33AC36892}" name="Treated_Malic_Acid" dataDxfId="336"/>
    <tableColumn id="5" xr3:uid="{E522BF5A-98A0-4D67-B9E4-180BE30B5AB6}" name="Treated_Ash" dataDxfId="335"/>
    <tableColumn id="6" xr3:uid="{098ADCE5-F84A-44BD-AA6A-8B45F2C802CC}" name="Treated_Ash_Alcalinity" dataDxfId="334"/>
    <tableColumn id="7" xr3:uid="{75125A0C-386A-4B6B-B00D-C59F6175F7F8}" name="Treated_Magnesium" dataDxfId="333"/>
    <tableColumn id="8" xr3:uid="{B2BB4824-E362-44CB-B1FF-DBBF68C914BE}" name="Treated_Total_Phenols" dataDxfId="332"/>
    <tableColumn id="9" xr3:uid="{F260E3C3-6BEC-4187-85F0-654A351D56AD}" name="Treated_Flavanoids" dataDxfId="331"/>
    <tableColumn id="10" xr3:uid="{8D2CF151-E5F1-4B19-85B2-ABE2F10E68C7}" name="Treated_Nonflavanoid_Phenols" dataDxfId="330"/>
    <tableColumn id="11" xr3:uid="{69D078E1-CC3E-499D-B8FB-329B9A66C149}" name="Treated_Proanthocyanins" dataDxfId="329"/>
    <tableColumn id="12" xr3:uid="{A4ED74BD-BA6F-4AC3-B36E-6BE370D5580F}" name="Treated_Color_Intensity" dataDxfId="328"/>
    <tableColumn id="13" xr3:uid="{E464AE5C-5570-48A7-876D-F1B5CA00701C}" name="Treated_Hue" dataDxfId="327"/>
    <tableColumn id="14" xr3:uid="{5E898841-D9CF-4BE6-8573-5946D46E408A}" name="Treated_OD280_OD315" dataDxfId="326"/>
    <tableColumn id="15" xr3:uid="{F1FAA138-0A04-4E74-8A78-E201577B72DF}" name="Treated_Proline" dataDxfId="325"/>
  </tableColumns>
  <tableStyleInfo name="TableStyleMedium9"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594612D0-1429-4B42-91DC-6C98556E19E6}" name="Table82" displayName="Table82" ref="C53:D64" totalsRowShown="0">
  <autoFilter ref="C53:D64" xr:uid="{594612D0-1429-4B42-91DC-6C98556E19E6}"/>
  <tableColumns count="2">
    <tableColumn id="1" xr3:uid="{AF6F7D73-1A8A-47A0-8CDB-4AEE578AEB33}" name="# Decision Nodes" dataDxfId="324"/>
    <tableColumn id="2" xr3:uid="{48461378-3037-42D0-B16D-5B67E927EF6A}" name="Error Rate"/>
  </tableColumns>
  <tableStyleInfo name="TableStyleMedium9"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6FBF38B9-06BB-429A-800C-0A746A50FDE3}" name="Table83" displayName="Table83" ref="G53:H64" totalsRowShown="0">
  <autoFilter ref="G53:H64" xr:uid="{6FBF38B9-06BB-429A-800C-0A746A50FDE3}"/>
  <tableColumns count="2">
    <tableColumn id="1" xr3:uid="{D41B7790-1D71-4A3F-9EDD-D5103E23648E}" name="# Decision Nodes" dataDxfId="323"/>
    <tableColumn id="2" xr3:uid="{AC3AAA20-DA26-4121-9D54-A73198A33871}" name="Error Rate"/>
  </tableColumns>
  <tableStyleInfo name="TableStyleMedium9"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7E452F77-5DA3-44B8-8428-331C8A80D887}" name="Table84" displayName="Table84" ref="C69:D82" totalsRowShown="0">
  <autoFilter ref="C69:D82" xr:uid="{7E452F77-5DA3-44B8-8428-331C8A80D887}"/>
  <tableColumns count="2">
    <tableColumn id="1" xr3:uid="{D763EF05-0B25-4D2D-8B0F-2299FD03381F}" name="Feature" dataDxfId="322"/>
    <tableColumn id="2" xr3:uid="{B73DCE6C-C25A-4F73-A244-7531C11A3984}" name="Importance"/>
  </tableColumns>
  <tableStyleInfo name="TableStyleMedium9"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3D2CC2C7-6C39-4DE3-8094-C245974BDBAC}" name="Table81" displayName="Table81" ref="C12:L33" totalsRowShown="0" dataDxfId="321">
  <autoFilter ref="C12:L33" xr:uid="{3D2CC2C7-6C39-4DE3-8094-C245974BDBAC}"/>
  <tableColumns count="10">
    <tableColumn id="1" xr3:uid="{ED4C20F9-5F68-4814-AA7E-5494181918CD}" name="Node ID" dataDxfId="320"/>
    <tableColumn id="2" xr3:uid="{F0E96DD1-B68B-455B-9363-2BAE80DF92F2}" name="Parent ID" dataDxfId="319"/>
    <tableColumn id="3" xr3:uid="{44FCCD0A-AB45-43C7-BB22-B0FCE8D4F56B}" name="Left Child ID" dataDxfId="318"/>
    <tableColumn id="4" xr3:uid="{771D3AFE-145D-48A5-A110-F1DD4F7CAB77}" name="Right Child ID" dataDxfId="317"/>
    <tableColumn id="5" xr3:uid="{FD5FE7DF-0298-47F3-BCE2-76222E6E11B0}" name="Split Var" dataDxfId="316"/>
    <tableColumn id="6" xr3:uid="{B9BBF098-C104-4947-84DE-52E5A5182A28}" name="Split Value/Set" dataDxfId="315"/>
    <tableColumn id="7" xr3:uid="{9298FE2B-B840-47A3-8F1C-D18109A5EC51}" name="Training Cases" dataDxfId="314"/>
    <tableColumn id="8" xr3:uid="{19611D88-0172-4647-BE9F-4C60128CAFDF}" name="Validation Cases" dataDxfId="313"/>
    <tableColumn id="9" xr3:uid="{2C82B4D1-D33D-4311-90AD-0697F2C25C14}" name="Response" dataDxfId="312"/>
    <tableColumn id="10" xr3:uid="{5601CDBB-AF00-4304-AB15-CEAAF68936A8}" name="Node Type"/>
  </tableColumns>
  <tableStyleInfo name="TableStyleMedium9"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D90A7D60-CD77-47BD-8747-358F1EE46BAE}" name="Table80" displayName="Table80" ref="C12:L33" totalsRowShown="0" dataDxfId="311">
  <autoFilter ref="C12:L33" xr:uid="{D90A7D60-CD77-47BD-8747-358F1EE46BAE}"/>
  <tableColumns count="10">
    <tableColumn id="1" xr3:uid="{6B445E26-28F7-4A95-B916-575399563159}" name="Node ID" dataDxfId="310"/>
    <tableColumn id="2" xr3:uid="{50E83DC1-A55F-465D-85F3-DDF2D59C9C0D}" name="Parent ID" dataDxfId="309"/>
    <tableColumn id="3" xr3:uid="{D0D2176C-3C9A-4CCB-A0E3-F4A117A5ACF2}" name="Left Child ID" dataDxfId="308"/>
    <tableColumn id="4" xr3:uid="{87FE02B5-E55D-4752-8389-0452B2BBCAD6}" name="Right Child ID" dataDxfId="307"/>
    <tableColumn id="5" xr3:uid="{694F47F0-F2D1-4ADC-A358-BD250A9BC228}" name="Split Var" dataDxfId="306"/>
    <tableColumn id="6" xr3:uid="{A118BC83-40A8-4FC8-991B-E7B42FDC0039}" name="Split Value/Set" dataDxfId="305"/>
    <tableColumn id="7" xr3:uid="{DAE58126-5CF3-4CB9-8E19-D7036554743E}" name="Training Cases" dataDxfId="304"/>
    <tableColumn id="8" xr3:uid="{B1D46FC1-2AD1-498F-96EC-41FFC61F5701}" name="Validation Cases" dataDxfId="303"/>
    <tableColumn id="9" xr3:uid="{A06C3D01-7EB1-4FF5-B21A-4B7BE42EFA2D}" name="Response" dataDxfId="302"/>
    <tableColumn id="10" xr3:uid="{C1CC6EA4-938A-41CD-8F96-FB14B9E8DAD5}" name="Node Type"/>
  </tableColumns>
  <tableStyleInfo name="TableStyleMedium9"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DC2A154D-CA20-4F83-8DA9-93E01F4FA199}" name="Table79" displayName="Table79" ref="C12:L33" totalsRowShown="0" dataDxfId="301">
  <autoFilter ref="C12:L33" xr:uid="{DC2A154D-CA20-4F83-8DA9-93E01F4FA199}"/>
  <tableColumns count="10">
    <tableColumn id="1" xr3:uid="{1B538F75-1E53-450A-834F-2D8A8DA15035}" name="Node ID" dataDxfId="300"/>
    <tableColumn id="2" xr3:uid="{7FE58A86-D169-43EF-8778-C5E54AF907F4}" name="Parent ID" dataDxfId="299"/>
    <tableColumn id="3" xr3:uid="{AC642CD3-99CF-4E88-938A-4C52F1FDD3AA}" name="Left Child ID" dataDxfId="298"/>
    <tableColumn id="4" xr3:uid="{7F2F7721-6E04-4530-B91C-A9B59694F457}" name="Right Child ID" dataDxfId="297"/>
    <tableColumn id="5" xr3:uid="{56EF4F9F-3417-4B56-BF2B-45C762FEEDDC}" name="Split Var" dataDxfId="296"/>
    <tableColumn id="6" xr3:uid="{AA2552DD-9423-4E6C-B717-C62891757BFF}" name="Split Value/Set" dataDxfId="295"/>
    <tableColumn id="7" xr3:uid="{49D001DC-BA32-48E0-B9E5-0554DC47ED35}" name="Training Cases" dataDxfId="294"/>
    <tableColumn id="8" xr3:uid="{9A397D88-725E-4C38-B2AA-94426D64712B}" name="Validation Cases" dataDxfId="293"/>
    <tableColumn id="9" xr3:uid="{07B12E4B-DAEF-49FF-995E-57968DE2CB6C}" name="Response" dataDxfId="292"/>
    <tableColumn id="10" xr3:uid="{FA97A8B0-27D6-4562-A6CD-C6C934771167}" name="Node Type"/>
  </tableColumns>
  <tableStyleInfo name="TableStyleMedium9"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24989481-3771-4557-ABF0-A0545B58226F}" name="Table76" displayName="Table76" ref="C13:F16" totalsRowShown="0" tableBorderDxfId="291">
  <autoFilter ref="C13:F16" xr:uid="{24989481-3771-4557-ABF0-A0545B58226F}"/>
  <tableColumns count="4">
    <tableColumn id="1" xr3:uid="{39CCCAC7-0513-457C-B578-E3E35525D86E}" name="Actual\Predicted" dataDxfId="290"/>
    <tableColumn id="2" xr3:uid="{B064DF15-CC98-4E12-BC77-15443F05E7DD}" name="A" dataDxfId="289"/>
    <tableColumn id="3" xr3:uid="{87D71E3E-363D-4FD0-B245-F1C13CDDC365}" name="B" dataDxfId="288"/>
    <tableColumn id="4" xr3:uid="{6F18666B-43CF-44D0-AEAB-229C4AE91055}" name="C"/>
  </tableColumns>
  <tableStyleInfo name="TableStyleMedium9"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75AD0BA1-94BD-4ACE-AA03-795925F6B6E3}" name="Table77" displayName="Table77" ref="C19:F23" totalsRowShown="0" tableBorderDxfId="287">
  <autoFilter ref="C19:F23" xr:uid="{75AD0BA1-94BD-4ACE-AA03-795925F6B6E3}"/>
  <tableColumns count="4">
    <tableColumn id="1" xr3:uid="{07339E18-F2F1-465C-8BA0-89AD590E823F}" name="Class" dataDxfId="286"/>
    <tableColumn id="2" xr3:uid="{93B84D3F-26FB-48AC-A35C-71998EFB1204}" name="# Cases"/>
    <tableColumn id="3" xr3:uid="{C7A868A8-F39B-4E66-BFCF-1B9C021E289A}" name="# Errors"/>
    <tableColumn id="4" xr3:uid="{E9EC066D-E983-4BF6-A178-70BE431BAAF7}" name="% Error"/>
  </tableColumns>
  <tableStyleInfo name="TableStyleMedium9"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1D929540-FE25-4FE6-896E-EBCD4E643281}" name="Table78" displayName="Table78" ref="C26:D28" totalsRowShown="0" tableBorderDxfId="285">
  <autoFilter ref="C26:D28" xr:uid="{1D929540-FE25-4FE6-896E-EBCD4E643281}"/>
  <tableColumns count="2">
    <tableColumn id="1" xr3:uid="{B65D777A-AB79-425D-889C-68AE50B228E1}" name="Metric"/>
    <tableColumn id="2" xr3:uid="{0EF533C1-0AD0-4469-BFBF-7DC039689B7C}" name="Value"/>
  </tableColumns>
  <tableStyleInfo name="TableStyleMedium9"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E5D5B83B-0A12-4690-9251-3F8E5EB34BC8}" name="Table73" displayName="Table73" ref="C13:F16" totalsRowShown="0" tableBorderDxfId="284">
  <autoFilter ref="C13:F16" xr:uid="{E5D5B83B-0A12-4690-9251-3F8E5EB34BC8}"/>
  <tableColumns count="4">
    <tableColumn id="1" xr3:uid="{52CCF05F-1E85-40AC-B7C2-F2F9C1C53E2F}" name="Actual\Predicted" dataDxfId="283"/>
    <tableColumn id="2" xr3:uid="{28FEC55F-5D74-4A27-8993-68A0002D9584}" name="A" dataDxfId="282"/>
    <tableColumn id="3" xr3:uid="{C168C735-A1D6-4FFC-B346-299EC5C11B2B}" name="B" dataDxfId="281"/>
    <tableColumn id="4" xr3:uid="{324DA3D7-97BE-4E05-A7AE-C6C0997DC251}" name="C"/>
  </tableColumns>
  <tableStyleInfo name="TableStyleMedium9"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C4847D4F-3DF6-405A-9A6B-E8ED8E2422FE}" name="Table74" displayName="Table74" ref="C19:F23" totalsRowShown="0" tableBorderDxfId="280">
  <autoFilter ref="C19:F23" xr:uid="{C4847D4F-3DF6-405A-9A6B-E8ED8E2422FE}"/>
  <tableColumns count="4">
    <tableColumn id="1" xr3:uid="{80321B55-3785-45F9-B9BB-E903C5F27B5E}" name="Class" dataDxfId="279"/>
    <tableColumn id="2" xr3:uid="{EC10FB7B-21AE-4251-9BCE-7FA3F951CDC8}" name="# Cases"/>
    <tableColumn id="3" xr3:uid="{30A89827-E9DD-4F2C-A222-5CBFBEC0DE3B}" name="# Errors"/>
    <tableColumn id="4" xr3:uid="{AAEA3E5D-8090-493E-9069-EFF220A02ADE}" name="% Error"/>
  </tableColumns>
  <tableStyleInfo name="TableStyleMedium9"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2E27949E-305A-4092-B6D9-285431151ECA}" name="Table75" displayName="Table75" ref="C26:D28" totalsRowShown="0" tableBorderDxfId="278">
  <autoFilter ref="C26:D28" xr:uid="{2E27949E-305A-4092-B6D9-285431151ECA}"/>
  <tableColumns count="2">
    <tableColumn id="1" xr3:uid="{5C38315E-5F26-46F6-9DFA-ED4B7C2CC1FD}" name="Metric"/>
    <tableColumn id="2" xr3:uid="{D2B0299E-1687-4765-9A98-6CD1FD25A952}" name="Value"/>
  </tableColumns>
  <tableStyleInfo name="TableStyleMedium9"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DBC4316D-8664-40C1-9397-5CEE206B696B}" name="Table56" displayName="Table56" ref="C30:D32" totalsRowShown="0">
  <autoFilter ref="C30:D32" xr:uid="{DBC4316D-8664-40C1-9397-5CEE206B696B}"/>
  <tableColumns count="2">
    <tableColumn id="1" xr3:uid="{12E3618E-CE80-4A3A-BDDA-6CA80EFFEFE3}" name="Partition" dataDxfId="277"/>
    <tableColumn id="2" xr3:uid="{5804BD01-6A05-44E1-B4E9-3E1106F93521}" name="# Records"/>
  </tableColumns>
  <tableStyleInfo name="TableStyleMedium9"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86580B88-4354-495C-9466-35865D88353F}" name="Table57" displayName="Table57" ref="C36:Q365" totalsRowShown="0" dataDxfId="276">
  <autoFilter ref="C36:Q365" xr:uid="{86580B88-4354-495C-9466-35865D88353F}"/>
  <tableColumns count="15">
    <tableColumn id="1" xr3:uid="{5CE38EBF-A6D7-4EC8-B8AE-5B72E1001ABD}" name="Record ID" dataDxfId="275"/>
    <tableColumn id="2" xr3:uid="{5BABE8DA-A329-40C9-AAA6-70CCEDCDAD1C}" name="Type" dataDxfId="274"/>
    <tableColumn id="3" xr3:uid="{3ECCE637-6C38-400F-A339-F026DEBA6B0C}" name="Treated_Alcohol" dataDxfId="273"/>
    <tableColumn id="4" xr3:uid="{270C5470-D5F7-442A-BA42-751291442DD1}" name="Treated_Malic_Acid" dataDxfId="272"/>
    <tableColumn id="5" xr3:uid="{77E1DB9A-09EC-4527-A4B0-10705407B4A9}" name="Treated_Ash" dataDxfId="271"/>
    <tableColumn id="6" xr3:uid="{1BBD2A0C-C2D4-4B82-AB63-F1D80ADAFD66}" name="Treated_Ash_Alcalinity" dataDxfId="270"/>
    <tableColumn id="7" xr3:uid="{B8184262-46A6-49E6-AE74-2F739925CDA1}" name="Treated_Magnesium" dataDxfId="269"/>
    <tableColumn id="8" xr3:uid="{7194B903-456D-4F8C-9A89-CE36F1BF8511}" name="Treated_Total_Phenols" dataDxfId="268"/>
    <tableColumn id="9" xr3:uid="{5607EDBB-CBF4-427D-BABA-758BE5E10CE7}" name="Treated_Flavanoids" dataDxfId="267"/>
    <tableColumn id="10" xr3:uid="{AC9F54B0-F937-401E-8E43-F28D5C36C3A0}" name="Treated_Nonflavanoid_Phenols" dataDxfId="266"/>
    <tableColumn id="11" xr3:uid="{4FF59249-77CE-4C4B-B778-15A21F4907E8}" name="Treated_Proanthocyanins" dataDxfId="265"/>
    <tableColumn id="12" xr3:uid="{CB8BF64B-BF03-4F0B-AB4E-2C2E5E0474C2}" name="Treated_Color_Intensity" dataDxfId="264"/>
    <tableColumn id="13" xr3:uid="{A37020A8-D1FF-4F2F-ADF3-A4D1D805A250}" name="Treated_Hue" dataDxfId="263"/>
    <tableColumn id="14" xr3:uid="{CAAD5F12-A4CE-4091-B447-D5FDAD519A8B}" name="Treated_OD280_OD315" dataDxfId="262"/>
    <tableColumn id="15" xr3:uid="{1D133534-AB7F-4551-B252-E02F2E46D331}" name="Treated_Proline" dataDxfId="261"/>
  </tableColumns>
  <tableStyleInfo name="TableStyleMedium9"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7A870C97-B0B4-4631-A2D9-D15985049238}" name="Table67" displayName="Table67" ref="C53:D65" totalsRowShown="0">
  <autoFilter ref="C53:D65" xr:uid="{7A870C97-B0B4-4631-A2D9-D15985049238}"/>
  <tableColumns count="2">
    <tableColumn id="1" xr3:uid="{A697B72F-6EB8-4F5E-B5E3-73D5ECFB26BE}" name="# Decision Nodes" dataDxfId="260"/>
    <tableColumn id="2" xr3:uid="{ED178D25-B4DD-4597-B298-2332BCCD27AF}" name="Error Rate"/>
  </tableColumns>
  <tableStyleInfo name="TableStyleMedium9"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C7A3FE4E-A8A9-480F-912C-B8CC0BC423DA}" name="Table68" displayName="Table68" ref="G53:H65" totalsRowShown="0">
  <autoFilter ref="G53:H65" xr:uid="{C7A3FE4E-A8A9-480F-912C-B8CC0BC423DA}"/>
  <tableColumns count="2">
    <tableColumn id="1" xr3:uid="{EBDD2824-22D0-4990-B3E9-00D70BEFADF0}" name="# Decision Nodes" dataDxfId="259"/>
    <tableColumn id="2" xr3:uid="{465E5491-9F4D-4062-B316-B2CED2CFB580}" name="Error Rate"/>
  </tableColumns>
  <tableStyleInfo name="TableStyleMedium9"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432681B1-382E-45FA-93F6-BB43C10047EB}" name="Table69" displayName="Table69" ref="C70:D83" totalsRowShown="0">
  <autoFilter ref="C70:D83" xr:uid="{432681B1-382E-45FA-93F6-BB43C10047EB}"/>
  <tableColumns count="2">
    <tableColumn id="1" xr3:uid="{9EA0C251-361F-4EA8-BCEF-A34A41C8DEBF}" name="Feature" dataDxfId="258"/>
    <tableColumn id="2" xr3:uid="{72FD80DE-9F07-4EB8-A7E7-ACBD7FE9158E}" name="Importance"/>
  </tableColumns>
  <tableStyleInfo name="TableStyleMedium9"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42720F26-6260-42C4-A7C3-FD32AC63D805}" name="Table66" displayName="Table66" ref="C12:L33" totalsRowShown="0" dataDxfId="257">
  <autoFilter ref="C12:L33" xr:uid="{42720F26-6260-42C4-A7C3-FD32AC63D805}"/>
  <tableColumns count="10">
    <tableColumn id="1" xr3:uid="{A44C32D6-0278-446E-94BA-E4272B2639FD}" name="Node ID" dataDxfId="256"/>
    <tableColumn id="2" xr3:uid="{8CDB1B33-CAC6-4587-B70E-8383F589311D}" name="Parent ID" dataDxfId="255"/>
    <tableColumn id="3" xr3:uid="{9971EF4B-A64F-464E-B9B0-AFDD815A2B52}" name="Left Child ID" dataDxfId="254"/>
    <tableColumn id="4" xr3:uid="{A6E7BFA4-192E-44AE-8F0D-6D719E1F9CC3}" name="Right Child ID" dataDxfId="253"/>
    <tableColumn id="5" xr3:uid="{E904747D-E2BF-4AF7-AE71-9154D86C1616}" name="Split Var" dataDxfId="252"/>
    <tableColumn id="6" xr3:uid="{39C05C5C-090C-4F7B-A1A6-77F5187F58C8}" name="Split Value/Set" dataDxfId="251"/>
    <tableColumn id="7" xr3:uid="{09D97C27-5536-4232-89E7-0205B398F2F9}" name="Training Cases" dataDxfId="250"/>
    <tableColumn id="8" xr3:uid="{F17DA52A-CD4E-4585-8DC5-E271BFA17A66}" name="Validation Cases" dataDxfId="249"/>
    <tableColumn id="9" xr3:uid="{E549D679-84A0-4637-9B8D-C971E60F691A}" name="Response" dataDxfId="248"/>
    <tableColumn id="10" xr3:uid="{D8B31828-EE45-43F3-B6DC-E755096E83E9}" name="Node Type"/>
  </tableColumns>
  <tableStyleInfo name="TableStyleMedium9"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7E40722C-91D0-47F3-965D-E15FB10D067A}" name="Table65" displayName="Table65" ref="C12:L33" totalsRowShown="0" dataDxfId="247">
  <autoFilter ref="C12:L33" xr:uid="{7E40722C-91D0-47F3-965D-E15FB10D067A}"/>
  <tableColumns count="10">
    <tableColumn id="1" xr3:uid="{F5BE4EA3-7ECE-4199-B1B6-C88F775698C2}" name="Node ID" dataDxfId="246"/>
    <tableColumn id="2" xr3:uid="{671C8945-6A88-493C-AAAF-0AB3D27E9086}" name="Parent ID" dataDxfId="245"/>
    <tableColumn id="3" xr3:uid="{F9357853-A5D9-459B-84BC-5739780F0AFE}" name="Left Child ID" dataDxfId="244"/>
    <tableColumn id="4" xr3:uid="{61867B61-9FB3-4BD0-93CC-78BD3A21DED5}" name="Right Child ID" dataDxfId="243"/>
    <tableColumn id="5" xr3:uid="{6E5F2277-5D3B-427B-8AAB-3B5A9E1B482F}" name="Split Var" dataDxfId="242"/>
    <tableColumn id="6" xr3:uid="{C9B57A89-EB6A-4F98-8797-E4CAD412ED84}" name="Split Value/Set" dataDxfId="241"/>
    <tableColumn id="7" xr3:uid="{F8B4ACF7-40EB-46D0-B8B9-39098CF745FC}" name="Training Cases" dataDxfId="240"/>
    <tableColumn id="8" xr3:uid="{64410209-11A3-4C42-A666-2E05EED1D51E}" name="Validation Cases" dataDxfId="239"/>
    <tableColumn id="9" xr3:uid="{8C95A315-763F-4983-9316-6177FC52F6A6}" name="Response" dataDxfId="238"/>
    <tableColumn id="10" xr3:uid="{BE02B8CE-FD42-4F1F-9460-203E445E3F4C}" name="Node Type"/>
  </tableColumns>
  <tableStyleInfo name="TableStyleMedium9"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CA1A6EAA-B22B-4598-BC1D-D674840AAA0D}" name="Table64" displayName="Table64" ref="C12:L33" totalsRowShown="0" dataDxfId="237">
  <autoFilter ref="C12:L33" xr:uid="{CA1A6EAA-B22B-4598-BC1D-D674840AAA0D}"/>
  <tableColumns count="10">
    <tableColumn id="1" xr3:uid="{15C079A3-8888-495E-A1F3-8031BC5E869A}" name="Node ID" dataDxfId="236"/>
    <tableColumn id="2" xr3:uid="{3E134BCD-23B9-471C-9076-2F6309D89051}" name="Parent ID" dataDxfId="235"/>
    <tableColumn id="3" xr3:uid="{3260EDD5-B74B-4C95-9786-AA7FD446A90D}" name="Left Child ID" dataDxfId="234"/>
    <tableColumn id="4" xr3:uid="{FCB5C8A1-441E-4749-B93F-2B32B3324405}" name="Right Child ID" dataDxfId="233"/>
    <tableColumn id="5" xr3:uid="{275C9073-875A-4002-B280-F015A7720F1A}" name="Split Var" dataDxfId="232"/>
    <tableColumn id="6" xr3:uid="{074D5FD0-56D4-46D7-9DC0-A6A5A54E9631}" name="Split Value/Set" dataDxfId="231"/>
    <tableColumn id="7" xr3:uid="{742AF5DD-5B04-418A-8437-1FC12F569CA1}" name="Training Cases" dataDxfId="230"/>
    <tableColumn id="8" xr3:uid="{986229F2-51DB-48CD-8E1F-1AFB14D2F163}" name="Validation Cases" dataDxfId="229"/>
    <tableColumn id="9" xr3:uid="{D8ECA640-6C59-43FF-9E27-ACFB0881B455}" name="Response" dataDxfId="228"/>
    <tableColumn id="10" xr3:uid="{B3D6ACAC-8C1D-457C-87A1-FD31FADEEE6B}" name="Node Type"/>
  </tableColumns>
  <tableStyleInfo name="TableStyleMedium9"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5AC3648-F932-49B2-9F1E-9AC15C40E372}" name="Table61" displayName="Table61" ref="C13:F16" totalsRowShown="0" tableBorderDxfId="227">
  <autoFilter ref="C13:F16" xr:uid="{05AC3648-F932-49B2-9F1E-9AC15C40E372}"/>
  <tableColumns count="4">
    <tableColumn id="1" xr3:uid="{B5FB9EE3-3FDF-47C4-B5B2-C797EFABEBEB}" name="Actual\Predicted" dataDxfId="226"/>
    <tableColumn id="2" xr3:uid="{1DB212AA-CF45-483B-806C-0AABF75AA894}" name="A" dataDxfId="225"/>
    <tableColumn id="3" xr3:uid="{4E196444-5DA0-42C9-B2E6-0D7B5FD84358}" name="B" dataDxfId="224"/>
    <tableColumn id="4" xr3:uid="{2072824E-1BB3-483C-B7AD-57207797AD76}" name="C"/>
  </tableColumns>
  <tableStyleInfo name="TableStyleMedium9"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EFEBAC03-AE61-45FE-8F30-E6AECCD40D4F}" name="Table62" displayName="Table62" ref="C19:F23" totalsRowShown="0" tableBorderDxfId="223">
  <autoFilter ref="C19:F23" xr:uid="{EFEBAC03-AE61-45FE-8F30-E6AECCD40D4F}"/>
  <tableColumns count="4">
    <tableColumn id="1" xr3:uid="{C53B46DA-9B1C-4DD6-B737-795527CAAA99}" name="Class" dataDxfId="222"/>
    <tableColumn id="2" xr3:uid="{B69A8317-DCA4-4608-84B0-63FD138CD6D1}" name="# Cases"/>
    <tableColumn id="3" xr3:uid="{D42F8762-00E5-437D-989F-9A06A99FAFDF}" name="# Errors"/>
    <tableColumn id="4" xr3:uid="{23D9AFB2-B97B-40B3-825B-247A6021FFA5}" name="% Error"/>
  </tableColumns>
  <tableStyleInfo name="TableStyleMedium9"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1D21D219-4F57-423A-9F91-C0E39450E724}" name="Table63" displayName="Table63" ref="C26:D28" totalsRowShown="0" tableBorderDxfId="221">
  <autoFilter ref="C26:D28" xr:uid="{1D21D219-4F57-423A-9F91-C0E39450E724}"/>
  <tableColumns count="2">
    <tableColumn id="1" xr3:uid="{BFD53878-9E81-4B1C-BF63-606B667965FB}" name="Metric"/>
    <tableColumn id="2" xr3:uid="{2BE7F80E-475C-4ABC-A158-8E9CB054588E}" name="Value"/>
  </tableColumns>
  <tableStyleInfo name="TableStyleMedium9"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D5DA2A29-1891-45EB-AA5E-9677C3F4436E}" name="Table58" displayName="Table58" ref="C13:F16" totalsRowShown="0" tableBorderDxfId="220">
  <autoFilter ref="C13:F16" xr:uid="{D5DA2A29-1891-45EB-AA5E-9677C3F4436E}"/>
  <tableColumns count="4">
    <tableColumn id="1" xr3:uid="{D93657E9-F762-4EBD-9C39-E99EAA47D7A1}" name="Actual\Predicted" dataDxfId="219"/>
    <tableColumn id="2" xr3:uid="{816D4902-60AD-459A-9E35-910D3284A240}" name="A" dataDxfId="218"/>
    <tableColumn id="3" xr3:uid="{0F9B57AB-7AD2-4C26-A95F-7F0696162AF1}" name="B" dataDxfId="217"/>
    <tableColumn id="4" xr3:uid="{0CD6B663-6DD9-4EC8-8CAC-65B5F032199A}" name="C"/>
  </tableColumns>
  <tableStyleInfo name="TableStyleMedium9"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FECC5D51-2450-4160-B05E-E6F1FC278345}" name="Table59" displayName="Table59" ref="C19:F23" totalsRowShown="0" tableBorderDxfId="216">
  <autoFilter ref="C19:F23" xr:uid="{FECC5D51-2450-4160-B05E-E6F1FC278345}"/>
  <tableColumns count="4">
    <tableColumn id="1" xr3:uid="{49F76AC5-B557-4974-9E06-B885A0B3A750}" name="Class" dataDxfId="215"/>
    <tableColumn id="2" xr3:uid="{25E92310-5877-4DFC-A6ED-1A70F5842207}" name="# Cases"/>
    <tableColumn id="3" xr3:uid="{2F1013FD-F995-4765-8734-AFC85D0AFF38}" name="# Errors"/>
    <tableColumn id="4" xr3:uid="{D8B7A693-8C57-4411-8C21-B14A3C798155}" name="% Error"/>
  </tableColumns>
  <tableStyleInfo name="TableStyleMedium9"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D97A4FE-F6CE-4B2E-B5B4-2AEEFD592964}" name="Table60" displayName="Table60" ref="C26:D28" totalsRowShown="0" tableBorderDxfId="214">
  <autoFilter ref="C26:D28" xr:uid="{7D97A4FE-F6CE-4B2E-B5B4-2AEEFD592964}"/>
  <tableColumns count="2">
    <tableColumn id="1" xr3:uid="{922796CA-D651-4696-B261-49C0D60008D1}" name="Metric"/>
    <tableColumn id="2" xr3:uid="{4F27FE7F-9B16-43F8-BB90-49B32857937A}" name="Value"/>
  </tableColumns>
  <tableStyleInfo name="TableStyleMedium9"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8ED3744-D8BC-4D33-BC90-3AE05BEC1EC5}" name="Table42" displayName="Table42" ref="C30:D32" totalsRowShown="0">
  <autoFilter ref="C30:D32" xr:uid="{48ED3744-D8BC-4D33-BC90-3AE05BEC1EC5}"/>
  <tableColumns count="2">
    <tableColumn id="1" xr3:uid="{349CCDA1-C47B-4692-BE4F-378165243A43}" name="Partition" dataDxfId="213"/>
    <tableColumn id="2" xr3:uid="{CA4D2A34-275D-4D74-AB9F-4D40737C9A54}" name="# Records"/>
  </tableColumns>
  <tableStyleInfo name="TableStyleMedium9"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1DC625EF-44A6-4754-A53A-E67836749CF3}" name="Table43" displayName="Table43" ref="C36:Q365" totalsRowShown="0" dataDxfId="212">
  <autoFilter ref="C36:Q365" xr:uid="{1DC625EF-44A6-4754-A53A-E67836749CF3}"/>
  <tableColumns count="15">
    <tableColumn id="1" xr3:uid="{C299DA51-BE5A-4597-B522-228FC985A1D5}" name="Record ID" dataDxfId="211"/>
    <tableColumn id="2" xr3:uid="{B638EF80-D964-4DEE-B793-D12FE50A29A1}" name="Type" dataDxfId="210"/>
    <tableColumn id="3" xr3:uid="{564CA5E5-5CF8-4E10-A2FA-52290189879A}" name="Treated_Alcohol" dataDxfId="209"/>
    <tableColumn id="4" xr3:uid="{E470A02F-483F-428F-A461-5EDC6B829A1B}" name="Treated_Malic_Acid" dataDxfId="208"/>
    <tableColumn id="5" xr3:uid="{504F6471-34BF-4D81-80A7-0EABB29C9AB3}" name="Treated_Ash" dataDxfId="207"/>
    <tableColumn id="6" xr3:uid="{05FE544A-4B0A-41EB-81D0-63C60657A4DC}" name="Treated_Ash_Alcalinity" dataDxfId="206"/>
    <tableColumn id="7" xr3:uid="{D946EAAA-E905-42A2-A801-146115FE7E12}" name="Treated_Magnesium" dataDxfId="205"/>
    <tableColumn id="8" xr3:uid="{547448D1-60C0-4DA0-9031-7E5793A2F9DD}" name="Treated_Total_Phenols" dataDxfId="204"/>
    <tableColumn id="9" xr3:uid="{16B4DDB9-58CE-4B85-A104-A8FB8F41F69F}" name="Treated_Flavanoids" dataDxfId="203"/>
    <tableColumn id="10" xr3:uid="{BC027913-5BFC-4880-AF2B-C7123BACA411}" name="Treated_Nonflavanoid_Phenols" dataDxfId="202"/>
    <tableColumn id="11" xr3:uid="{724EDD10-CBBD-4E70-B291-1F4323E24D36}" name="Treated_Proanthocyanins" dataDxfId="201"/>
    <tableColumn id="12" xr3:uid="{F452F504-E347-4563-99CC-ED5E3B5C5D2A}" name="Treated_Color_Intensity" dataDxfId="200"/>
    <tableColumn id="13" xr3:uid="{6119E792-9D91-4749-AF71-4D9084946EC8}" name="Treated_Hue" dataDxfId="199"/>
    <tableColumn id="14" xr3:uid="{3E1DEB83-E7C1-4AF0-ABBC-5F1109EBA679}" name="Treated_OD280_OD315" dataDxfId="198"/>
    <tableColumn id="15" xr3:uid="{09B07B92-9507-44CE-ADE9-6DE384D662E6}" name="Treated_Proline" dataDxfId="197"/>
  </tableColumns>
  <tableStyleInfo name="TableStyleMedium9"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A35BAC50-481E-413F-A6A6-B6E01E8729E5}" name="Table53" displayName="Table53" ref="C53:D64" totalsRowShown="0">
  <autoFilter ref="C53:D64" xr:uid="{A35BAC50-481E-413F-A6A6-B6E01E8729E5}"/>
  <tableColumns count="2">
    <tableColumn id="1" xr3:uid="{7425D3A1-7EA0-436A-863C-C35DFEC1F4BA}" name="# Decision Nodes" dataDxfId="196"/>
    <tableColumn id="2" xr3:uid="{C7432A97-04C0-4951-AFF5-D684240A2200}" name="Error Rate"/>
  </tableColumns>
  <tableStyleInfo name="TableStyleMedium9"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5518101F-E6EB-4EF6-A8A3-7CF38A688A2A}" name="Table54" displayName="Table54" ref="G53:H64" totalsRowShown="0">
  <autoFilter ref="G53:H64" xr:uid="{5518101F-E6EB-4EF6-A8A3-7CF38A688A2A}"/>
  <tableColumns count="2">
    <tableColumn id="1" xr3:uid="{F895E464-5F54-4551-9468-DFD7A48D83F8}" name="# Decision Nodes" dataDxfId="195"/>
    <tableColumn id="2" xr3:uid="{D55CD54A-4409-481F-8C05-F50076BD1221}" name="Error Rate"/>
  </tableColumns>
  <tableStyleInfo name="TableStyleMedium9"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AB2A1436-F51B-4540-AAD3-2B39F7AC5E71}" name="Table55" displayName="Table55" ref="C69:D82" totalsRowShown="0">
  <autoFilter ref="C69:D82" xr:uid="{AB2A1436-F51B-4540-AAD3-2B39F7AC5E71}"/>
  <tableColumns count="2">
    <tableColumn id="1" xr3:uid="{811C38C8-EB6E-4E62-9965-12730BD566E3}" name="Feature" dataDxfId="194"/>
    <tableColumn id="2" xr3:uid="{334545EF-58F9-4D36-957B-2A59E4630A51}" name="Importance"/>
  </tableColumns>
  <tableStyleInfo name="TableStyleMedium9"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B6D93F75-4FAF-43E5-A73D-2A0DC2159E12}" name="Table52" displayName="Table52" ref="C12:L33" totalsRowShown="0" dataDxfId="193">
  <autoFilter ref="C12:L33" xr:uid="{B6D93F75-4FAF-43E5-A73D-2A0DC2159E12}"/>
  <tableColumns count="10">
    <tableColumn id="1" xr3:uid="{D75AB5F3-4340-48D9-98B6-D683646B791F}" name="Node ID" dataDxfId="192"/>
    <tableColumn id="2" xr3:uid="{B7782B53-38E6-47C2-9375-43EFC4F0A4ED}" name="Parent ID" dataDxfId="191"/>
    <tableColumn id="3" xr3:uid="{9E7FD9C4-712F-4D01-94A3-8A66BBE1F945}" name="Left Child ID" dataDxfId="190"/>
    <tableColumn id="4" xr3:uid="{30A9789A-0066-4F93-9204-64185BB16145}" name="Right Child ID" dataDxfId="189"/>
    <tableColumn id="5" xr3:uid="{2F107F32-DEE5-4672-8EA4-F040142AD187}" name="Split Var" dataDxfId="188"/>
    <tableColumn id="6" xr3:uid="{D8CB39CE-EF0D-462C-980E-4AD99AC82655}" name="Split Value/Set" dataDxfId="187"/>
    <tableColumn id="7" xr3:uid="{2F654D13-F316-4978-8EEA-B77E3BB3D1F5}" name="Training Cases" dataDxfId="186"/>
    <tableColumn id="8" xr3:uid="{CEBC81C1-78C1-482D-A8C0-BBB11948A594}" name="Validation Cases" dataDxfId="185"/>
    <tableColumn id="9" xr3:uid="{1DF02441-9D51-4106-AC4D-CD4817C7B103}" name="Response" dataDxfId="184"/>
    <tableColumn id="10" xr3:uid="{63828E60-1F1B-43C5-967E-84AD9BEA2F18}" name="Node Type"/>
  </tableColumns>
  <tableStyleInfo name="TableStyleMedium9"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B629963F-F004-497C-9F8D-AD1BB88261DE}" name="Table51" displayName="Table51" ref="C12:L27" totalsRowShown="0" dataDxfId="183">
  <autoFilter ref="C12:L27" xr:uid="{B629963F-F004-497C-9F8D-AD1BB88261DE}"/>
  <tableColumns count="10">
    <tableColumn id="1" xr3:uid="{22762D16-E898-4731-9769-6F86B4C10565}" name="Node ID" dataDxfId="182"/>
    <tableColumn id="2" xr3:uid="{F2E5E332-56D6-4251-8B28-49FE5558B41E}" name="Parent ID" dataDxfId="181"/>
    <tableColumn id="3" xr3:uid="{D4840860-3820-40FD-860E-00C761C89139}" name="Left Child ID" dataDxfId="180">
      <calculatedColumnFormula>NA()</calculatedColumnFormula>
    </tableColumn>
    <tableColumn id="4" xr3:uid="{030B1720-812C-4E81-8050-10EB2741C767}" name="Right Child ID" dataDxfId="179">
      <calculatedColumnFormula>NA()</calculatedColumnFormula>
    </tableColumn>
    <tableColumn id="5" xr3:uid="{5384C5C4-FF61-4FF4-B647-340E51049B52}" name="Split Var" dataDxfId="178">
      <calculatedColumnFormula>NA()</calculatedColumnFormula>
    </tableColumn>
    <tableColumn id="6" xr3:uid="{82F97986-25D5-48A4-B41F-4292AF059C62}" name="Split Value/Set" dataDxfId="177">
      <calculatedColumnFormula>NA()</calculatedColumnFormula>
    </tableColumn>
    <tableColumn id="7" xr3:uid="{6B4E27F0-3E0A-47E5-8449-57D5BB8CFB5E}" name="Training Cases" dataDxfId="176"/>
    <tableColumn id="8" xr3:uid="{6E61D0D8-0B28-4989-AD1A-8B46F0A08809}" name="Validation Cases" dataDxfId="175"/>
    <tableColumn id="9" xr3:uid="{D9783CE2-B3C2-49E5-8384-79C60174F717}" name="Response" dataDxfId="174"/>
    <tableColumn id="10" xr3:uid="{8EE294F7-B6E7-477D-90D0-D2D603702935}" name="Node Type"/>
  </tableColumns>
  <tableStyleInfo name="TableStyleMedium9"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2BB7F2B4-2FB4-45BC-A69F-9B33372122B7}" name="Table50" displayName="Table50" ref="C12:L29" totalsRowShown="0" dataDxfId="173">
  <autoFilter ref="C12:L29" xr:uid="{2BB7F2B4-2FB4-45BC-A69F-9B33372122B7}"/>
  <tableColumns count="10">
    <tableColumn id="1" xr3:uid="{B2665947-BBDC-4811-A992-7C548A0393D2}" name="Node ID" dataDxfId="172"/>
    <tableColumn id="2" xr3:uid="{0180D53F-14AC-4AF6-B56B-54F92CD748C3}" name="Parent ID" dataDxfId="171"/>
    <tableColumn id="3" xr3:uid="{0295183D-5086-46F0-BB7F-EB26C92E7350}" name="Left Child ID" dataDxfId="170">
      <calculatedColumnFormula>NA()</calculatedColumnFormula>
    </tableColumn>
    <tableColumn id="4" xr3:uid="{6DEA6438-E337-407E-A4D4-1B0A6DB57FA9}" name="Right Child ID" dataDxfId="169">
      <calculatedColumnFormula>NA()</calculatedColumnFormula>
    </tableColumn>
    <tableColumn id="5" xr3:uid="{5F442CDE-16A7-4B55-87EC-398CDED3A129}" name="Split Var" dataDxfId="168">
      <calculatedColumnFormula>NA()</calculatedColumnFormula>
    </tableColumn>
    <tableColumn id="6" xr3:uid="{83104AA3-29E4-4F72-96C6-B02582287041}" name="Split Value/Set" dataDxfId="167">
      <calculatedColumnFormula>NA()</calculatedColumnFormula>
    </tableColumn>
    <tableColumn id="7" xr3:uid="{76D08CBA-A32E-43E3-AF98-D2BF5786EB6F}" name="Training Cases" dataDxfId="166"/>
    <tableColumn id="8" xr3:uid="{FDA5AA61-0AEF-4EFC-A033-4CC55A21AADA}" name="Validation Cases" dataDxfId="165"/>
    <tableColumn id="9" xr3:uid="{0B2136B1-2EA3-4568-B165-366A0BBF9369}" name="Response" dataDxfId="164"/>
    <tableColumn id="10" xr3:uid="{7B53EE28-7E8B-463A-AC35-6C058F6062EE}" name="Node Type"/>
  </tableColumns>
  <tableStyleInfo name="TableStyleMedium9"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98E0F4F2-4B0C-4B48-A15B-F2DDDAF218F9}" name="Table47" displayName="Table47" ref="C13:F16" totalsRowShown="0" tableBorderDxfId="163">
  <autoFilter ref="C13:F16" xr:uid="{98E0F4F2-4B0C-4B48-A15B-F2DDDAF218F9}"/>
  <tableColumns count="4">
    <tableColumn id="1" xr3:uid="{06434E3B-78B9-42BB-88DB-69C20B0DD711}" name="Actual\Predicted" dataDxfId="162"/>
    <tableColumn id="2" xr3:uid="{EA4575C1-1BA2-42E0-9D52-3B5196FA7B64}" name="A" dataDxfId="161"/>
    <tableColumn id="3" xr3:uid="{0D300B52-5758-4E37-9FEA-0A1DA49EDE91}" name="B" dataDxfId="160"/>
    <tableColumn id="4" xr3:uid="{EACC036C-493F-4DA6-890D-843C376A23E9}" name="C"/>
  </tableColumns>
  <tableStyleInfo name="TableStyleMedium9"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33A7CD9C-0EB6-472C-B0F8-278402933BD3}" name="Table48" displayName="Table48" ref="C19:F23" totalsRowShown="0" tableBorderDxfId="159">
  <autoFilter ref="C19:F23" xr:uid="{33A7CD9C-0EB6-472C-B0F8-278402933BD3}"/>
  <tableColumns count="4">
    <tableColumn id="1" xr3:uid="{9C5667D7-844E-499F-91ED-0DA08E53B662}" name="Class" dataDxfId="158"/>
    <tableColumn id="2" xr3:uid="{DF8C0D01-F0FD-4C2D-ADDC-C66E767B38AC}" name="# Cases"/>
    <tableColumn id="3" xr3:uid="{8D75DE59-956C-408E-A1D7-EF6FD2E459C4}" name="# Errors"/>
    <tableColumn id="4" xr3:uid="{422FED01-8772-4EE4-9174-2EA2B6448129}" name="% Error"/>
  </tableColumns>
  <tableStyleInfo name="TableStyleMedium9" showFirstColumn="1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E5E0A522-A3EB-4F7F-8F31-A4CA73FFF74E}" name="Table49" displayName="Table49" ref="C26:D28" totalsRowShown="0" tableBorderDxfId="157">
  <autoFilter ref="C26:D28" xr:uid="{E5E0A522-A3EB-4F7F-8F31-A4CA73FFF74E}"/>
  <tableColumns count="2">
    <tableColumn id="1" xr3:uid="{AB6D6A89-AA2E-4F5B-AB6B-A70C61EBF5EF}" name="Metric"/>
    <tableColumn id="2" xr3:uid="{3628088B-FD18-41CD-A9D2-9E68796B1981}" name="Value"/>
  </tableColumns>
  <tableStyleInfo name="TableStyleMedium9" showFirstColumn="1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9075A5B8-9657-4629-B110-57DF1DE873ED}" name="Table44" displayName="Table44" ref="C13:F16" totalsRowShown="0" tableBorderDxfId="156">
  <autoFilter ref="C13:F16" xr:uid="{9075A5B8-9657-4629-B110-57DF1DE873ED}"/>
  <tableColumns count="4">
    <tableColumn id="1" xr3:uid="{0CACEC39-5096-4B74-B616-B6C7867E8B97}" name="Actual\Predicted" dataDxfId="155"/>
    <tableColumn id="2" xr3:uid="{142F0641-CACF-48F1-A8E9-8ADED7BAA2AE}" name="A" dataDxfId="154"/>
    <tableColumn id="3" xr3:uid="{94ACDCB6-5C50-421B-BA00-9C09B9484EA5}" name="B" dataDxfId="153"/>
    <tableColumn id="4" xr3:uid="{808B7A48-93F1-4A45-8EE6-3E8EB4606C0B}" name="C"/>
  </tableColumns>
  <tableStyleInfo name="TableStyleMedium9" showFirstColumn="1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51BAB9B-0F54-49C3-B081-57C31ED03FAC}" name="Table45" displayName="Table45" ref="C19:F23" totalsRowShown="0" tableBorderDxfId="152">
  <autoFilter ref="C19:F23" xr:uid="{751BAB9B-0F54-49C3-B081-57C31ED03FAC}"/>
  <tableColumns count="4">
    <tableColumn id="1" xr3:uid="{554A8864-593F-4B5D-A655-2E695189647A}" name="Class" dataDxfId="151"/>
    <tableColumn id="2" xr3:uid="{2AD80A18-9A7E-4929-AC62-3F6B5DF77D33}" name="# Cases"/>
    <tableColumn id="3" xr3:uid="{685F5FF6-1D8C-4C67-8948-ED65BCC04209}" name="# Errors"/>
    <tableColumn id="4" xr3:uid="{DF0DA3FB-C684-4033-9560-E165B22F96C1}" name="% Error"/>
  </tableColumns>
  <tableStyleInfo name="TableStyleMedium9" showFirstColumn="1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4478E30-DC65-4A06-A303-1C6218C3619C}" name="Table46" displayName="Table46" ref="C26:D28" totalsRowShown="0" tableBorderDxfId="150">
  <autoFilter ref="C26:D28" xr:uid="{04478E30-DC65-4A06-A303-1C6218C3619C}"/>
  <tableColumns count="2">
    <tableColumn id="1" xr3:uid="{0609F2F7-C42C-4268-8C48-428298889F02}" name="Metric"/>
    <tableColumn id="2" xr3:uid="{C50287FC-20AB-4115-BA98-A2FAE00E591A}" name="Value"/>
  </tableColumns>
  <tableStyleInfo name="TableStyleMedium9" showFirstColumn="1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8016F78-DF6A-48BC-B6E8-D3BA1357BE53}" name="Table28" displayName="Table28" ref="C30:D32" totalsRowShown="0">
  <autoFilter ref="C30:D32" xr:uid="{58016F78-DF6A-48BC-B6E8-D3BA1357BE53}"/>
  <tableColumns count="2">
    <tableColumn id="1" xr3:uid="{0F52D993-6A2E-418D-B829-7599DA9F727D}" name="Partition" dataDxfId="149"/>
    <tableColumn id="2" xr3:uid="{A2C80225-6CCD-4BB7-9B11-4C17223C6D33}" name="# Records"/>
  </tableColumns>
  <tableStyleInfo name="TableStyleMedium9" showFirstColumn="1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03E16B4-46CA-4230-AACB-6DB0A467FA9C}" name="Table29" displayName="Table29" ref="C36:Q365" totalsRowShown="0" dataDxfId="148">
  <autoFilter ref="C36:Q365" xr:uid="{B03E16B4-46CA-4230-AACB-6DB0A467FA9C}"/>
  <tableColumns count="15">
    <tableColumn id="1" xr3:uid="{FBB38D5A-AE93-451D-9C21-55C240971307}" name="Record ID" dataDxfId="147"/>
    <tableColumn id="2" xr3:uid="{9501EB94-9C69-4204-819C-F49702BE0E94}" name="Type" dataDxfId="146"/>
    <tableColumn id="3" xr3:uid="{12C1B219-FE23-47E8-95DE-620DE7546B10}" name="Treated_Alcohol" dataDxfId="145"/>
    <tableColumn id="4" xr3:uid="{C25D1399-CFD6-47A9-A0AE-984AADB922F7}" name="Treated_Malic_Acid" dataDxfId="144"/>
    <tableColumn id="5" xr3:uid="{2E79FD40-78DB-487B-8DC6-29B50E5D60DB}" name="Treated_Ash" dataDxfId="143"/>
    <tableColumn id="6" xr3:uid="{47A6BF65-2F7E-4C96-8814-6AE9E3C785EB}" name="Treated_Ash_Alcalinity" dataDxfId="142"/>
    <tableColumn id="7" xr3:uid="{6D3EFF79-9463-4D2F-81A5-9A8BC5E5D08F}" name="Treated_Magnesium" dataDxfId="141"/>
    <tableColumn id="8" xr3:uid="{02F8B5C0-66DA-437C-8367-7E5E29B6F97D}" name="Treated_Total_Phenols" dataDxfId="140"/>
    <tableColumn id="9" xr3:uid="{3A651622-B030-4D88-A48C-B668AF1A5F6B}" name="Treated_Flavanoids" dataDxfId="139"/>
    <tableColumn id="10" xr3:uid="{0D712E5D-397B-44A0-BFDA-D6D6DF0410E3}" name="Treated_Nonflavanoid_Phenols" dataDxfId="138"/>
    <tableColumn id="11" xr3:uid="{C5568FAF-7953-4EFF-B2E8-082A53767BD0}" name="Treated_Proanthocyanins" dataDxfId="137"/>
    <tableColumn id="12" xr3:uid="{08F63123-58F0-46B4-9D58-C4E305CA904D}" name="Treated_Color_Intensity" dataDxfId="136"/>
    <tableColumn id="13" xr3:uid="{DA40C364-0D87-4B53-9767-E69A0248DD7A}" name="Treated_Hue" dataDxfId="135"/>
    <tableColumn id="14" xr3:uid="{C34D3CBF-616A-4ADA-A817-6FB270E6A1D7}" name="Treated_OD280_OD315" dataDxfId="134"/>
    <tableColumn id="15" xr3:uid="{23EFB011-6C04-4A31-B906-E45AFDE3D9E8}" name="Treated_Proline" dataDxfId="133"/>
  </tableColumns>
  <tableStyleInfo name="TableStyleMedium9" showFirstColumn="1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4A3B3F0F-E00B-4E8E-98D3-515686E13BB5}" name="Table39" displayName="Table39" ref="C53:D63" totalsRowShown="0">
  <autoFilter ref="C53:D63" xr:uid="{4A3B3F0F-E00B-4E8E-98D3-515686E13BB5}"/>
  <tableColumns count="2">
    <tableColumn id="1" xr3:uid="{B50C714E-0955-4AC1-AFBD-0DB74A1AE799}" name="# Decision Nodes" dataDxfId="132"/>
    <tableColumn id="2" xr3:uid="{33729C27-32C9-4B82-9F28-D79834545C47}" name="Error Rate"/>
  </tableColumns>
  <tableStyleInfo name="TableStyleMedium9" showFirstColumn="1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71E234A3-28A5-41B0-9D29-8C0926E32F5B}" name="Table40" displayName="Table40" ref="G53:H63" totalsRowShown="0">
  <autoFilter ref="G53:H63" xr:uid="{71E234A3-28A5-41B0-9D29-8C0926E32F5B}"/>
  <tableColumns count="2">
    <tableColumn id="1" xr3:uid="{0B74B22C-C12E-4FF4-B748-419FF2323971}" name="# Decision Nodes" dataDxfId="131"/>
    <tableColumn id="2" xr3:uid="{C8DD3ED0-8C8A-4E81-ADA0-86C52F697DA0}" name="Error Rate"/>
  </tableColumns>
  <tableStyleInfo name="TableStyleMedium9" showFirstColumn="1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A6A27587-335A-421F-9697-69ED9433AC03}" name="Table41" displayName="Table41" ref="C68:D81" totalsRowShown="0">
  <autoFilter ref="C68:D81" xr:uid="{A6A27587-335A-421F-9697-69ED9433AC03}"/>
  <tableColumns count="2">
    <tableColumn id="1" xr3:uid="{5D0BB336-0F63-4A26-9F97-E08210F5A732}" name="Feature" dataDxfId="130"/>
    <tableColumn id="2" xr3:uid="{2AA1927D-C483-4BCA-990F-D330BC05EC17}" name="Importance"/>
  </tableColumns>
  <tableStyleInfo name="TableStyleMedium9" showFirstColumn="1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40707DD-8D5A-49B7-A382-5653D521AA91}" name="Table38" displayName="Table38" ref="C12:L31" totalsRowShown="0" dataDxfId="129">
  <autoFilter ref="C12:L31" xr:uid="{D40707DD-8D5A-49B7-A382-5653D521AA91}"/>
  <tableColumns count="10">
    <tableColumn id="1" xr3:uid="{69D11058-C824-4F5A-9741-686259E49CF8}" name="Node ID" dataDxfId="128"/>
    <tableColumn id="2" xr3:uid="{97733728-1D44-4066-B007-01F1A2556EC9}" name="Parent ID" dataDxfId="127"/>
    <tableColumn id="3" xr3:uid="{95C1DD45-8C89-419F-9712-4AB6DAF86167}" name="Left Child ID" dataDxfId="126">
      <calculatedColumnFormula>NA()</calculatedColumnFormula>
    </tableColumn>
    <tableColumn id="4" xr3:uid="{795A9374-982B-4958-B6E7-7BD981023B57}" name="Right Child ID" dataDxfId="125">
      <calculatedColumnFormula>NA()</calculatedColumnFormula>
    </tableColumn>
    <tableColumn id="5" xr3:uid="{96EE9F9E-3C28-497E-9E6F-C31A1FA5B4DF}" name="Split Var" dataDxfId="124">
      <calculatedColumnFormula>NA()</calculatedColumnFormula>
    </tableColumn>
    <tableColumn id="6" xr3:uid="{64C20438-6914-402B-9A24-43799CDCF55E}" name="Split Value/Set" dataDxfId="123">
      <calculatedColumnFormula>NA()</calculatedColumnFormula>
    </tableColumn>
    <tableColumn id="7" xr3:uid="{4D298962-6AFB-482A-9428-7991555AC610}" name="Training Cases" dataDxfId="122"/>
    <tableColumn id="8" xr3:uid="{66BE4714-BBC3-42DD-9B29-2E48ADE8844B}" name="Validation Cases" dataDxfId="121"/>
    <tableColumn id="9" xr3:uid="{EA562A98-B02C-4948-9DAB-825F180CCF6D}" name="Response" dataDxfId="120"/>
    <tableColumn id="10" xr3:uid="{84B27055-6ADC-4570-9CE7-59A430D2D62D}" name="Node Type"/>
  </tableColumns>
  <tableStyleInfo name="TableStyleMedium9" showFirstColumn="1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22D7B85-D440-4734-8B89-AAB2A8C93B76}" name="Table37" displayName="Table37" ref="C12:L27" totalsRowShown="0" dataDxfId="119">
  <autoFilter ref="C12:L27" xr:uid="{C22D7B85-D440-4734-8B89-AAB2A8C93B76}"/>
  <tableColumns count="10">
    <tableColumn id="1" xr3:uid="{68600654-56B8-4E20-88CE-BCEB200BB1FA}" name="Node ID" dataDxfId="118"/>
    <tableColumn id="2" xr3:uid="{3B3463C5-3F51-4D8B-9E68-2300A76024BA}" name="Parent ID" dataDxfId="117"/>
    <tableColumn id="3" xr3:uid="{7C65C308-5149-4EDB-A695-054F6A23D3BF}" name="Left Child ID" dataDxfId="116">
      <calculatedColumnFormula>NA()</calculatedColumnFormula>
    </tableColumn>
    <tableColumn id="4" xr3:uid="{99BD5600-E30C-48F8-BDB8-160E714E9479}" name="Right Child ID" dataDxfId="115">
      <calculatedColumnFormula>NA()</calculatedColumnFormula>
    </tableColumn>
    <tableColumn id="5" xr3:uid="{4CEFCDAF-BC4D-49CB-B824-4A222E8B00BD}" name="Split Var" dataDxfId="114">
      <calculatedColumnFormula>NA()</calculatedColumnFormula>
    </tableColumn>
    <tableColumn id="6" xr3:uid="{9D212C4A-13D4-4008-B94D-5B0D469D2C05}" name="Split Value/Set" dataDxfId="113">
      <calculatedColumnFormula>NA()</calculatedColumnFormula>
    </tableColumn>
    <tableColumn id="7" xr3:uid="{9550CEE0-A60D-46B0-8B2A-B964711C73C8}" name="Training Cases" dataDxfId="112"/>
    <tableColumn id="8" xr3:uid="{E883A225-10B4-4138-BDB8-61287AE75446}" name="Validation Cases" dataDxfId="111"/>
    <tableColumn id="9" xr3:uid="{971B84C3-6567-4B02-A263-3C2C102FB889}" name="Response" dataDxfId="110"/>
    <tableColumn id="10" xr3:uid="{163924DE-2FF2-4934-BEC8-677C692B199F}" name="Node Type"/>
  </tableColumns>
  <tableStyleInfo name="TableStyleMedium9" showFirstColumn="1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B9EF1D21-152A-4B23-85AB-4D8A654C2098}" name="Table36" displayName="Table36" ref="C12:L27" totalsRowShown="0" dataDxfId="109">
  <autoFilter ref="C12:L27" xr:uid="{B9EF1D21-152A-4B23-85AB-4D8A654C2098}"/>
  <tableColumns count="10">
    <tableColumn id="1" xr3:uid="{39CDD484-1992-4616-A7AF-96E40CEFA330}" name="Node ID" dataDxfId="108"/>
    <tableColumn id="2" xr3:uid="{68B8F4A9-0DAB-4041-9714-337DF9C6BC02}" name="Parent ID" dataDxfId="107"/>
    <tableColumn id="3" xr3:uid="{C8B7335A-715B-4DDF-8AFC-A9CC32FD1D12}" name="Left Child ID" dataDxfId="106">
      <calculatedColumnFormula>NA()</calculatedColumnFormula>
    </tableColumn>
    <tableColumn id="4" xr3:uid="{9EC6F690-07BD-4A89-AD54-25959EA211FC}" name="Right Child ID" dataDxfId="105">
      <calculatedColumnFormula>NA()</calculatedColumnFormula>
    </tableColumn>
    <tableColumn id="5" xr3:uid="{6557B876-C84B-4831-B577-81BA1686E6CC}" name="Split Var" dataDxfId="104">
      <calculatedColumnFormula>NA()</calculatedColumnFormula>
    </tableColumn>
    <tableColumn id="6" xr3:uid="{2A6A106C-BDEB-415F-BAB0-457EAF2C0E34}" name="Split Value/Set" dataDxfId="103">
      <calculatedColumnFormula>NA()</calculatedColumnFormula>
    </tableColumn>
    <tableColumn id="7" xr3:uid="{BFBD12A9-0F9E-47E3-A3C6-DF885BAB2562}" name="Training Cases" dataDxfId="102"/>
    <tableColumn id="8" xr3:uid="{411C80D3-A556-4A65-9C93-F1060BB878BE}" name="Validation Cases" dataDxfId="101"/>
    <tableColumn id="9" xr3:uid="{AF9842EB-BB68-472F-AB01-10BA3A3C786C}" name="Response" dataDxfId="100"/>
    <tableColumn id="10" xr3:uid="{092544CB-D4A0-4629-8622-D05871DB3F55}" name="Node Type"/>
  </tableColumns>
  <tableStyleInfo name="TableStyleMedium9" showFirstColumn="1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0BA2CF5-9860-4808-8EC4-F7B123066A79}" name="Table33" displayName="Table33" ref="C13:F16" totalsRowShown="0" tableBorderDxfId="99">
  <autoFilter ref="C13:F16" xr:uid="{90BA2CF5-9860-4808-8EC4-F7B123066A79}"/>
  <tableColumns count="4">
    <tableColumn id="1" xr3:uid="{1CE8F2C1-5A60-43EA-9B85-17001D611048}" name="Actual\Predicted" dataDxfId="98"/>
    <tableColumn id="2" xr3:uid="{96979705-29E2-4285-8277-68839D1E11EF}" name="A" dataDxfId="97"/>
    <tableColumn id="3" xr3:uid="{B0800599-C3C4-46DE-B52D-537C0D0E4035}" name="B" dataDxfId="96"/>
    <tableColumn id="4" xr3:uid="{C49A87CE-F418-4444-B3BB-CFF6E6509657}" name="C"/>
  </tableColumns>
  <tableStyleInfo name="TableStyleMedium9" showFirstColumn="1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9208A91-978A-4DE9-BDC1-CBE2646B608C}" name="Table34" displayName="Table34" ref="C19:F23" totalsRowShown="0" tableBorderDxfId="95">
  <autoFilter ref="C19:F23" xr:uid="{09208A91-978A-4DE9-BDC1-CBE2646B608C}"/>
  <tableColumns count="4">
    <tableColumn id="1" xr3:uid="{FA5565D4-6DF9-432F-8A7E-DB15669E5A33}" name="Class" dataDxfId="94"/>
    <tableColumn id="2" xr3:uid="{F82FB75F-0DD9-47FC-801A-75E4BB2DF408}" name="# Cases"/>
    <tableColumn id="3" xr3:uid="{A8D43974-EF17-4313-BC2D-EE1751FF4C3D}" name="# Errors"/>
    <tableColumn id="4" xr3:uid="{A2CA6368-0116-4B2F-BDEC-B42EFC96BEEE}" name="% Error"/>
  </tableColumns>
  <tableStyleInfo name="TableStyleMedium9" showFirstColumn="1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1F2FA2F-3333-4E5E-85E6-A96429AA7243}" name="Table35" displayName="Table35" ref="C26:D28" totalsRowShown="0" tableBorderDxfId="93">
  <autoFilter ref="C26:D28" xr:uid="{01F2FA2F-3333-4E5E-85E6-A96429AA7243}"/>
  <tableColumns count="2">
    <tableColumn id="1" xr3:uid="{226AE149-B6DE-467C-A37A-C34D46E26723}" name="Metric"/>
    <tableColumn id="2" xr3:uid="{5A349DE8-00ED-4D9E-9BB7-B7EC2D89A522}" name="Value"/>
  </tableColumns>
  <tableStyleInfo name="TableStyleMedium9" showFirstColumn="1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6545B9A-BE39-40A3-9E29-84297D451763}" name="Table30" displayName="Table30" ref="C13:F16" totalsRowShown="0" tableBorderDxfId="92">
  <autoFilter ref="C13:F16" xr:uid="{C6545B9A-BE39-40A3-9E29-84297D451763}"/>
  <tableColumns count="4">
    <tableColumn id="1" xr3:uid="{DB8AD268-AF89-48EE-BB7E-9C72FA0A3938}" name="Actual\Predicted" dataDxfId="91"/>
    <tableColumn id="2" xr3:uid="{4E14DC51-C248-4539-B39C-B77F33DD8E48}" name="A" dataDxfId="90"/>
    <tableColumn id="3" xr3:uid="{B2C78739-FD42-4426-A219-AAEEF6D66A7F}" name="B" dataDxfId="89"/>
    <tableColumn id="4" xr3:uid="{629BAFE9-3EDD-41C8-BE8A-4B123C868298}" name="C"/>
  </tableColumns>
  <tableStyleInfo name="TableStyleMedium9" showFirstColumn="1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37212AD-22F4-4863-85E0-C93DE08BCBAF}" name="Table31" displayName="Table31" ref="C19:F23" totalsRowShown="0" tableBorderDxfId="88">
  <autoFilter ref="C19:F23" xr:uid="{437212AD-22F4-4863-85E0-C93DE08BCBAF}"/>
  <tableColumns count="4">
    <tableColumn id="1" xr3:uid="{27B6BBBA-79F9-465B-981C-A21183ED42B7}" name="Class" dataDxfId="87"/>
    <tableColumn id="2" xr3:uid="{ED2926BF-5B51-435B-A7C5-8713446804B5}" name="# Cases"/>
    <tableColumn id="3" xr3:uid="{5A907463-5459-41CE-B3C4-6882BC70DDA9}" name="# Errors"/>
    <tableColumn id="4" xr3:uid="{9C5CBB50-9377-4462-9340-F91EC00BED7B}" name="% Error"/>
  </tableColumns>
  <tableStyleInfo name="TableStyleMedium9" showFirstColumn="1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5D8B703-D23D-4CC1-8DF5-C78D288B4CE1}" name="Table32" displayName="Table32" ref="C26:D28" totalsRowShown="0" tableBorderDxfId="86">
  <autoFilter ref="C26:D28" xr:uid="{E5D8B703-D23D-4CC1-8DF5-C78D288B4CE1}"/>
  <tableColumns count="2">
    <tableColumn id="1" xr3:uid="{EDB060CE-856A-4915-97A1-207D7ABC4BC6}" name="Metric"/>
    <tableColumn id="2" xr3:uid="{9C8AA67E-A69A-47B5-B3CB-ABC2B306C7FB}" name="Value"/>
  </tableColumns>
  <tableStyleInfo name="TableStyleMedium9" showFirstColumn="1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944214-AEAD-40C8-B69D-BF25C9C1FAA3}" name="Table2" displayName="Table2" ref="C30:D32" totalsRowShown="0">
  <autoFilter ref="C30:D32" xr:uid="{9F944214-AEAD-40C8-B69D-BF25C9C1FAA3}"/>
  <tableColumns count="2">
    <tableColumn id="1" xr3:uid="{82060051-D7D1-4F4E-84BE-0638D904DE26}" name="Partition" dataDxfId="85"/>
    <tableColumn id="2" xr3:uid="{BEA744DB-0E49-49D7-ADD9-2B0D05DC9FC2}" name="# Records"/>
  </tableColumns>
  <tableStyleInfo name="TableStyleMedium9" showFirstColumn="1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D7918D-41F9-4EB5-8B91-CCD2A66584FE}" name="Table3" displayName="Table3" ref="C36:Q365" totalsRowShown="0" dataDxfId="84">
  <autoFilter ref="C36:Q365" xr:uid="{FDD7918D-41F9-4EB5-8B91-CCD2A66584FE}"/>
  <tableColumns count="15">
    <tableColumn id="1" xr3:uid="{E09FAD53-E618-4172-9D31-8C4DD59993AF}" name="Record ID" dataDxfId="83"/>
    <tableColumn id="2" xr3:uid="{F061A5A3-57AD-4305-867E-7976716B6773}" name="Type" dataDxfId="82"/>
    <tableColumn id="3" xr3:uid="{9F12D685-8D78-40F0-A206-C446028DC090}" name="Treated_Alcohol" dataDxfId="81"/>
    <tableColumn id="4" xr3:uid="{CB8D2624-6A18-4ACA-AB60-816A2DA4623C}" name="Treated_Malic_Acid" dataDxfId="80"/>
    <tableColumn id="5" xr3:uid="{EFCA6E24-97F0-4B73-8847-B2638AC055DD}" name="Treated_Ash" dataDxfId="79"/>
    <tableColumn id="6" xr3:uid="{B9E92A7A-24AA-4383-851D-984BC7F07971}" name="Treated_Ash_Alcalinity" dataDxfId="78"/>
    <tableColumn id="7" xr3:uid="{ACFDA0D7-9B38-40A2-BFF4-7B2CEDC4522A}" name="Treated_Magnesium" dataDxfId="77"/>
    <tableColumn id="8" xr3:uid="{5FFC840E-D315-4F58-B868-69CB4C6EF350}" name="Treated_Total_Phenols" dataDxfId="76"/>
    <tableColumn id="9" xr3:uid="{89C41F0A-4CDC-401C-941F-EAA5CDC045F1}" name="Treated_Flavanoids" dataDxfId="75"/>
    <tableColumn id="10" xr3:uid="{69166124-B781-4B0B-8C48-4EA9DCD4DCD0}" name="Treated_Nonflavanoid_Phenols" dataDxfId="74"/>
    <tableColumn id="11" xr3:uid="{14FAF3C7-F5CF-44EB-9A83-B211B73AB401}" name="Treated_Proanthocyanins" dataDxfId="73"/>
    <tableColumn id="12" xr3:uid="{2381685C-C5FE-4536-B389-4D1F55325949}" name="Treated_Color_Intensity" dataDxfId="72"/>
    <tableColumn id="13" xr3:uid="{C33F3A68-E0C0-42A6-BC45-09AB10260FD0}" name="Treated_Hue" dataDxfId="71"/>
    <tableColumn id="14" xr3:uid="{D3EE4E4F-94F1-48CE-A32A-A32859E62681}" name="Treated_OD280_OD315" dataDxfId="70"/>
    <tableColumn id="15" xr3:uid="{F2138012-1B71-4558-8998-75F6CB74EF39}" name="Treated_Proline" dataDxfId="69"/>
  </tableColumns>
  <tableStyleInfo name="TableStyleMedium9" showFirstColumn="1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4051C20-4478-461B-BB14-7212EAD7F7FB}" name="Table25" displayName="Table25" ref="C53:D64" totalsRowShown="0">
  <autoFilter ref="C53:D64" xr:uid="{84051C20-4478-461B-BB14-7212EAD7F7FB}"/>
  <tableColumns count="2">
    <tableColumn id="1" xr3:uid="{F943E9B9-7C43-4B3A-9E1E-7578FD609126}" name="# Decision Nodes" dataDxfId="68"/>
    <tableColumn id="2" xr3:uid="{3D2FD040-3210-4342-9D7D-CAD716A5644B}" name="Error Rate"/>
  </tableColumns>
  <tableStyleInfo name="TableStyleMedium9" showFirstColumn="1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7D7FE3F-4C9D-4650-9A52-5B0002CE54DE}" name="Table26" displayName="Table26" ref="G53:H64" totalsRowShown="0">
  <autoFilter ref="G53:H64" xr:uid="{E7D7FE3F-4C9D-4650-9A52-5B0002CE54DE}"/>
  <tableColumns count="2">
    <tableColumn id="1" xr3:uid="{6AE50763-B17D-498B-AF57-FA270EEAB58E}" name="# Decision Nodes" dataDxfId="67"/>
    <tableColumn id="2" xr3:uid="{1536BC5D-7BCA-4FC9-83DE-1C6BEA29CB3E}" name="Error Rate"/>
  </tableColumns>
  <tableStyleInfo name="TableStyleMedium9" showFirstColumn="1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EC24282-9F6C-4A2B-A2C6-64A3C9842CD3}" name="Table27" displayName="Table27" ref="C69:D82" totalsRowShown="0">
  <autoFilter ref="C69:D82" xr:uid="{9EC24282-9F6C-4A2B-A2C6-64A3C9842CD3}"/>
  <tableColumns count="2">
    <tableColumn id="1" xr3:uid="{B29AB076-3708-45DF-A194-C8CAE4186C02}" name="Feature" dataDxfId="66"/>
    <tableColumn id="2" xr3:uid="{99DE09AB-366F-4C13-8DCA-3228E50F45F8}" name="Importance"/>
  </tableColumns>
  <tableStyleInfo name="TableStyleMedium9" showFirstColumn="1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1D46D8-9F7F-4845-833B-258857095A59}" name="Table24" displayName="Table24" ref="C12:L33" totalsRowShown="0" dataDxfId="65">
  <autoFilter ref="C12:L33" xr:uid="{001D46D8-9F7F-4845-833B-258857095A59}"/>
  <tableColumns count="10">
    <tableColumn id="1" xr3:uid="{15F00D0C-9442-4EBC-8697-1A208500E600}" name="Node ID" dataDxfId="64"/>
    <tableColumn id="2" xr3:uid="{189EA268-5100-4E28-8565-71FEC887A084}" name="Parent ID" dataDxfId="63"/>
    <tableColumn id="3" xr3:uid="{9E004AB2-E5F4-4CF0-AF59-E96B0EC12EFA}" name="Left Child ID" dataDxfId="62">
      <calculatedColumnFormula>NA()</calculatedColumnFormula>
    </tableColumn>
    <tableColumn id="4" xr3:uid="{FFEF3F57-AB9F-46CD-ADB8-40557E5E17D9}" name="Right Child ID" dataDxfId="61">
      <calculatedColumnFormula>NA()</calculatedColumnFormula>
    </tableColumn>
    <tableColumn id="5" xr3:uid="{CF0E7C8D-567E-44C8-ACD5-89333864452E}" name="Split Var" dataDxfId="60">
      <calculatedColumnFormula>NA()</calculatedColumnFormula>
    </tableColumn>
    <tableColumn id="6" xr3:uid="{E5B4AD7E-A53F-417D-AE11-5FF32D446727}" name="Split Value/Set" dataDxfId="59">
      <calculatedColumnFormula>NA()</calculatedColumnFormula>
    </tableColumn>
    <tableColumn id="7" xr3:uid="{4D2EF3C8-3E9B-4068-A603-262A4C48C464}" name="Training Cases" dataDxfId="58"/>
    <tableColumn id="8" xr3:uid="{042B1EEF-45FB-4DC9-A346-B05726E13938}" name="Validation Cases" dataDxfId="57"/>
    <tableColumn id="9" xr3:uid="{C47DADCD-EB35-4153-A63B-8885B21C5A40}" name="Response" dataDxfId="56"/>
    <tableColumn id="10" xr3:uid="{ABEED9CF-8E41-468A-975A-B3AF81FC6706}" name="Node Type"/>
  </tableColumns>
  <tableStyleInfo name="TableStyleMedium9" showFirstColumn="1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97064EF-1A70-4D32-B546-8C1BA7455435}" name="Table23" displayName="Table23" ref="C12:L27" totalsRowShown="0" dataDxfId="55">
  <autoFilter ref="C12:L27" xr:uid="{E97064EF-1A70-4D32-B546-8C1BA7455435}"/>
  <tableColumns count="10">
    <tableColumn id="1" xr3:uid="{12EB7C86-D70B-47F4-9CB4-30551E873DD7}" name="Node ID" dataDxfId="54"/>
    <tableColumn id="2" xr3:uid="{9C90AF7D-6081-4C0C-BFEC-C69DCB0627A6}" name="Parent ID" dataDxfId="53"/>
    <tableColumn id="3" xr3:uid="{37C76941-C9FD-410E-BBC7-046E7F48390F}" name="Left Child ID" dataDxfId="52">
      <calculatedColumnFormula>NA()</calculatedColumnFormula>
    </tableColumn>
    <tableColumn id="4" xr3:uid="{AFFEC358-E3DB-40C5-AEEF-A0349AEC06EC}" name="Right Child ID" dataDxfId="51">
      <calculatedColumnFormula>NA()</calculatedColumnFormula>
    </tableColumn>
    <tableColumn id="5" xr3:uid="{CD73604E-75BF-4FBA-A80F-75BF28252A23}" name="Split Var" dataDxfId="50">
      <calculatedColumnFormula>NA()</calculatedColumnFormula>
    </tableColumn>
    <tableColumn id="6" xr3:uid="{54164B4A-51BA-4C96-854C-97818BFA6374}" name="Split Value/Set" dataDxfId="49">
      <calculatedColumnFormula>NA()</calculatedColumnFormula>
    </tableColumn>
    <tableColumn id="7" xr3:uid="{918970C6-4239-4B15-A225-7171266144F5}" name="Training Cases" dataDxfId="48"/>
    <tableColumn id="8" xr3:uid="{F579205A-D0A6-4A7F-8C19-FEABDD633AB0}" name="Validation Cases" dataDxfId="47"/>
    <tableColumn id="9" xr3:uid="{9155B0F7-6620-4F34-B363-1B27817C92C9}" name="Response" dataDxfId="46"/>
    <tableColumn id="10" xr3:uid="{FFAB5AFA-0A2E-4230-B698-6D30A217F32D}" name="Node Type"/>
  </tableColumns>
  <tableStyleInfo name="TableStyleMedium9" showFirstColumn="1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312D344-60A7-4B5F-9B16-6141A1343803}" name="Table22" displayName="Table22" ref="C12:L29" totalsRowShown="0" dataDxfId="45">
  <autoFilter ref="C12:L29" xr:uid="{5312D344-60A7-4B5F-9B16-6141A1343803}"/>
  <tableColumns count="10">
    <tableColumn id="1" xr3:uid="{0D68B48A-7251-41A1-B271-71B6A520FDA4}" name="Node ID" dataDxfId="44"/>
    <tableColumn id="2" xr3:uid="{3D9D9155-A578-4590-8903-E6C1C793B1FC}" name="Parent ID" dataDxfId="43"/>
    <tableColumn id="3" xr3:uid="{42B8BBA5-2745-42F9-B2DB-77A1B39D7742}" name="Left Child ID" dataDxfId="42">
      <calculatedColumnFormula>NA()</calculatedColumnFormula>
    </tableColumn>
    <tableColumn id="4" xr3:uid="{557AC5D1-92BE-4E69-9CDC-E366E27B997F}" name="Right Child ID" dataDxfId="41">
      <calculatedColumnFormula>NA()</calculatedColumnFormula>
    </tableColumn>
    <tableColumn id="5" xr3:uid="{96A71A50-3D6D-4B4B-86F4-6B63C8680B00}" name="Split Var" dataDxfId="40">
      <calculatedColumnFormula>NA()</calculatedColumnFormula>
    </tableColumn>
    <tableColumn id="6" xr3:uid="{0D8F7822-8E31-4495-B42E-E683598D4FFD}" name="Split Value/Set" dataDxfId="39">
      <calculatedColumnFormula>NA()</calculatedColumnFormula>
    </tableColumn>
    <tableColumn id="7" xr3:uid="{E34D5DD5-A109-479E-8B49-22A81B5BF82A}" name="Training Cases" dataDxfId="38"/>
    <tableColumn id="8" xr3:uid="{7D8A0AB0-9075-4673-8B16-EB4578B6BBCC}" name="Validation Cases" dataDxfId="37"/>
    <tableColumn id="9" xr3:uid="{3AEC09C5-4F94-4CD7-81DB-76136E6BC300}" name="Response" dataDxfId="36"/>
    <tableColumn id="10" xr3:uid="{B301417C-9C32-4577-B30D-B92A4FE9960C}" name="Node Type"/>
  </tableColumns>
  <tableStyleInfo name="TableStyleMedium9" showFirstColumn="1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C946D64-3D1E-4218-B73F-9F142D4FB3C8}" name="Table19" displayName="Table19" ref="C13:F16" totalsRowShown="0" tableBorderDxfId="35">
  <autoFilter ref="C13:F16" xr:uid="{BC946D64-3D1E-4218-B73F-9F142D4FB3C8}"/>
  <tableColumns count="4">
    <tableColumn id="1" xr3:uid="{27593824-8843-4B97-84BC-2E81075630D7}" name="Actual\Predicted" dataDxfId="34"/>
    <tableColumn id="2" xr3:uid="{7B6FEFAD-331B-4BEF-BFC0-0A64C153F412}" name="A" dataDxfId="33"/>
    <tableColumn id="3" xr3:uid="{ADF7BCD6-57C0-4F0C-8EF7-69D0B541393D}" name="B" dataDxfId="32"/>
    <tableColumn id="4" xr3:uid="{638A8575-7A61-499C-A9E4-7CCC4639F8BB}" name="C"/>
  </tableColumns>
  <tableStyleInfo name="TableStyleMedium9" showFirstColumn="1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9E32F5D-5B34-4300-9FD9-B20F94B641F8}" name="Table20" displayName="Table20" ref="C19:F23" totalsRowShown="0" tableBorderDxfId="31">
  <autoFilter ref="C19:F23" xr:uid="{A9E32F5D-5B34-4300-9FD9-B20F94B641F8}"/>
  <tableColumns count="4">
    <tableColumn id="1" xr3:uid="{BF732CED-3E5C-4C74-A381-527F3B59833D}" name="Class" dataDxfId="30"/>
    <tableColumn id="2" xr3:uid="{0A96455D-1021-430D-A561-97F183D8BCF1}" name="# Cases"/>
    <tableColumn id="3" xr3:uid="{32D43C25-01C0-4BCF-92B2-A9A072FA0BC4}" name="# Errors"/>
    <tableColumn id="4" xr3:uid="{5DE127BA-A7A3-43C7-AF66-E06B9CF60492}" name="% Error"/>
  </tableColumns>
  <tableStyleInfo name="TableStyleMedium9" showFirstColumn="1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A03D024-BFCB-4CA5-BE72-14890DD770BB}" name="Table21" displayName="Table21" ref="C26:D28" totalsRowShown="0" tableBorderDxfId="29">
  <autoFilter ref="C26:D28" xr:uid="{DA03D024-BFCB-4CA5-BE72-14890DD770BB}"/>
  <tableColumns count="2">
    <tableColumn id="1" xr3:uid="{D4337CDD-B8D3-4625-96B6-D034058057CC}" name="Metric"/>
    <tableColumn id="2" xr3:uid="{7EBE5001-6096-4FDB-A225-A9970635D316}" name="Value"/>
  </tableColumns>
  <tableStyleInfo name="TableStyleMedium9" showFirstColumn="1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49F32BC-5B29-43EC-B0F6-0045B606B467}" name="Table16" displayName="Table16" ref="C13:F16" totalsRowShown="0" tableBorderDxfId="28">
  <autoFilter ref="C13:F16" xr:uid="{C49F32BC-5B29-43EC-B0F6-0045B606B467}"/>
  <tableColumns count="4">
    <tableColumn id="1" xr3:uid="{D8A66FC0-BD8F-45CE-8927-2A2840E8430E}" name="Actual\Predicted" dataDxfId="27"/>
    <tableColumn id="2" xr3:uid="{F807EDD7-41DC-4BEE-A059-7E8A502CEA43}" name="A" dataDxfId="26"/>
    <tableColumn id="3" xr3:uid="{F7761F39-7E61-4736-8A23-C67FCF09C75B}" name="B" dataDxfId="25"/>
    <tableColumn id="4" xr3:uid="{A0B155A4-ECC5-4CAE-842E-38E17F274998}" name="C"/>
  </tableColumns>
  <tableStyleInfo name="TableStyleMedium9" showFirstColumn="1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4347BDB-7545-4DEB-AF8B-98F20C0BD83A}" name="Table17" displayName="Table17" ref="C19:F23" totalsRowShown="0" tableBorderDxfId="24">
  <autoFilter ref="C19:F23" xr:uid="{54347BDB-7545-4DEB-AF8B-98F20C0BD83A}"/>
  <tableColumns count="4">
    <tableColumn id="1" xr3:uid="{1FDA4018-5AD2-40D9-BCD0-7390401EFE75}" name="Class" dataDxfId="23"/>
    <tableColumn id="2" xr3:uid="{7FF745B3-44D7-4AE3-84C0-6914B73F6B67}" name="# Cases"/>
    <tableColumn id="3" xr3:uid="{7351B65E-56C0-4821-A7C5-4ACAFE7C0D67}" name="# Errors"/>
    <tableColumn id="4" xr3:uid="{D542B8B4-279C-4B08-AFBA-7D50C3A955DD}" name="% Error"/>
  </tableColumns>
  <tableStyleInfo name="TableStyleMedium9" showFirstColumn="1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890E67E-D7B7-4D49-8402-41E3C690F2FF}" name="Table18" displayName="Table18" ref="C26:D28" totalsRowShown="0" tableBorderDxfId="22">
  <autoFilter ref="C26:D28" xr:uid="{4890E67E-D7B7-4D49-8402-41E3C690F2FF}"/>
  <tableColumns count="2">
    <tableColumn id="1" xr3:uid="{0DFEAD75-220B-402C-8DCD-06A2D39C8BB8}" name="Metric"/>
    <tableColumn id="2" xr3:uid="{AB26EFC5-A791-47B0-97E3-9848E788FF8E}" name="Value"/>
  </tableColumns>
  <tableStyleInfo name="TableStyleMedium9" showFirstColumn="1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73239E6-34F0-49FD-9685-8EACB5054767}" name="Table72" displayName="Table72" ref="C33:Q47" totalsRowShown="0" headerRowDxfId="21" dataDxfId="20">
  <autoFilter ref="C33:Q47" xr:uid="{D73239E6-34F0-49FD-9685-8EACB5054767}"/>
  <tableColumns count="15">
    <tableColumn id="1" xr3:uid="{B8281216-FB82-4A34-8463-F28D3377DBCA}" name="Record ID" dataDxfId="19"/>
    <tableColumn id="2" xr3:uid="{26987924-64C0-46E6-BA8E-550A7DF2C8CA}" name="Type" dataDxfId="18"/>
    <tableColumn id="3" xr3:uid="{76108768-8209-4C0B-9CCF-FD2677011707}" name="Treated_Alcohol" dataDxfId="17"/>
    <tableColumn id="4" xr3:uid="{635A546F-84CA-4E52-84CC-222403D86B13}" name="Treated_Malic_Acid" dataDxfId="16"/>
    <tableColumn id="5" xr3:uid="{34944DF7-68E4-4424-B5E1-C2C39CCD1630}" name="Treated_Ash" dataDxfId="15"/>
    <tableColumn id="6" xr3:uid="{4F0060E0-3F19-4DA1-9A20-203924A5599A}" name="Treated_Ash_Alcalinity" dataDxfId="14"/>
    <tableColumn id="7" xr3:uid="{0F3F752E-80A7-4DE2-BC31-EE57F200BD03}" name="Treated_Magnesium" dataDxfId="13"/>
    <tableColumn id="8" xr3:uid="{85527EC8-D099-4947-B086-3662EC516389}" name="Treated_Total_Phenols" dataDxfId="12"/>
    <tableColumn id="9" xr3:uid="{390AEE67-B469-4B0A-9FE2-4BDBEA565539}" name="Treated_Flavanoids" dataDxfId="11"/>
    <tableColumn id="10" xr3:uid="{8ACC3031-4B75-4607-9DA0-80484D8AEB87}" name="Treated_Nonflavanoid_Phenols" dataDxfId="10"/>
    <tableColumn id="11" xr3:uid="{F1A17F64-6A04-45DB-954A-D12D7772C8A7}" name="Treated_Proanthocyanins" dataDxfId="9"/>
    <tableColumn id="12" xr3:uid="{E4F46D58-3311-4C12-8539-2ACB5864F179}" name="Treated_Color_Intensity" dataDxfId="8"/>
    <tableColumn id="13" xr3:uid="{EFF3A592-444F-45C1-80C9-856FDF978ADE}" name="Treated_Hue" dataDxfId="7"/>
    <tableColumn id="14" xr3:uid="{F5AF9818-7698-4362-B123-92E0D0594D2B}" name="Treated_OD280_OD315" dataDxfId="6"/>
    <tableColumn id="15" xr3:uid="{1B415BAF-61E6-4784-B96C-412929B19259}" name="Treated_Proline" dataDxfId="5"/>
  </tableColumns>
  <tableStyleInfo name="TableStyleMedium9" showFirstColumn="1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911FE07D-3399-4B1D-8FB5-11CA13FC6F4A}" name="Table99" displayName="Table99" ref="C25:G39" totalsRowShown="0" dataDxfId="4">
  <autoFilter ref="C25:G39" xr:uid="{911FE07D-3399-4B1D-8FB5-11CA13FC6F4A}"/>
  <tableColumns count="5">
    <tableColumn id="1" xr3:uid="{A5ACD5A9-D459-4FEE-B658-915D64CE032A}" name="Record ID" dataDxfId="3"/>
    <tableColumn id="2" xr3:uid="{3423E56E-3737-4E1E-8DD9-78335C0311FB}" name="Prediction: Type" dataDxfId="2"/>
    <tableColumn id="3" xr3:uid="{7E23A3E7-B3B9-4C54-B19C-48C28383CBAA}" name="PostProb: A" dataDxfId="1"/>
    <tableColumn id="4" xr3:uid="{A14C413C-692E-419E-8031-7BEFAA39BB3C}" name="PostProb: B" dataDxfId="0"/>
    <tableColumn id="5" xr3:uid="{C078B07C-D917-4310-9077-4282C4E51467}" name="PostProb: C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65C65FC-88AD-4884-BEEC-099E839F49EB}">
  <we:reference id="wa200000019" version="25.0.2.0" store="en-US" storeType="OMEX"/>
  <we:alternateReferences>
    <we:reference id="wa200000019" version="25.0.2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table" Target="../tables/table3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0.xml"/><Relationship Id="rId2" Type="http://schemas.openxmlformats.org/officeDocument/2006/relationships/table" Target="../tables/table39.xml"/><Relationship Id="rId1" Type="http://schemas.openxmlformats.org/officeDocument/2006/relationships/table" Target="../tables/table38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table" Target="../tables/table42.xml"/><Relationship Id="rId1" Type="http://schemas.openxmlformats.org/officeDocument/2006/relationships/table" Target="../tables/table41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table" Target="../tables/table44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8.xml"/><Relationship Id="rId2" Type="http://schemas.openxmlformats.org/officeDocument/2006/relationships/table" Target="../tables/table47.xml"/><Relationship Id="rId1" Type="http://schemas.openxmlformats.org/officeDocument/2006/relationships/table" Target="../tables/table4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4.xml"/><Relationship Id="rId2" Type="http://schemas.openxmlformats.org/officeDocument/2006/relationships/table" Target="../tables/table53.xml"/><Relationship Id="rId1" Type="http://schemas.openxmlformats.org/officeDocument/2006/relationships/table" Target="../tables/table52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2" Type="http://schemas.openxmlformats.org/officeDocument/2006/relationships/table" Target="../tables/table56.xml"/><Relationship Id="rId1" Type="http://schemas.openxmlformats.org/officeDocument/2006/relationships/table" Target="../tables/table55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9.xml"/><Relationship Id="rId1" Type="http://schemas.openxmlformats.org/officeDocument/2006/relationships/table" Target="../tables/table58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2" Type="http://schemas.openxmlformats.org/officeDocument/2006/relationships/table" Target="../tables/table61.xml"/><Relationship Id="rId1" Type="http://schemas.openxmlformats.org/officeDocument/2006/relationships/table" Target="../tables/table6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2" Type="http://schemas.openxmlformats.org/officeDocument/2006/relationships/table" Target="../tables/table67.xml"/><Relationship Id="rId1" Type="http://schemas.openxmlformats.org/officeDocument/2006/relationships/table" Target="../tables/table66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1.xml"/><Relationship Id="rId2" Type="http://schemas.openxmlformats.org/officeDocument/2006/relationships/table" Target="../tables/table70.xml"/><Relationship Id="rId1" Type="http://schemas.openxmlformats.org/officeDocument/2006/relationships/table" Target="../tables/table69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3.xml"/><Relationship Id="rId1" Type="http://schemas.openxmlformats.org/officeDocument/2006/relationships/table" Target="../tables/table72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6.xml"/><Relationship Id="rId2" Type="http://schemas.openxmlformats.org/officeDocument/2006/relationships/table" Target="../tables/table75.xml"/><Relationship Id="rId1" Type="http://schemas.openxmlformats.org/officeDocument/2006/relationships/table" Target="../tables/table7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2.xml"/><Relationship Id="rId2" Type="http://schemas.openxmlformats.org/officeDocument/2006/relationships/table" Target="../tables/table81.xml"/><Relationship Id="rId1" Type="http://schemas.openxmlformats.org/officeDocument/2006/relationships/table" Target="../tables/table80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5.xml"/><Relationship Id="rId2" Type="http://schemas.openxmlformats.org/officeDocument/2006/relationships/table" Target="../tables/table84.xml"/><Relationship Id="rId1" Type="http://schemas.openxmlformats.org/officeDocument/2006/relationships/table" Target="../tables/table83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B9"/>
  <sheetViews>
    <sheetView showGridLines="0" workbookViewId="0">
      <selection activeCell="B14" sqref="B14"/>
    </sheetView>
  </sheetViews>
  <sheetFormatPr defaultColWidth="9.109375" defaultRowHeight="15.6" x14ac:dyDescent="0.3"/>
  <cols>
    <col min="1" max="1" width="9.109375" style="3"/>
    <col min="2" max="2" width="90" style="3" customWidth="1"/>
    <col min="3" max="16384" width="9.109375" style="3"/>
  </cols>
  <sheetData>
    <row r="2" spans="2:2" x14ac:dyDescent="0.3">
      <c r="B2" s="5" t="s">
        <v>20</v>
      </c>
    </row>
    <row r="3" spans="2:2" ht="62.4" x14ac:dyDescent="0.3">
      <c r="B3" s="10" t="s">
        <v>24</v>
      </c>
    </row>
    <row r="4" spans="2:2" x14ac:dyDescent="0.3">
      <c r="B4" s="3" t="s">
        <v>23</v>
      </c>
    </row>
    <row r="5" spans="2:2" x14ac:dyDescent="0.3">
      <c r="B5" s="3" t="s">
        <v>22</v>
      </c>
    </row>
    <row r="6" spans="2:2" x14ac:dyDescent="0.3">
      <c r="B6" s="3" t="s">
        <v>16</v>
      </c>
    </row>
    <row r="7" spans="2:2" x14ac:dyDescent="0.3">
      <c r="B7" s="3" t="s">
        <v>19</v>
      </c>
    </row>
    <row r="9" spans="2:2" ht="100.5" customHeight="1" x14ac:dyDescent="0.3">
      <c r="B9" s="4" t="s">
        <v>17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30"/>
  <sheetViews>
    <sheetView workbookViewId="0">
      <pane ySplit="1" topLeftCell="A243" activePane="bottomLeft" state="frozen"/>
      <selection pane="bottomLeft" activeCell="G15" sqref="G15"/>
    </sheetView>
  </sheetViews>
  <sheetFormatPr defaultColWidth="7.109375" defaultRowHeight="12.75" customHeight="1" x14ac:dyDescent="0.3"/>
  <cols>
    <col min="1" max="1" width="16" style="3" customWidth="1"/>
    <col min="2" max="2" width="7.6640625" style="3" customWidth="1"/>
    <col min="3" max="3" width="6.44140625" style="9" customWidth="1"/>
    <col min="4" max="4" width="9.109375" style="3" customWidth="1"/>
    <col min="5" max="5" width="11.33203125" style="3" bestFit="1" customWidth="1"/>
    <col min="6" max="6" width="8.88671875" style="3" customWidth="1"/>
    <col min="7" max="7" width="14.33203125" style="3" bestFit="1" customWidth="1"/>
    <col min="8" max="8" width="11.88671875" style="3" bestFit="1" customWidth="1"/>
    <col min="9" max="9" width="14.33203125" style="3" bestFit="1" customWidth="1"/>
    <col min="10" max="10" width="10.88671875" style="3" bestFit="1" customWidth="1"/>
    <col min="11" max="11" width="22.109375" style="3" bestFit="1" customWidth="1"/>
    <col min="12" max="12" width="16.44140625" style="3" bestFit="1" customWidth="1"/>
    <col min="13" max="13" width="15.109375" style="3" bestFit="1" customWidth="1"/>
    <col min="14" max="14" width="6.6640625" style="3" bestFit="1" customWidth="1"/>
    <col min="15" max="15" width="15.109375" style="3" bestFit="1" customWidth="1"/>
    <col min="16" max="16" width="7.44140625" style="3" bestFit="1" customWidth="1"/>
    <col min="17" max="17" width="8.88671875" style="3" customWidth="1"/>
    <col min="18" max="16384" width="7.109375" style="3"/>
  </cols>
  <sheetData>
    <row r="1" spans="1:16" s="2" customFormat="1" ht="15" customHeight="1" x14ac:dyDescent="0.25">
      <c r="A1" s="11" t="s">
        <v>28</v>
      </c>
      <c r="B1" s="11" t="s">
        <v>27</v>
      </c>
      <c r="C1" s="6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18</v>
      </c>
      <c r="P1" s="1" t="s">
        <v>12</v>
      </c>
    </row>
    <row r="2" spans="1:16" ht="15" customHeight="1" x14ac:dyDescent="0.3">
      <c r="A2" s="3">
        <v>1</v>
      </c>
      <c r="B2" s="3" t="s">
        <v>26</v>
      </c>
      <c r="C2" s="9" t="s">
        <v>13</v>
      </c>
      <c r="D2" s="3">
        <v>14.23</v>
      </c>
      <c r="E2" s="3">
        <v>1.71</v>
      </c>
      <c r="F2" s="3">
        <v>2.4300000000000002</v>
      </c>
      <c r="G2" s="3">
        <v>15.6</v>
      </c>
      <c r="H2" s="3">
        <v>127</v>
      </c>
      <c r="I2" s="3">
        <v>2.8</v>
      </c>
      <c r="J2" s="3">
        <v>3.06</v>
      </c>
      <c r="K2" s="3">
        <v>0.28000000000000003</v>
      </c>
      <c r="L2" s="3">
        <v>2.29</v>
      </c>
      <c r="M2" s="3">
        <v>5.64</v>
      </c>
      <c r="N2" s="3">
        <v>1.04</v>
      </c>
      <c r="O2" s="3">
        <v>3.92</v>
      </c>
      <c r="P2" s="3">
        <v>1065</v>
      </c>
    </row>
    <row r="3" spans="1:16" ht="15" customHeight="1" x14ac:dyDescent="0.3">
      <c r="A3" s="3">
        <v>2</v>
      </c>
      <c r="B3" s="3" t="s">
        <v>26</v>
      </c>
      <c r="C3" s="9" t="s">
        <v>13</v>
      </c>
      <c r="D3" s="3">
        <v>13.2</v>
      </c>
      <c r="E3" s="3">
        <v>1.78</v>
      </c>
      <c r="F3" s="3">
        <v>2.14</v>
      </c>
      <c r="G3" s="3">
        <v>11.2</v>
      </c>
      <c r="H3" s="3">
        <v>100</v>
      </c>
      <c r="I3" s="3">
        <v>2.65</v>
      </c>
      <c r="J3" s="3">
        <v>2.76</v>
      </c>
      <c r="K3" s="3">
        <v>0.26</v>
      </c>
      <c r="L3" s="3">
        <v>1.28</v>
      </c>
      <c r="M3" s="3">
        <v>4.38</v>
      </c>
      <c r="N3" s="3">
        <v>1.05</v>
      </c>
      <c r="O3" s="3">
        <v>3.4</v>
      </c>
      <c r="P3" s="3">
        <v>1050</v>
      </c>
    </row>
    <row r="4" spans="1:16" ht="15" customHeight="1" x14ac:dyDescent="0.3">
      <c r="A4" s="3">
        <v>3</v>
      </c>
      <c r="B4" s="3" t="s">
        <v>26</v>
      </c>
      <c r="C4" s="9" t="s">
        <v>13</v>
      </c>
      <c r="D4" s="3">
        <v>13.16</v>
      </c>
      <c r="E4" s="3">
        <v>2.36</v>
      </c>
      <c r="F4" s="3">
        <v>2.67</v>
      </c>
      <c r="G4" s="3">
        <v>18.600000000000001</v>
      </c>
      <c r="H4" s="3">
        <v>101</v>
      </c>
      <c r="I4" s="3">
        <v>2.8</v>
      </c>
      <c r="J4" s="3">
        <v>3.24</v>
      </c>
      <c r="K4" s="3">
        <v>0.3</v>
      </c>
      <c r="L4" s="3">
        <v>2.81</v>
      </c>
      <c r="M4" s="3">
        <v>5.68</v>
      </c>
      <c r="N4" s="3">
        <v>1.03</v>
      </c>
      <c r="O4" s="3">
        <v>3.17</v>
      </c>
      <c r="P4" s="3">
        <v>1185</v>
      </c>
    </row>
    <row r="5" spans="1:16" ht="15" customHeight="1" x14ac:dyDescent="0.3">
      <c r="A5" s="3">
        <v>4</v>
      </c>
      <c r="B5" s="3" t="s">
        <v>26</v>
      </c>
      <c r="C5" s="9" t="s">
        <v>13</v>
      </c>
      <c r="D5" s="3">
        <v>14.37</v>
      </c>
      <c r="E5" s="3">
        <v>1.95</v>
      </c>
      <c r="F5" s="3">
        <v>2.5</v>
      </c>
      <c r="G5" s="3">
        <v>16.8</v>
      </c>
      <c r="H5" s="3">
        <v>113</v>
      </c>
      <c r="I5" s="3">
        <v>3.85</v>
      </c>
      <c r="J5" s="3">
        <v>3.49</v>
      </c>
      <c r="K5" s="3">
        <v>0.24</v>
      </c>
      <c r="L5" s="3">
        <v>2.1800000000000002</v>
      </c>
      <c r="M5" s="3">
        <v>7.8</v>
      </c>
      <c r="N5" s="3">
        <v>0.86</v>
      </c>
      <c r="O5" s="3">
        <v>3.45</v>
      </c>
      <c r="P5" s="3">
        <v>1480</v>
      </c>
    </row>
    <row r="6" spans="1:16" ht="15" customHeight="1" x14ac:dyDescent="0.3">
      <c r="A6" s="3">
        <v>5</v>
      </c>
      <c r="B6" s="3" t="s">
        <v>26</v>
      </c>
      <c r="C6" s="9" t="s">
        <v>13</v>
      </c>
      <c r="D6" s="3">
        <v>13.24</v>
      </c>
      <c r="E6" s="3">
        <v>2.59</v>
      </c>
      <c r="F6" s="3">
        <v>2.87</v>
      </c>
      <c r="G6" s="3">
        <v>21</v>
      </c>
      <c r="H6" s="3">
        <v>118</v>
      </c>
      <c r="I6" s="3">
        <v>2.8</v>
      </c>
      <c r="J6" s="3">
        <v>2.69</v>
      </c>
      <c r="K6" s="3">
        <v>0.39</v>
      </c>
      <c r="L6" s="3">
        <v>1.82</v>
      </c>
      <c r="M6" s="3">
        <v>4.32</v>
      </c>
      <c r="N6" s="3">
        <v>1.04</v>
      </c>
      <c r="O6" s="3">
        <v>2.93</v>
      </c>
      <c r="P6" s="3">
        <v>735</v>
      </c>
    </row>
    <row r="7" spans="1:16" ht="15" customHeight="1" x14ac:dyDescent="0.3">
      <c r="A7" s="3">
        <v>6</v>
      </c>
      <c r="B7" s="3" t="s">
        <v>26</v>
      </c>
      <c r="C7" s="9" t="s">
        <v>13</v>
      </c>
      <c r="D7" s="3">
        <v>14.2</v>
      </c>
      <c r="E7" s="3">
        <v>1.76</v>
      </c>
      <c r="F7" s="3">
        <v>2.4500000000000002</v>
      </c>
      <c r="G7" s="3">
        <v>15.2</v>
      </c>
      <c r="H7" s="3">
        <v>112</v>
      </c>
      <c r="I7" s="3">
        <v>3.27</v>
      </c>
      <c r="J7" s="3">
        <v>3.39</v>
      </c>
      <c r="K7" s="3">
        <v>0.34</v>
      </c>
      <c r="L7" s="3">
        <v>1.97</v>
      </c>
      <c r="M7" s="3">
        <v>6.75</v>
      </c>
      <c r="N7" s="3">
        <v>1.05</v>
      </c>
      <c r="O7" s="3">
        <v>2.85</v>
      </c>
      <c r="P7" s="3">
        <v>1450</v>
      </c>
    </row>
    <row r="8" spans="1:16" ht="15" customHeight="1" x14ac:dyDescent="0.3">
      <c r="A8" s="3">
        <v>7</v>
      </c>
      <c r="B8" s="3" t="s">
        <v>26</v>
      </c>
      <c r="C8" s="9" t="s">
        <v>13</v>
      </c>
      <c r="D8" s="3">
        <v>14.39</v>
      </c>
      <c r="E8" s="3">
        <v>1.87</v>
      </c>
      <c r="F8" s="3">
        <v>2.4500000000000002</v>
      </c>
      <c r="G8" s="3">
        <v>14.6</v>
      </c>
      <c r="H8" s="3">
        <v>96</v>
      </c>
      <c r="I8" s="3">
        <v>2.5</v>
      </c>
      <c r="J8" s="3">
        <v>2.52</v>
      </c>
      <c r="K8" s="3">
        <v>0.3</v>
      </c>
      <c r="L8" s="3">
        <v>1.98</v>
      </c>
      <c r="M8" s="3">
        <v>5.25</v>
      </c>
      <c r="N8" s="3">
        <v>1.02</v>
      </c>
      <c r="O8" s="3">
        <v>3.58</v>
      </c>
      <c r="P8" s="3">
        <v>1290</v>
      </c>
    </row>
    <row r="9" spans="1:16" ht="15" customHeight="1" x14ac:dyDescent="0.3">
      <c r="A9" s="3">
        <v>8</v>
      </c>
      <c r="B9" s="3" t="s">
        <v>26</v>
      </c>
      <c r="C9" s="9" t="s">
        <v>13</v>
      </c>
      <c r="D9" s="3">
        <v>14.06</v>
      </c>
      <c r="E9" s="3">
        <v>2.15</v>
      </c>
      <c r="F9" s="3">
        <v>2.61</v>
      </c>
      <c r="G9" s="3">
        <v>17.600000000000001</v>
      </c>
      <c r="H9" s="3">
        <v>121</v>
      </c>
      <c r="I9" s="3">
        <v>2.6</v>
      </c>
      <c r="J9" s="3">
        <v>2.5099999999999998</v>
      </c>
      <c r="K9" s="3">
        <v>0.31</v>
      </c>
      <c r="L9" s="3">
        <v>1.25</v>
      </c>
      <c r="M9" s="3">
        <v>5.05</v>
      </c>
      <c r="N9" s="3">
        <v>1.06</v>
      </c>
      <c r="O9" s="3">
        <v>3.58</v>
      </c>
      <c r="P9" s="3">
        <v>1295</v>
      </c>
    </row>
    <row r="10" spans="1:16" ht="15" customHeight="1" x14ac:dyDescent="0.3">
      <c r="A10" s="3">
        <v>9</v>
      </c>
      <c r="B10" s="3" t="s">
        <v>26</v>
      </c>
      <c r="C10" s="9" t="s">
        <v>13</v>
      </c>
      <c r="D10" s="3">
        <v>14.83</v>
      </c>
      <c r="E10" s="3">
        <v>1.64</v>
      </c>
      <c r="F10" s="3">
        <v>2.17</v>
      </c>
      <c r="G10" s="3">
        <v>14</v>
      </c>
      <c r="H10" s="3">
        <v>97</v>
      </c>
      <c r="I10" s="3">
        <v>2.8</v>
      </c>
      <c r="J10" s="3">
        <v>2.98</v>
      </c>
      <c r="K10" s="3">
        <v>0.28999999999999998</v>
      </c>
      <c r="L10" s="3">
        <v>1.98</v>
      </c>
      <c r="M10" s="3">
        <v>5.2</v>
      </c>
      <c r="N10" s="3">
        <v>1.08</v>
      </c>
      <c r="O10" s="3">
        <v>2.85</v>
      </c>
      <c r="P10" s="3">
        <v>1045</v>
      </c>
    </row>
    <row r="11" spans="1:16" ht="15" customHeight="1" x14ac:dyDescent="0.3">
      <c r="A11" s="3">
        <v>10</v>
      </c>
      <c r="B11" s="3" t="s">
        <v>26</v>
      </c>
      <c r="C11" s="9" t="s">
        <v>13</v>
      </c>
      <c r="D11" s="3">
        <v>13.86</v>
      </c>
      <c r="E11" s="3">
        <v>1.35</v>
      </c>
      <c r="F11" s="3">
        <v>2.27</v>
      </c>
      <c r="G11" s="3">
        <v>16</v>
      </c>
      <c r="H11" s="3">
        <v>98</v>
      </c>
      <c r="I11" s="3">
        <v>2.98</v>
      </c>
      <c r="J11" s="3">
        <v>3.15</v>
      </c>
      <c r="K11" s="3">
        <v>0.22</v>
      </c>
      <c r="L11" s="3">
        <v>1.85</v>
      </c>
      <c r="M11" s="3">
        <v>7.22</v>
      </c>
      <c r="N11" s="3">
        <v>1.01</v>
      </c>
      <c r="O11" s="3">
        <v>3.55</v>
      </c>
      <c r="P11" s="3">
        <v>1045</v>
      </c>
    </row>
    <row r="12" spans="1:16" ht="15" customHeight="1" x14ac:dyDescent="0.3">
      <c r="A12" s="3">
        <v>11</v>
      </c>
      <c r="B12" s="3" t="s">
        <v>26</v>
      </c>
      <c r="C12" s="9" t="s">
        <v>13</v>
      </c>
      <c r="D12" s="3">
        <v>14.1</v>
      </c>
      <c r="E12" s="3">
        <v>2.16</v>
      </c>
      <c r="F12" s="3">
        <v>2.2999999999999998</v>
      </c>
      <c r="G12" s="3">
        <v>18</v>
      </c>
      <c r="H12" s="3">
        <v>105</v>
      </c>
      <c r="I12" s="3">
        <v>2.95</v>
      </c>
      <c r="J12" s="3">
        <v>3.32</v>
      </c>
      <c r="K12" s="3">
        <v>0.22</v>
      </c>
      <c r="L12" s="3">
        <v>2.38</v>
      </c>
      <c r="M12" s="3">
        <v>5.75</v>
      </c>
      <c r="N12" s="3">
        <v>1.25</v>
      </c>
      <c r="O12" s="3">
        <v>3.17</v>
      </c>
      <c r="P12" s="3">
        <v>1510</v>
      </c>
    </row>
    <row r="13" spans="1:16" ht="15" customHeight="1" x14ac:dyDescent="0.3">
      <c r="A13" s="3">
        <v>12</v>
      </c>
      <c r="B13" s="3" t="s">
        <v>26</v>
      </c>
      <c r="C13" s="9" t="s">
        <v>13</v>
      </c>
      <c r="D13" s="3">
        <v>14.12</v>
      </c>
      <c r="E13" s="3">
        <v>1.48</v>
      </c>
      <c r="F13" s="3">
        <v>2.3199999999999998</v>
      </c>
      <c r="G13" s="3">
        <v>16.8</v>
      </c>
      <c r="H13" s="3">
        <v>95</v>
      </c>
      <c r="I13" s="3">
        <v>2.2000000000000002</v>
      </c>
      <c r="J13" s="3">
        <v>2.4300000000000002</v>
      </c>
      <c r="K13" s="3">
        <v>0.26</v>
      </c>
      <c r="L13" s="3">
        <v>1.57</v>
      </c>
      <c r="M13" s="3">
        <v>5</v>
      </c>
      <c r="N13" s="3">
        <v>1.17</v>
      </c>
      <c r="O13" s="3">
        <v>2.82</v>
      </c>
      <c r="P13" s="3">
        <v>1280</v>
      </c>
    </row>
    <row r="14" spans="1:16" ht="15" customHeight="1" x14ac:dyDescent="0.3">
      <c r="A14" s="3">
        <v>13</v>
      </c>
      <c r="B14" s="3" t="s">
        <v>26</v>
      </c>
      <c r="C14" s="9" t="s">
        <v>13</v>
      </c>
      <c r="D14" s="3">
        <v>13.75</v>
      </c>
      <c r="E14" s="3">
        <v>1.73</v>
      </c>
      <c r="F14" s="3">
        <v>2.41</v>
      </c>
      <c r="G14" s="3">
        <v>16</v>
      </c>
      <c r="H14" s="3">
        <v>89</v>
      </c>
      <c r="I14" s="3">
        <v>2.6</v>
      </c>
      <c r="J14" s="3">
        <v>2.76</v>
      </c>
      <c r="K14" s="3">
        <v>0.28999999999999998</v>
      </c>
      <c r="L14" s="3">
        <v>1.81</v>
      </c>
      <c r="M14" s="3">
        <v>5.6</v>
      </c>
      <c r="N14" s="3">
        <v>1.1499999999999999</v>
      </c>
      <c r="O14" s="3">
        <v>2.9</v>
      </c>
      <c r="P14" s="3">
        <v>1320</v>
      </c>
    </row>
    <row r="15" spans="1:16" ht="15" customHeight="1" x14ac:dyDescent="0.3">
      <c r="A15" s="3">
        <v>14</v>
      </c>
      <c r="B15" s="3" t="s">
        <v>26</v>
      </c>
      <c r="C15" s="9" t="s">
        <v>13</v>
      </c>
      <c r="D15" s="3">
        <v>14.75</v>
      </c>
      <c r="E15" s="3">
        <v>1.73</v>
      </c>
      <c r="F15" s="3">
        <v>2.39</v>
      </c>
      <c r="G15" s="3">
        <v>11.4</v>
      </c>
      <c r="H15" s="3">
        <v>91</v>
      </c>
      <c r="I15" s="3">
        <v>3.1</v>
      </c>
      <c r="J15" s="3">
        <v>3.69</v>
      </c>
      <c r="K15" s="3">
        <v>0.43</v>
      </c>
      <c r="L15" s="3">
        <v>2.81</v>
      </c>
      <c r="M15" s="3">
        <v>5.4</v>
      </c>
      <c r="N15" s="3">
        <v>1.25</v>
      </c>
      <c r="O15" s="3">
        <v>2.73</v>
      </c>
      <c r="P15" s="3">
        <v>1150</v>
      </c>
    </row>
    <row r="16" spans="1:16" ht="15" customHeight="1" x14ac:dyDescent="0.3">
      <c r="A16" s="3">
        <v>15</v>
      </c>
      <c r="B16" s="3" t="s">
        <v>26</v>
      </c>
      <c r="C16" s="9" t="s">
        <v>13</v>
      </c>
      <c r="D16" s="3">
        <v>14.38</v>
      </c>
      <c r="E16" s="3">
        <v>1.87</v>
      </c>
      <c r="F16" s="3">
        <v>2.38</v>
      </c>
      <c r="G16" s="3">
        <v>12</v>
      </c>
      <c r="H16" s="3">
        <v>102</v>
      </c>
      <c r="I16" s="3">
        <v>3.3</v>
      </c>
      <c r="J16" s="3">
        <v>3.64</v>
      </c>
      <c r="K16" s="3">
        <v>0.28999999999999998</v>
      </c>
      <c r="L16" s="3">
        <v>2.96</v>
      </c>
      <c r="M16" s="3">
        <v>7.5</v>
      </c>
      <c r="N16" s="3">
        <v>1.2</v>
      </c>
      <c r="O16" s="3">
        <v>3</v>
      </c>
      <c r="P16" s="3">
        <v>1547</v>
      </c>
    </row>
    <row r="17" spans="1:16" ht="15" customHeight="1" x14ac:dyDescent="0.3">
      <c r="A17" s="3">
        <v>16</v>
      </c>
      <c r="B17" s="3" t="s">
        <v>26</v>
      </c>
      <c r="C17" s="9" t="s">
        <v>13</v>
      </c>
      <c r="D17" s="3">
        <v>13.63</v>
      </c>
      <c r="E17" s="3">
        <v>1.81</v>
      </c>
      <c r="F17" s="3">
        <v>2.7</v>
      </c>
      <c r="G17" s="3">
        <v>17.2</v>
      </c>
      <c r="H17" s="3">
        <v>112</v>
      </c>
      <c r="I17" s="3">
        <v>2.85</v>
      </c>
      <c r="J17" s="3">
        <v>2.91</v>
      </c>
      <c r="K17" s="3">
        <v>0.3</v>
      </c>
      <c r="L17" s="3">
        <v>1.46</v>
      </c>
      <c r="M17" s="3">
        <v>7.3</v>
      </c>
      <c r="N17" s="3">
        <v>1.28</v>
      </c>
      <c r="O17" s="3">
        <v>2.88</v>
      </c>
      <c r="P17" s="3">
        <v>1310</v>
      </c>
    </row>
    <row r="18" spans="1:16" ht="15" customHeight="1" x14ac:dyDescent="0.3">
      <c r="A18" s="3">
        <v>17</v>
      </c>
      <c r="B18" s="3" t="s">
        <v>26</v>
      </c>
      <c r="C18" s="9" t="s">
        <v>13</v>
      </c>
      <c r="D18" s="3">
        <v>14.3</v>
      </c>
      <c r="E18" s="3">
        <v>1.92</v>
      </c>
      <c r="F18" s="3">
        <v>2.72</v>
      </c>
      <c r="G18" s="3">
        <v>20</v>
      </c>
      <c r="H18" s="3">
        <v>120</v>
      </c>
      <c r="I18" s="3">
        <v>2.8</v>
      </c>
      <c r="J18" s="3">
        <v>3.14</v>
      </c>
      <c r="K18" s="3">
        <v>0.33</v>
      </c>
      <c r="L18" s="3">
        <v>1.97</v>
      </c>
      <c r="M18" s="3">
        <v>6.2</v>
      </c>
      <c r="N18" s="3">
        <v>1.07</v>
      </c>
      <c r="O18" s="3">
        <v>2.65</v>
      </c>
      <c r="P18" s="3">
        <v>1280</v>
      </c>
    </row>
    <row r="19" spans="1:16" ht="15" customHeight="1" x14ac:dyDescent="0.3">
      <c r="A19" s="3">
        <v>18</v>
      </c>
      <c r="B19" s="3" t="s">
        <v>26</v>
      </c>
      <c r="C19" s="9" t="s">
        <v>13</v>
      </c>
      <c r="D19" s="3">
        <v>13.83</v>
      </c>
      <c r="E19" s="3">
        <v>1.57</v>
      </c>
      <c r="F19" s="3">
        <v>2.62</v>
      </c>
      <c r="G19" s="3">
        <v>20</v>
      </c>
      <c r="H19" s="3">
        <v>115</v>
      </c>
      <c r="I19" s="3">
        <v>2.95</v>
      </c>
      <c r="J19" s="3">
        <v>3.4</v>
      </c>
      <c r="K19" s="3">
        <v>0.4</v>
      </c>
      <c r="L19" s="3">
        <v>1.72</v>
      </c>
      <c r="M19" s="3">
        <v>6.6</v>
      </c>
      <c r="N19" s="3">
        <v>1.1299999999999999</v>
      </c>
      <c r="O19" s="3">
        <v>2.57</v>
      </c>
      <c r="P19" s="3">
        <v>1130</v>
      </c>
    </row>
    <row r="20" spans="1:16" ht="15" customHeight="1" x14ac:dyDescent="0.3">
      <c r="A20" s="3">
        <v>19</v>
      </c>
      <c r="B20" s="3" t="s">
        <v>26</v>
      </c>
      <c r="C20" s="9" t="s">
        <v>13</v>
      </c>
      <c r="D20" s="3">
        <v>14.19</v>
      </c>
      <c r="E20" s="3">
        <v>1.59</v>
      </c>
      <c r="F20" s="3">
        <v>2.48</v>
      </c>
      <c r="G20" s="3">
        <v>16.5</v>
      </c>
      <c r="H20" s="3">
        <v>108</v>
      </c>
      <c r="I20" s="3">
        <v>3.3</v>
      </c>
      <c r="J20" s="3">
        <v>3.93</v>
      </c>
      <c r="K20" s="3">
        <v>0.32</v>
      </c>
      <c r="L20" s="3">
        <v>1.86</v>
      </c>
      <c r="M20" s="3">
        <v>8.6999999999999993</v>
      </c>
      <c r="N20" s="3">
        <v>1.23</v>
      </c>
      <c r="O20" s="3">
        <v>2.82</v>
      </c>
      <c r="P20" s="3">
        <v>1680</v>
      </c>
    </row>
    <row r="21" spans="1:16" ht="15" customHeight="1" x14ac:dyDescent="0.3">
      <c r="A21" s="3">
        <v>20</v>
      </c>
      <c r="B21" s="3" t="s">
        <v>26</v>
      </c>
      <c r="C21" s="9" t="s">
        <v>13</v>
      </c>
      <c r="D21" s="3">
        <v>13.64</v>
      </c>
      <c r="E21" s="3">
        <v>3.1</v>
      </c>
      <c r="F21" s="3">
        <v>2.56</v>
      </c>
      <c r="G21" s="3">
        <v>15.2</v>
      </c>
      <c r="H21" s="3">
        <v>116</v>
      </c>
      <c r="I21" s="3">
        <v>2.7</v>
      </c>
      <c r="J21" s="3">
        <v>3.03</v>
      </c>
      <c r="K21" s="3">
        <v>0.17</v>
      </c>
      <c r="L21" s="3">
        <v>1.66</v>
      </c>
      <c r="M21" s="3">
        <v>5.0999999999999996</v>
      </c>
      <c r="N21" s="3">
        <v>0.96</v>
      </c>
      <c r="O21" s="3">
        <v>3.36</v>
      </c>
      <c r="P21" s="3">
        <v>845</v>
      </c>
    </row>
    <row r="22" spans="1:16" ht="15" customHeight="1" x14ac:dyDescent="0.3">
      <c r="A22" s="3">
        <v>21</v>
      </c>
      <c r="B22" s="3" t="s">
        <v>26</v>
      </c>
      <c r="C22" s="9" t="s">
        <v>13</v>
      </c>
      <c r="D22" s="3">
        <v>14.06</v>
      </c>
      <c r="E22" s="3">
        <v>1.63</v>
      </c>
      <c r="F22" s="3">
        <v>2.2799999999999998</v>
      </c>
      <c r="G22" s="3">
        <v>16</v>
      </c>
      <c r="H22" s="3">
        <v>126</v>
      </c>
      <c r="I22" s="3">
        <v>3</v>
      </c>
      <c r="J22" s="3">
        <v>3.17</v>
      </c>
      <c r="K22" s="3">
        <v>0.24</v>
      </c>
      <c r="L22" s="3">
        <v>2.1</v>
      </c>
      <c r="M22" s="3">
        <v>5.65</v>
      </c>
      <c r="N22" s="3">
        <v>1.0900000000000001</v>
      </c>
      <c r="O22" s="3">
        <v>3.71</v>
      </c>
      <c r="P22" s="3">
        <v>780</v>
      </c>
    </row>
    <row r="23" spans="1:16" ht="15" customHeight="1" x14ac:dyDescent="0.3">
      <c r="A23" s="3">
        <v>22</v>
      </c>
      <c r="B23" s="3" t="s">
        <v>26</v>
      </c>
      <c r="C23" s="9" t="s">
        <v>13</v>
      </c>
      <c r="D23" s="3">
        <v>12.93</v>
      </c>
      <c r="E23" s="3">
        <v>3.8</v>
      </c>
      <c r="F23" s="3">
        <v>2.65</v>
      </c>
      <c r="G23" s="3">
        <v>18.600000000000001</v>
      </c>
      <c r="H23" s="3">
        <v>102</v>
      </c>
      <c r="I23" s="3">
        <v>2.41</v>
      </c>
      <c r="J23" s="3">
        <v>2.41</v>
      </c>
      <c r="K23" s="3">
        <v>0.25</v>
      </c>
      <c r="L23" s="3">
        <v>1.98</v>
      </c>
      <c r="M23" s="3">
        <v>4.5</v>
      </c>
      <c r="N23" s="3">
        <v>1.03</v>
      </c>
      <c r="O23" s="3">
        <v>3.52</v>
      </c>
      <c r="P23" s="3">
        <v>770</v>
      </c>
    </row>
    <row r="24" spans="1:16" ht="15" customHeight="1" x14ac:dyDescent="0.3">
      <c r="A24" s="3">
        <v>23</v>
      </c>
      <c r="B24" s="3" t="s">
        <v>26</v>
      </c>
      <c r="C24" s="9" t="s">
        <v>13</v>
      </c>
      <c r="D24" s="3">
        <v>13.71</v>
      </c>
      <c r="E24" s="3">
        <v>1.86</v>
      </c>
      <c r="F24" s="3">
        <v>2.36</v>
      </c>
      <c r="G24" s="3">
        <v>16.600000000000001</v>
      </c>
      <c r="H24" s="3">
        <v>101</v>
      </c>
      <c r="I24" s="3">
        <v>2.61</v>
      </c>
      <c r="J24" s="3">
        <v>2.88</v>
      </c>
      <c r="K24" s="3">
        <v>0.27</v>
      </c>
      <c r="L24" s="3">
        <v>1.69</v>
      </c>
      <c r="M24" s="3">
        <v>3.8</v>
      </c>
      <c r="N24" s="3">
        <v>1.1100000000000001</v>
      </c>
      <c r="O24" s="3">
        <v>4</v>
      </c>
      <c r="P24" s="3">
        <v>1035</v>
      </c>
    </row>
    <row r="25" spans="1:16" ht="15" customHeight="1" x14ac:dyDescent="0.3">
      <c r="A25" s="3">
        <v>24</v>
      </c>
      <c r="B25" s="3" t="s">
        <v>26</v>
      </c>
      <c r="C25" s="9" t="s">
        <v>13</v>
      </c>
      <c r="D25" s="3">
        <v>12.85</v>
      </c>
      <c r="E25" s="3">
        <v>1.6</v>
      </c>
      <c r="F25" s="3">
        <v>2.52</v>
      </c>
      <c r="G25" s="3">
        <v>17.8</v>
      </c>
      <c r="H25" s="3">
        <v>95</v>
      </c>
      <c r="I25" s="3">
        <v>2.48</v>
      </c>
      <c r="J25" s="3">
        <v>2.37</v>
      </c>
      <c r="K25" s="3">
        <v>0.26</v>
      </c>
      <c r="L25" s="3">
        <v>1.46</v>
      </c>
      <c r="M25" s="3">
        <v>3.93</v>
      </c>
      <c r="N25" s="3">
        <v>1.0900000000000001</v>
      </c>
      <c r="O25" s="3">
        <v>3.63</v>
      </c>
      <c r="P25" s="3">
        <v>1015</v>
      </c>
    </row>
    <row r="26" spans="1:16" ht="15" customHeight="1" x14ac:dyDescent="0.3">
      <c r="A26" s="3">
        <v>25</v>
      </c>
      <c r="B26" s="3" t="s">
        <v>26</v>
      </c>
      <c r="C26" s="9" t="s">
        <v>13</v>
      </c>
      <c r="D26" s="3">
        <v>13.5</v>
      </c>
      <c r="E26" s="3">
        <v>1.81</v>
      </c>
      <c r="F26" s="3">
        <v>2.61</v>
      </c>
      <c r="G26" s="3">
        <v>20</v>
      </c>
      <c r="H26" s="3">
        <v>96</v>
      </c>
      <c r="I26" s="3">
        <v>2.5299999999999998</v>
      </c>
      <c r="J26" s="3">
        <v>2.61</v>
      </c>
      <c r="K26" s="3">
        <v>0.28000000000000003</v>
      </c>
      <c r="L26" s="3">
        <v>1.66</v>
      </c>
      <c r="M26" s="3">
        <v>3.52</v>
      </c>
      <c r="N26" s="3">
        <v>1.1200000000000001</v>
      </c>
      <c r="O26" s="3">
        <v>3.82</v>
      </c>
      <c r="P26" s="3">
        <v>845</v>
      </c>
    </row>
    <row r="27" spans="1:16" ht="15" customHeight="1" x14ac:dyDescent="0.3">
      <c r="A27" s="3">
        <v>26</v>
      </c>
      <c r="B27" s="3" t="s">
        <v>26</v>
      </c>
      <c r="C27" s="9" t="s">
        <v>13</v>
      </c>
      <c r="D27" s="3">
        <v>13.05</v>
      </c>
      <c r="E27" s="3">
        <v>2.0499999999999998</v>
      </c>
      <c r="F27" s="3">
        <v>3.22</v>
      </c>
      <c r="G27" s="3">
        <v>25</v>
      </c>
      <c r="H27" s="3">
        <v>124</v>
      </c>
      <c r="I27" s="3">
        <v>2.63</v>
      </c>
      <c r="J27" s="3">
        <v>2.68</v>
      </c>
      <c r="K27" s="3">
        <v>0.47</v>
      </c>
      <c r="L27" s="3">
        <v>1.92</v>
      </c>
      <c r="M27" s="3">
        <v>3.58</v>
      </c>
      <c r="N27" s="3">
        <v>1.1299999999999999</v>
      </c>
      <c r="O27" s="3">
        <v>3.2</v>
      </c>
      <c r="P27" s="3">
        <v>830</v>
      </c>
    </row>
    <row r="28" spans="1:16" ht="15" customHeight="1" x14ac:dyDescent="0.3">
      <c r="A28" s="3">
        <v>27</v>
      </c>
      <c r="B28" s="3" t="s">
        <v>26</v>
      </c>
      <c r="C28" s="9" t="s">
        <v>13</v>
      </c>
      <c r="D28" s="3">
        <v>13.39</v>
      </c>
      <c r="E28" s="3">
        <v>1.77</v>
      </c>
      <c r="F28" s="3">
        <v>2.62</v>
      </c>
      <c r="G28" s="3">
        <v>16.100000000000001</v>
      </c>
      <c r="H28" s="3">
        <v>93</v>
      </c>
      <c r="I28" s="3">
        <v>2.85</v>
      </c>
      <c r="J28" s="3">
        <v>2.94</v>
      </c>
      <c r="K28" s="3">
        <v>0.34</v>
      </c>
      <c r="L28" s="3">
        <v>1.45</v>
      </c>
      <c r="M28" s="3">
        <v>4.8</v>
      </c>
      <c r="N28" s="3">
        <v>0.92</v>
      </c>
      <c r="O28" s="3">
        <v>3.22</v>
      </c>
      <c r="P28" s="3">
        <v>1195</v>
      </c>
    </row>
    <row r="29" spans="1:16" ht="15" customHeight="1" x14ac:dyDescent="0.3">
      <c r="A29" s="3">
        <v>28</v>
      </c>
      <c r="B29" s="3" t="s">
        <v>26</v>
      </c>
      <c r="C29" s="9" t="s">
        <v>13</v>
      </c>
      <c r="D29" s="3">
        <v>13.3</v>
      </c>
      <c r="E29" s="3">
        <v>1.72</v>
      </c>
      <c r="F29" s="3">
        <v>2.14</v>
      </c>
      <c r="G29" s="3">
        <v>17</v>
      </c>
      <c r="H29" s="3">
        <v>94</v>
      </c>
      <c r="I29" s="3">
        <v>2.4</v>
      </c>
      <c r="J29" s="3">
        <v>2.19</v>
      </c>
      <c r="K29" s="3">
        <v>0.27</v>
      </c>
      <c r="L29" s="3">
        <v>1.35</v>
      </c>
      <c r="M29" s="3">
        <v>3.95</v>
      </c>
      <c r="N29" s="3">
        <v>1.02</v>
      </c>
      <c r="O29" s="3">
        <v>2.77</v>
      </c>
      <c r="P29" s="3">
        <v>1285</v>
      </c>
    </row>
    <row r="30" spans="1:16" ht="15" customHeight="1" x14ac:dyDescent="0.3">
      <c r="A30" s="3">
        <v>29</v>
      </c>
      <c r="B30" s="3" t="s">
        <v>26</v>
      </c>
      <c r="C30" s="9" t="s">
        <v>13</v>
      </c>
      <c r="D30" s="3">
        <v>13.87</v>
      </c>
      <c r="E30" s="3">
        <v>1.9</v>
      </c>
      <c r="F30" s="3">
        <v>2.8</v>
      </c>
      <c r="G30" s="3">
        <v>19.399999999999999</v>
      </c>
      <c r="H30" s="3">
        <v>107</v>
      </c>
      <c r="I30" s="3">
        <v>2.95</v>
      </c>
      <c r="J30" s="3">
        <v>2.97</v>
      </c>
      <c r="K30" s="3">
        <v>0.37</v>
      </c>
      <c r="L30" s="3">
        <v>1.76</v>
      </c>
      <c r="M30" s="3">
        <v>4.5</v>
      </c>
      <c r="N30" s="3">
        <v>1.25</v>
      </c>
      <c r="O30" s="3">
        <v>3.4</v>
      </c>
      <c r="P30" s="3">
        <v>915</v>
      </c>
    </row>
    <row r="31" spans="1:16" ht="15" customHeight="1" x14ac:dyDescent="0.3">
      <c r="A31" s="3">
        <v>30</v>
      </c>
      <c r="B31" s="3" t="s">
        <v>26</v>
      </c>
      <c r="C31" s="9" t="s">
        <v>13</v>
      </c>
      <c r="D31" s="3">
        <v>14.02</v>
      </c>
      <c r="E31" s="3">
        <v>1.68</v>
      </c>
      <c r="F31" s="3">
        <v>2.21</v>
      </c>
      <c r="G31" s="3">
        <v>16</v>
      </c>
      <c r="H31" s="3">
        <v>96</v>
      </c>
      <c r="I31" s="3">
        <v>2.65</v>
      </c>
      <c r="J31" s="3">
        <v>2.33</v>
      </c>
      <c r="K31" s="3">
        <v>0.26</v>
      </c>
      <c r="L31" s="3">
        <v>1.98</v>
      </c>
      <c r="M31" s="3">
        <v>4.7</v>
      </c>
      <c r="N31" s="3">
        <v>1.04</v>
      </c>
      <c r="O31" s="3">
        <v>3.59</v>
      </c>
      <c r="P31" s="3">
        <v>1035</v>
      </c>
    </row>
    <row r="32" spans="1:16" ht="15" customHeight="1" x14ac:dyDescent="0.3">
      <c r="A32" s="3">
        <v>31</v>
      </c>
      <c r="B32" s="3" t="s">
        <v>26</v>
      </c>
      <c r="C32" s="9" t="s">
        <v>13</v>
      </c>
      <c r="D32" s="3">
        <v>13.73</v>
      </c>
      <c r="E32" s="3">
        <v>1.5</v>
      </c>
      <c r="F32" s="3">
        <v>2.7</v>
      </c>
      <c r="G32" s="3">
        <v>22.5</v>
      </c>
      <c r="H32" s="3">
        <v>101</v>
      </c>
      <c r="I32" s="3">
        <v>3</v>
      </c>
      <c r="J32" s="3">
        <v>3.25</v>
      </c>
      <c r="K32" s="3">
        <v>0.28999999999999998</v>
      </c>
      <c r="L32" s="3">
        <v>2.38</v>
      </c>
      <c r="M32" s="3">
        <v>5.7</v>
      </c>
      <c r="N32" s="3">
        <v>1.19</v>
      </c>
      <c r="O32" s="3">
        <v>2.71</v>
      </c>
      <c r="P32" s="3">
        <v>1285</v>
      </c>
    </row>
    <row r="33" spans="1:16" ht="15" customHeight="1" x14ac:dyDescent="0.3">
      <c r="A33" s="3">
        <v>32</v>
      </c>
      <c r="B33" s="3" t="s">
        <v>26</v>
      </c>
      <c r="C33" s="9" t="s">
        <v>13</v>
      </c>
      <c r="D33" s="3">
        <v>13.58</v>
      </c>
      <c r="E33" s="3">
        <v>1.66</v>
      </c>
      <c r="F33" s="3">
        <v>2.36</v>
      </c>
      <c r="G33" s="3">
        <v>19.100000000000001</v>
      </c>
      <c r="H33" s="3">
        <v>106</v>
      </c>
      <c r="I33" s="3">
        <v>2.86</v>
      </c>
      <c r="J33" s="3">
        <v>3.19</v>
      </c>
      <c r="K33" s="3">
        <v>0.22</v>
      </c>
      <c r="L33" s="3">
        <v>1.95</v>
      </c>
      <c r="M33" s="3">
        <v>6.9</v>
      </c>
      <c r="N33" s="3">
        <v>1.0900000000000001</v>
      </c>
      <c r="O33" s="3">
        <v>2.88</v>
      </c>
      <c r="P33" s="3">
        <v>1515</v>
      </c>
    </row>
    <row r="34" spans="1:16" ht="15" customHeight="1" x14ac:dyDescent="0.3">
      <c r="A34" s="3">
        <v>33</v>
      </c>
      <c r="B34" s="3" t="s">
        <v>26</v>
      </c>
      <c r="C34" s="9" t="s">
        <v>13</v>
      </c>
      <c r="D34" s="3">
        <v>13.68</v>
      </c>
      <c r="E34" s="3">
        <v>1.83</v>
      </c>
      <c r="F34" s="3">
        <v>2.36</v>
      </c>
      <c r="G34" s="3">
        <v>17.2</v>
      </c>
      <c r="H34" s="3">
        <v>104</v>
      </c>
      <c r="I34" s="3">
        <v>2.42</v>
      </c>
      <c r="J34" s="3">
        <v>2.69</v>
      </c>
      <c r="K34" s="3">
        <v>0.42</v>
      </c>
      <c r="L34" s="3">
        <v>1.97</v>
      </c>
      <c r="M34" s="3">
        <v>3.84</v>
      </c>
      <c r="N34" s="3">
        <v>1.23</v>
      </c>
      <c r="O34" s="3">
        <v>2.87</v>
      </c>
      <c r="P34" s="3">
        <v>990</v>
      </c>
    </row>
    <row r="35" spans="1:16" ht="15" customHeight="1" x14ac:dyDescent="0.3">
      <c r="A35" s="3">
        <v>34</v>
      </c>
      <c r="B35" s="3" t="s">
        <v>26</v>
      </c>
      <c r="C35" s="9" t="s">
        <v>13</v>
      </c>
      <c r="D35" s="3">
        <v>13.76</v>
      </c>
      <c r="E35" s="3">
        <v>1.53</v>
      </c>
      <c r="F35" s="3">
        <v>2.7</v>
      </c>
      <c r="G35" s="3">
        <v>19.5</v>
      </c>
      <c r="H35" s="3">
        <v>132</v>
      </c>
      <c r="I35" s="3">
        <v>2.95</v>
      </c>
      <c r="J35" s="3">
        <v>2.74</v>
      </c>
      <c r="K35" s="3">
        <v>0.5</v>
      </c>
      <c r="L35" s="3">
        <v>1.35</v>
      </c>
      <c r="M35" s="3">
        <v>5.4</v>
      </c>
      <c r="N35" s="3">
        <v>1.25</v>
      </c>
      <c r="O35" s="3">
        <v>3</v>
      </c>
      <c r="P35" s="3">
        <v>1235</v>
      </c>
    </row>
    <row r="36" spans="1:16" ht="15" customHeight="1" x14ac:dyDescent="0.3">
      <c r="A36" s="3">
        <v>35</v>
      </c>
      <c r="B36" s="3" t="s">
        <v>26</v>
      </c>
      <c r="C36" s="9" t="s">
        <v>13</v>
      </c>
      <c r="D36" s="3">
        <v>13.51</v>
      </c>
      <c r="E36" s="3">
        <v>1.8</v>
      </c>
      <c r="F36" s="3">
        <v>2.65</v>
      </c>
      <c r="G36" s="3">
        <v>19</v>
      </c>
      <c r="H36" s="3">
        <v>110</v>
      </c>
      <c r="I36" s="3">
        <v>2.35</v>
      </c>
      <c r="J36" s="3">
        <v>2.5299999999999998</v>
      </c>
      <c r="K36" s="3">
        <v>0.28999999999999998</v>
      </c>
      <c r="L36" s="3">
        <v>1.54</v>
      </c>
      <c r="M36" s="3">
        <v>4.2</v>
      </c>
      <c r="N36" s="3">
        <v>1.1000000000000001</v>
      </c>
      <c r="O36" s="3">
        <v>2.87</v>
      </c>
      <c r="P36" s="3">
        <v>1095</v>
      </c>
    </row>
    <row r="37" spans="1:16" ht="15" customHeight="1" x14ac:dyDescent="0.3">
      <c r="A37" s="3">
        <v>36</v>
      </c>
      <c r="B37" s="3" t="s">
        <v>26</v>
      </c>
      <c r="C37" s="9" t="s">
        <v>13</v>
      </c>
      <c r="D37" s="3">
        <v>13.48</v>
      </c>
      <c r="E37" s="3">
        <v>1.81</v>
      </c>
      <c r="F37" s="3">
        <v>2.41</v>
      </c>
      <c r="G37" s="3">
        <v>20.5</v>
      </c>
      <c r="H37" s="3">
        <v>100</v>
      </c>
      <c r="I37" s="3">
        <v>2.7</v>
      </c>
      <c r="J37" s="3">
        <v>2.98</v>
      </c>
      <c r="K37" s="3">
        <v>0.26</v>
      </c>
      <c r="L37" s="3">
        <v>1.86</v>
      </c>
      <c r="M37" s="3">
        <v>5.0999999999999996</v>
      </c>
      <c r="N37" s="3">
        <v>1.04</v>
      </c>
      <c r="O37" s="3">
        <v>3.47</v>
      </c>
      <c r="P37" s="3">
        <v>920</v>
      </c>
    </row>
    <row r="38" spans="1:16" ht="15" customHeight="1" x14ac:dyDescent="0.3">
      <c r="A38" s="3">
        <v>37</v>
      </c>
      <c r="B38" s="3" t="s">
        <v>26</v>
      </c>
      <c r="C38" s="9" t="s">
        <v>13</v>
      </c>
      <c r="D38" s="3">
        <v>13.28</v>
      </c>
      <c r="E38" s="3">
        <v>1.64</v>
      </c>
      <c r="F38" s="3">
        <v>2.84</v>
      </c>
      <c r="G38" s="3">
        <v>15.5</v>
      </c>
      <c r="H38" s="3">
        <v>110</v>
      </c>
      <c r="I38" s="3">
        <v>2.6</v>
      </c>
      <c r="J38" s="3">
        <v>2.68</v>
      </c>
      <c r="K38" s="3">
        <v>0.34</v>
      </c>
      <c r="L38" s="3">
        <v>1.36</v>
      </c>
      <c r="M38" s="3">
        <v>4.5999999999999996</v>
      </c>
      <c r="N38" s="3">
        <v>1.0900000000000001</v>
      </c>
      <c r="O38" s="3">
        <v>2.78</v>
      </c>
      <c r="P38" s="3">
        <v>880</v>
      </c>
    </row>
    <row r="39" spans="1:16" ht="15" customHeight="1" x14ac:dyDescent="0.3">
      <c r="A39" s="3">
        <v>38</v>
      </c>
      <c r="B39" s="3" t="s">
        <v>26</v>
      </c>
      <c r="C39" s="9" t="s">
        <v>13</v>
      </c>
      <c r="D39" s="3">
        <v>13.05</v>
      </c>
      <c r="E39" s="3">
        <v>1.65</v>
      </c>
      <c r="F39" s="3">
        <v>2.5499999999999998</v>
      </c>
      <c r="G39" s="3">
        <v>18</v>
      </c>
      <c r="H39" s="3">
        <v>98</v>
      </c>
      <c r="I39" s="3">
        <v>2.4500000000000002</v>
      </c>
      <c r="J39" s="3">
        <v>2.4300000000000002</v>
      </c>
      <c r="K39" s="3">
        <v>0.28999999999999998</v>
      </c>
      <c r="L39" s="3">
        <v>1.44</v>
      </c>
      <c r="M39" s="3">
        <v>4.25</v>
      </c>
      <c r="N39" s="3">
        <v>1.1200000000000001</v>
      </c>
      <c r="O39" s="3">
        <v>2.5099999999999998</v>
      </c>
      <c r="P39" s="3">
        <v>1105</v>
      </c>
    </row>
    <row r="40" spans="1:16" ht="15" customHeight="1" x14ac:dyDescent="0.3">
      <c r="A40" s="3">
        <v>39</v>
      </c>
      <c r="B40" s="3" t="s">
        <v>26</v>
      </c>
      <c r="C40" s="9" t="s">
        <v>13</v>
      </c>
      <c r="D40" s="3">
        <v>13.07</v>
      </c>
      <c r="E40" s="3">
        <v>1.5</v>
      </c>
      <c r="F40" s="3">
        <v>2.1</v>
      </c>
      <c r="G40" s="3">
        <v>15.5</v>
      </c>
      <c r="H40" s="3">
        <v>98</v>
      </c>
      <c r="I40" s="3">
        <v>2.4</v>
      </c>
      <c r="J40" s="3">
        <v>2.64</v>
      </c>
      <c r="K40" s="3">
        <v>0.28000000000000003</v>
      </c>
      <c r="L40" s="3">
        <v>1.37</v>
      </c>
      <c r="M40" s="3">
        <v>3.7</v>
      </c>
      <c r="N40" s="3">
        <v>1.18</v>
      </c>
      <c r="O40" s="3">
        <v>2.69</v>
      </c>
      <c r="P40" s="3">
        <v>1020</v>
      </c>
    </row>
    <row r="41" spans="1:16" ht="15" customHeight="1" x14ac:dyDescent="0.3">
      <c r="A41" s="3">
        <v>40</v>
      </c>
      <c r="B41" s="3" t="s">
        <v>26</v>
      </c>
      <c r="C41" s="9" t="s">
        <v>13</v>
      </c>
      <c r="D41" s="3">
        <v>14.22</v>
      </c>
      <c r="E41" s="3">
        <v>3.99</v>
      </c>
      <c r="F41" s="3">
        <v>2.5099999999999998</v>
      </c>
      <c r="G41" s="3">
        <v>13.2</v>
      </c>
      <c r="H41" s="3">
        <v>128</v>
      </c>
      <c r="I41" s="3">
        <v>3</v>
      </c>
      <c r="J41" s="3">
        <v>3.04</v>
      </c>
      <c r="K41" s="3">
        <v>0.2</v>
      </c>
      <c r="L41" s="3">
        <v>2.08</v>
      </c>
      <c r="M41" s="3">
        <v>5.0999999999999996</v>
      </c>
      <c r="N41" s="3">
        <v>0.89</v>
      </c>
      <c r="O41" s="3">
        <v>3.53</v>
      </c>
      <c r="P41" s="3">
        <v>760</v>
      </c>
    </row>
    <row r="42" spans="1:16" ht="15" customHeight="1" x14ac:dyDescent="0.3">
      <c r="A42" s="3">
        <v>41</v>
      </c>
      <c r="B42" s="3" t="s">
        <v>26</v>
      </c>
      <c r="C42" s="9" t="s">
        <v>13</v>
      </c>
      <c r="D42" s="3">
        <v>13.56</v>
      </c>
      <c r="E42" s="3">
        <v>1.71</v>
      </c>
      <c r="F42" s="3">
        <v>2.31</v>
      </c>
      <c r="G42" s="3">
        <v>16.2</v>
      </c>
      <c r="H42" s="3">
        <v>117</v>
      </c>
      <c r="I42" s="3">
        <v>3.15</v>
      </c>
      <c r="J42" s="3">
        <v>3.29</v>
      </c>
      <c r="K42" s="3">
        <v>0.34</v>
      </c>
      <c r="L42" s="3">
        <v>2.34</v>
      </c>
      <c r="M42" s="3">
        <v>6.13</v>
      </c>
      <c r="N42" s="3">
        <v>0.95</v>
      </c>
      <c r="O42" s="3">
        <v>3.38</v>
      </c>
      <c r="P42" s="3">
        <v>795</v>
      </c>
    </row>
    <row r="43" spans="1:16" ht="15" customHeight="1" x14ac:dyDescent="0.3">
      <c r="A43" s="3">
        <v>42</v>
      </c>
      <c r="B43" s="3" t="s">
        <v>26</v>
      </c>
      <c r="C43" s="9" t="s">
        <v>13</v>
      </c>
      <c r="D43" s="3">
        <v>13.41</v>
      </c>
      <c r="E43" s="3">
        <v>3.84</v>
      </c>
      <c r="F43" s="3">
        <v>2.12</v>
      </c>
      <c r="G43" s="3">
        <v>18.8</v>
      </c>
      <c r="H43" s="3">
        <v>90</v>
      </c>
      <c r="I43" s="3">
        <v>2.4500000000000002</v>
      </c>
      <c r="J43" s="3">
        <v>2.68</v>
      </c>
      <c r="K43" s="3">
        <v>0.27</v>
      </c>
      <c r="L43" s="3">
        <v>1.48</v>
      </c>
      <c r="M43" s="3">
        <v>4.28</v>
      </c>
      <c r="N43" s="3">
        <v>0.91</v>
      </c>
      <c r="O43" s="3">
        <v>3</v>
      </c>
      <c r="P43" s="3">
        <v>1035</v>
      </c>
    </row>
    <row r="44" spans="1:16" ht="15" customHeight="1" x14ac:dyDescent="0.3">
      <c r="A44" s="3">
        <v>43</v>
      </c>
      <c r="B44" s="3" t="s">
        <v>26</v>
      </c>
      <c r="C44" s="9" t="s">
        <v>13</v>
      </c>
      <c r="D44" s="3">
        <v>13.88</v>
      </c>
      <c r="E44" s="3">
        <v>1.89</v>
      </c>
      <c r="F44" s="3">
        <v>2.59</v>
      </c>
      <c r="G44" s="3">
        <v>15</v>
      </c>
      <c r="H44" s="3">
        <v>101</v>
      </c>
      <c r="I44" s="3">
        <v>3.25</v>
      </c>
      <c r="J44" s="3">
        <v>3.56</v>
      </c>
      <c r="K44" s="3">
        <v>0.17</v>
      </c>
      <c r="L44" s="3">
        <v>1.7</v>
      </c>
      <c r="M44" s="3">
        <v>5.43</v>
      </c>
      <c r="N44" s="3">
        <v>0.88</v>
      </c>
      <c r="O44" s="3">
        <v>3.56</v>
      </c>
      <c r="P44" s="3">
        <v>1095</v>
      </c>
    </row>
    <row r="45" spans="1:16" ht="15" customHeight="1" x14ac:dyDescent="0.3">
      <c r="A45" s="3">
        <v>44</v>
      </c>
      <c r="B45" s="3" t="s">
        <v>26</v>
      </c>
      <c r="C45" s="9" t="s">
        <v>13</v>
      </c>
      <c r="D45" s="3">
        <v>13.24</v>
      </c>
      <c r="E45" s="3">
        <v>3.98</v>
      </c>
      <c r="F45" s="3">
        <v>2.29</v>
      </c>
      <c r="G45" s="3">
        <v>17.5</v>
      </c>
      <c r="H45" s="3">
        <v>103</v>
      </c>
      <c r="I45" s="3">
        <v>2.64</v>
      </c>
      <c r="J45" s="3">
        <v>2.63</v>
      </c>
      <c r="K45" s="3">
        <v>0.32</v>
      </c>
      <c r="L45" s="3">
        <v>1.66</v>
      </c>
      <c r="M45" s="3">
        <v>4.3600000000000003</v>
      </c>
      <c r="N45" s="3">
        <v>0.82</v>
      </c>
      <c r="O45" s="3">
        <v>3</v>
      </c>
      <c r="P45" s="3">
        <v>680</v>
      </c>
    </row>
    <row r="46" spans="1:16" ht="15" customHeight="1" x14ac:dyDescent="0.3">
      <c r="A46" s="3">
        <v>45</v>
      </c>
      <c r="B46" s="3" t="s">
        <v>26</v>
      </c>
      <c r="C46" s="9" t="s">
        <v>13</v>
      </c>
      <c r="D46" s="3">
        <v>13.05</v>
      </c>
      <c r="E46" s="3">
        <v>1.77</v>
      </c>
      <c r="F46" s="3">
        <v>2.1</v>
      </c>
      <c r="G46" s="3">
        <v>17</v>
      </c>
      <c r="H46" s="3">
        <v>107</v>
      </c>
      <c r="I46" s="3">
        <v>3</v>
      </c>
      <c r="J46" s="3">
        <v>3</v>
      </c>
      <c r="K46" s="3">
        <v>0.28000000000000003</v>
      </c>
      <c r="L46" s="3">
        <v>2.0299999999999998</v>
      </c>
      <c r="M46" s="3">
        <v>5.04</v>
      </c>
      <c r="N46" s="3">
        <v>0.88</v>
      </c>
      <c r="O46" s="3">
        <v>3.35</v>
      </c>
      <c r="P46" s="3">
        <v>885</v>
      </c>
    </row>
    <row r="47" spans="1:16" ht="15" customHeight="1" x14ac:dyDescent="0.3">
      <c r="A47" s="3">
        <v>46</v>
      </c>
      <c r="B47" s="3" t="s">
        <v>26</v>
      </c>
      <c r="C47" s="9" t="s">
        <v>13</v>
      </c>
      <c r="D47" s="3">
        <v>14.21</v>
      </c>
      <c r="E47" s="3">
        <v>4.04</v>
      </c>
      <c r="F47" s="3">
        <v>2.44</v>
      </c>
      <c r="G47" s="3">
        <v>18.899999999999999</v>
      </c>
      <c r="H47" s="3">
        <v>111</v>
      </c>
      <c r="I47" s="3">
        <v>2.85</v>
      </c>
      <c r="J47" s="3">
        <v>2.65</v>
      </c>
      <c r="K47" s="3">
        <v>0.3</v>
      </c>
      <c r="L47" s="3">
        <v>1.25</v>
      </c>
      <c r="M47" s="3">
        <v>5.24</v>
      </c>
      <c r="N47" s="3">
        <v>0.87</v>
      </c>
      <c r="O47" s="3">
        <v>3.33</v>
      </c>
      <c r="P47" s="3">
        <v>1080</v>
      </c>
    </row>
    <row r="48" spans="1:16" ht="15" customHeight="1" x14ac:dyDescent="0.3">
      <c r="A48" s="3">
        <v>47</v>
      </c>
      <c r="B48" s="3" t="s">
        <v>26</v>
      </c>
      <c r="C48" s="9" t="s">
        <v>13</v>
      </c>
      <c r="D48" s="3">
        <v>14.38</v>
      </c>
      <c r="E48" s="3">
        <v>3.59</v>
      </c>
      <c r="F48" s="3">
        <v>2.2799999999999998</v>
      </c>
      <c r="G48" s="3">
        <v>16</v>
      </c>
      <c r="H48" s="3">
        <v>102</v>
      </c>
      <c r="I48" s="3">
        <v>3.25</v>
      </c>
      <c r="J48" s="3">
        <v>3.17</v>
      </c>
      <c r="K48" s="3">
        <v>0.27</v>
      </c>
      <c r="L48" s="3">
        <v>2.19</v>
      </c>
      <c r="M48" s="3">
        <v>4.9000000000000004</v>
      </c>
      <c r="N48" s="3">
        <v>1.04</v>
      </c>
      <c r="O48" s="3">
        <v>3.44</v>
      </c>
      <c r="P48" s="3">
        <v>1065</v>
      </c>
    </row>
    <row r="49" spans="1:16" ht="15" customHeight="1" x14ac:dyDescent="0.3">
      <c r="A49" s="3">
        <v>48</v>
      </c>
      <c r="B49" s="3" t="s">
        <v>26</v>
      </c>
      <c r="C49" s="9" t="s">
        <v>13</v>
      </c>
      <c r="D49" s="3">
        <v>13.9</v>
      </c>
      <c r="E49" s="3">
        <v>1.68</v>
      </c>
      <c r="F49" s="3">
        <v>2.12</v>
      </c>
      <c r="G49" s="3">
        <v>16</v>
      </c>
      <c r="H49" s="3">
        <v>101</v>
      </c>
      <c r="I49" s="3">
        <v>3.1</v>
      </c>
      <c r="J49" s="3">
        <v>3.39</v>
      </c>
      <c r="K49" s="3">
        <v>0.21</v>
      </c>
      <c r="L49" s="3">
        <v>2.14</v>
      </c>
      <c r="M49" s="3">
        <v>6.1</v>
      </c>
      <c r="N49" s="3">
        <v>0.91</v>
      </c>
      <c r="O49" s="3">
        <v>3.33</v>
      </c>
      <c r="P49" s="3">
        <v>985</v>
      </c>
    </row>
    <row r="50" spans="1:16" ht="15" customHeight="1" x14ac:dyDescent="0.3">
      <c r="A50" s="3">
        <v>49</v>
      </c>
      <c r="B50" s="3" t="s">
        <v>26</v>
      </c>
      <c r="C50" s="9" t="s">
        <v>13</v>
      </c>
      <c r="D50" s="3">
        <v>14.1</v>
      </c>
      <c r="E50" s="3">
        <v>2.02</v>
      </c>
      <c r="F50" s="3">
        <v>2.4</v>
      </c>
      <c r="G50" s="3">
        <v>18.8</v>
      </c>
      <c r="H50" s="3">
        <v>103</v>
      </c>
      <c r="I50" s="3">
        <v>2.75</v>
      </c>
      <c r="J50" s="3">
        <v>2.92</v>
      </c>
      <c r="K50" s="3">
        <v>0.32</v>
      </c>
      <c r="L50" s="3">
        <v>2.38</v>
      </c>
      <c r="M50" s="3">
        <v>6.2</v>
      </c>
      <c r="N50" s="3">
        <v>1.07</v>
      </c>
      <c r="O50" s="3">
        <v>2.75</v>
      </c>
      <c r="P50" s="3">
        <v>1060</v>
      </c>
    </row>
    <row r="51" spans="1:16" ht="15" customHeight="1" x14ac:dyDescent="0.3">
      <c r="A51" s="3">
        <v>50</v>
      </c>
      <c r="B51" s="3" t="s">
        <v>26</v>
      </c>
      <c r="C51" s="9" t="s">
        <v>13</v>
      </c>
      <c r="D51" s="3">
        <v>13.94</v>
      </c>
      <c r="E51" s="3">
        <v>1.73</v>
      </c>
      <c r="F51" s="3">
        <v>2.27</v>
      </c>
      <c r="G51" s="3">
        <v>17.399999999999999</v>
      </c>
      <c r="H51" s="3">
        <v>108</v>
      </c>
      <c r="I51" s="3">
        <v>2.88</v>
      </c>
      <c r="J51" s="3">
        <v>3.54</v>
      </c>
      <c r="K51" s="3">
        <v>0.32</v>
      </c>
      <c r="L51" s="3">
        <v>2.08</v>
      </c>
      <c r="M51" s="3">
        <v>8.9</v>
      </c>
      <c r="N51" s="3">
        <v>1.1200000000000001</v>
      </c>
      <c r="O51" s="3">
        <v>3.1</v>
      </c>
      <c r="P51" s="3">
        <v>1260</v>
      </c>
    </row>
    <row r="52" spans="1:16" ht="15" customHeight="1" x14ac:dyDescent="0.3">
      <c r="A52" s="3">
        <v>51</v>
      </c>
      <c r="B52" s="3" t="s">
        <v>26</v>
      </c>
      <c r="C52" s="9" t="s">
        <v>13</v>
      </c>
      <c r="D52" s="3">
        <v>13.05</v>
      </c>
      <c r="E52" s="3">
        <v>1.73</v>
      </c>
      <c r="F52" s="3">
        <v>2.04</v>
      </c>
      <c r="G52" s="3">
        <v>12.4</v>
      </c>
      <c r="H52" s="3">
        <v>92</v>
      </c>
      <c r="I52" s="3">
        <v>2.72</v>
      </c>
      <c r="J52" s="3">
        <v>3.27</v>
      </c>
      <c r="K52" s="3">
        <v>0.17</v>
      </c>
      <c r="L52" s="3">
        <v>2.91</v>
      </c>
      <c r="M52" s="3">
        <v>7.2</v>
      </c>
      <c r="N52" s="3">
        <v>1.1200000000000001</v>
      </c>
      <c r="O52" s="3">
        <v>2.91</v>
      </c>
      <c r="P52" s="3">
        <v>1150</v>
      </c>
    </row>
    <row r="53" spans="1:16" ht="15" customHeight="1" x14ac:dyDescent="0.3">
      <c r="A53" s="3">
        <v>52</v>
      </c>
      <c r="B53" s="3" t="s">
        <v>26</v>
      </c>
      <c r="C53" s="9" t="s">
        <v>13</v>
      </c>
      <c r="D53" s="3">
        <v>13.83</v>
      </c>
      <c r="E53" s="3">
        <v>1.65</v>
      </c>
      <c r="F53" s="3">
        <v>2.6</v>
      </c>
      <c r="G53" s="3">
        <v>17.2</v>
      </c>
      <c r="H53" s="3">
        <v>94</v>
      </c>
      <c r="I53" s="3">
        <v>2.4500000000000002</v>
      </c>
      <c r="J53" s="3">
        <v>2.99</v>
      </c>
      <c r="K53" s="3">
        <v>0.22</v>
      </c>
      <c r="L53" s="3">
        <v>2.29</v>
      </c>
      <c r="M53" s="3">
        <v>5.6</v>
      </c>
      <c r="N53" s="3">
        <v>1.24</v>
      </c>
      <c r="O53" s="3">
        <v>3.37</v>
      </c>
      <c r="P53" s="3">
        <v>1265</v>
      </c>
    </row>
    <row r="54" spans="1:16" ht="15" customHeight="1" x14ac:dyDescent="0.3">
      <c r="A54" s="3">
        <v>53</v>
      </c>
      <c r="B54" s="3" t="s">
        <v>26</v>
      </c>
      <c r="C54" s="9" t="s">
        <v>13</v>
      </c>
      <c r="D54" s="3">
        <v>13.82</v>
      </c>
      <c r="E54" s="3">
        <v>1.75</v>
      </c>
      <c r="F54" s="3">
        <v>2.42</v>
      </c>
      <c r="G54" s="3">
        <v>14</v>
      </c>
      <c r="H54" s="3">
        <v>111</v>
      </c>
      <c r="I54" s="3">
        <v>3.88</v>
      </c>
      <c r="J54" s="3">
        <v>3.74</v>
      </c>
      <c r="K54" s="3">
        <v>0.32</v>
      </c>
      <c r="L54" s="3">
        <v>1.87</v>
      </c>
      <c r="M54" s="3">
        <v>7.05</v>
      </c>
      <c r="N54" s="3">
        <v>1.01</v>
      </c>
      <c r="O54" s="3">
        <v>3.26</v>
      </c>
      <c r="P54" s="3">
        <v>1190</v>
      </c>
    </row>
    <row r="55" spans="1:16" ht="15" customHeight="1" x14ac:dyDescent="0.3">
      <c r="A55" s="3">
        <v>54</v>
      </c>
      <c r="B55" s="3" t="s">
        <v>26</v>
      </c>
      <c r="C55" s="9" t="s">
        <v>13</v>
      </c>
      <c r="D55" s="3">
        <v>13.77</v>
      </c>
      <c r="E55" s="3">
        <v>1.9</v>
      </c>
      <c r="F55" s="3">
        <v>2.68</v>
      </c>
      <c r="G55" s="3">
        <v>17.100000000000001</v>
      </c>
      <c r="H55" s="3">
        <v>115</v>
      </c>
      <c r="I55" s="3">
        <v>3</v>
      </c>
      <c r="J55" s="3">
        <v>2.79</v>
      </c>
      <c r="K55" s="3">
        <v>0.39</v>
      </c>
      <c r="L55" s="3">
        <v>1.68</v>
      </c>
      <c r="M55" s="3">
        <v>6.3</v>
      </c>
      <c r="N55" s="3">
        <v>1.1299999999999999</v>
      </c>
      <c r="O55" s="3">
        <v>2.93</v>
      </c>
      <c r="P55" s="3">
        <v>1375</v>
      </c>
    </row>
    <row r="56" spans="1:16" ht="15" customHeight="1" x14ac:dyDescent="0.3">
      <c r="A56" s="3">
        <v>55</v>
      </c>
      <c r="B56" s="3" t="s">
        <v>26</v>
      </c>
      <c r="C56" s="9" t="s">
        <v>13</v>
      </c>
      <c r="D56" s="3">
        <v>13.74</v>
      </c>
      <c r="E56" s="3">
        <v>1.67</v>
      </c>
      <c r="F56" s="3">
        <v>2.25</v>
      </c>
      <c r="G56" s="3">
        <v>16.399999999999999</v>
      </c>
      <c r="H56" s="3">
        <v>118</v>
      </c>
      <c r="I56" s="3">
        <v>2.6</v>
      </c>
      <c r="J56" s="3">
        <v>2.9</v>
      </c>
      <c r="K56" s="3">
        <v>0.21</v>
      </c>
      <c r="L56" s="3">
        <v>1.62</v>
      </c>
      <c r="M56" s="3">
        <v>5.85</v>
      </c>
      <c r="N56" s="3">
        <v>0.92</v>
      </c>
      <c r="O56" s="3">
        <v>3.2</v>
      </c>
      <c r="P56" s="3">
        <v>1060</v>
      </c>
    </row>
    <row r="57" spans="1:16" ht="15" customHeight="1" x14ac:dyDescent="0.3">
      <c r="A57" s="3">
        <v>56</v>
      </c>
      <c r="B57" s="3" t="s">
        <v>26</v>
      </c>
      <c r="C57" s="9" t="s">
        <v>13</v>
      </c>
      <c r="D57" s="3">
        <v>13.56</v>
      </c>
      <c r="E57" s="3">
        <v>1.73</v>
      </c>
      <c r="F57" s="3">
        <v>2.46</v>
      </c>
      <c r="G57" s="3">
        <v>20.5</v>
      </c>
      <c r="H57" s="3">
        <v>116</v>
      </c>
      <c r="I57" s="3">
        <v>2.96</v>
      </c>
      <c r="J57" s="3">
        <v>2.78</v>
      </c>
      <c r="K57" s="3">
        <v>0.2</v>
      </c>
      <c r="L57" s="3">
        <v>2.4500000000000002</v>
      </c>
      <c r="M57" s="3">
        <v>6.25</v>
      </c>
      <c r="N57" s="3">
        <v>0.98</v>
      </c>
      <c r="O57" s="3">
        <v>3.03</v>
      </c>
      <c r="P57" s="3">
        <v>1120</v>
      </c>
    </row>
    <row r="58" spans="1:16" ht="15" customHeight="1" x14ac:dyDescent="0.3">
      <c r="A58" s="3">
        <v>57</v>
      </c>
      <c r="B58" s="3" t="s">
        <v>26</v>
      </c>
      <c r="C58" s="9" t="s">
        <v>13</v>
      </c>
      <c r="D58" s="3">
        <v>14.22</v>
      </c>
      <c r="E58" s="3">
        <v>1.7</v>
      </c>
      <c r="F58" s="3">
        <v>2.2999999999999998</v>
      </c>
      <c r="G58" s="3">
        <v>16.3</v>
      </c>
      <c r="H58" s="3">
        <v>118</v>
      </c>
      <c r="I58" s="3">
        <v>3.2</v>
      </c>
      <c r="J58" s="3">
        <v>3</v>
      </c>
      <c r="K58" s="3">
        <v>0.26</v>
      </c>
      <c r="L58" s="3">
        <v>2.0299999999999998</v>
      </c>
      <c r="M58" s="3">
        <v>6.38</v>
      </c>
      <c r="N58" s="3">
        <v>0.94</v>
      </c>
      <c r="O58" s="3">
        <v>3.31</v>
      </c>
      <c r="P58" s="3">
        <v>970</v>
      </c>
    </row>
    <row r="59" spans="1:16" ht="15" customHeight="1" x14ac:dyDescent="0.3">
      <c r="A59" s="3">
        <v>58</v>
      </c>
      <c r="B59" s="3" t="s">
        <v>26</v>
      </c>
      <c r="C59" s="9" t="s">
        <v>13</v>
      </c>
      <c r="D59" s="3">
        <v>13.29</v>
      </c>
      <c r="E59" s="3">
        <v>1.97</v>
      </c>
      <c r="F59" s="3">
        <v>2.68</v>
      </c>
      <c r="G59" s="3">
        <v>16.8</v>
      </c>
      <c r="H59" s="3">
        <v>102</v>
      </c>
      <c r="I59" s="3">
        <v>3</v>
      </c>
      <c r="J59" s="3">
        <v>3.23</v>
      </c>
      <c r="K59" s="3">
        <v>0.31</v>
      </c>
      <c r="L59" s="3">
        <v>1.66</v>
      </c>
      <c r="M59" s="3">
        <v>6</v>
      </c>
      <c r="N59" s="3">
        <v>1.07</v>
      </c>
      <c r="O59" s="3">
        <v>2.84</v>
      </c>
      <c r="P59" s="3">
        <v>1270</v>
      </c>
    </row>
    <row r="60" spans="1:16" ht="15" customHeight="1" x14ac:dyDescent="0.3">
      <c r="A60" s="3">
        <v>59</v>
      </c>
      <c r="B60" s="3" t="s">
        <v>26</v>
      </c>
      <c r="C60" s="9" t="s">
        <v>13</v>
      </c>
      <c r="D60" s="3">
        <v>13.72</v>
      </c>
      <c r="E60" s="3">
        <v>1.43</v>
      </c>
      <c r="F60" s="3">
        <v>2.5</v>
      </c>
      <c r="G60" s="3">
        <v>16.7</v>
      </c>
      <c r="H60" s="3">
        <v>108</v>
      </c>
      <c r="I60" s="3">
        <v>3.4</v>
      </c>
      <c r="J60" s="3">
        <v>3.67</v>
      </c>
      <c r="K60" s="3">
        <v>0.19</v>
      </c>
      <c r="L60" s="3">
        <v>2.04</v>
      </c>
      <c r="M60" s="3">
        <v>6.8</v>
      </c>
      <c r="N60" s="3">
        <v>0.89</v>
      </c>
      <c r="O60" s="3">
        <v>2.87</v>
      </c>
      <c r="P60" s="3">
        <v>1285</v>
      </c>
    </row>
    <row r="61" spans="1:16" ht="15" customHeight="1" x14ac:dyDescent="0.3">
      <c r="A61" s="3">
        <v>60</v>
      </c>
      <c r="B61" s="3" t="s">
        <v>26</v>
      </c>
      <c r="C61" s="9" t="s">
        <v>14</v>
      </c>
      <c r="D61" s="3">
        <v>12.37</v>
      </c>
      <c r="E61" s="3">
        <v>0.94</v>
      </c>
      <c r="F61" s="3">
        <v>1.36</v>
      </c>
      <c r="G61" s="3">
        <v>10.6</v>
      </c>
      <c r="H61" s="3">
        <v>88</v>
      </c>
      <c r="I61" s="3">
        <v>1.98</v>
      </c>
      <c r="J61" s="3">
        <v>0.56999999999999995</v>
      </c>
      <c r="K61" s="3">
        <v>0.28000000000000003</v>
      </c>
      <c r="L61" s="3">
        <v>0.42</v>
      </c>
      <c r="M61" s="3">
        <v>1.95</v>
      </c>
      <c r="N61" s="3">
        <v>1.05</v>
      </c>
      <c r="O61" s="3">
        <v>1.82</v>
      </c>
      <c r="P61" s="3">
        <v>520</v>
      </c>
    </row>
    <row r="62" spans="1:16" ht="15" customHeight="1" x14ac:dyDescent="0.3">
      <c r="A62" s="3">
        <v>61</v>
      </c>
      <c r="B62" s="3" t="s">
        <v>26</v>
      </c>
      <c r="C62" s="9" t="s">
        <v>14</v>
      </c>
      <c r="D62" s="3">
        <v>12.33</v>
      </c>
      <c r="E62" s="3">
        <v>1.1000000000000001</v>
      </c>
      <c r="F62" s="3">
        <v>2.2799999999999998</v>
      </c>
      <c r="G62" s="3">
        <v>16</v>
      </c>
      <c r="H62" s="3">
        <v>101</v>
      </c>
      <c r="I62" s="3">
        <v>2.0499999999999998</v>
      </c>
      <c r="J62" s="3">
        <v>1.0900000000000001</v>
      </c>
      <c r="K62" s="3">
        <v>0.63</v>
      </c>
      <c r="L62" s="3">
        <v>0.41</v>
      </c>
      <c r="M62" s="3">
        <v>3.27</v>
      </c>
      <c r="N62" s="3">
        <v>1.25</v>
      </c>
      <c r="O62" s="3">
        <v>1.67</v>
      </c>
      <c r="P62" s="3">
        <v>680</v>
      </c>
    </row>
    <row r="63" spans="1:16" ht="15" customHeight="1" x14ac:dyDescent="0.3">
      <c r="A63" s="3">
        <v>62</v>
      </c>
      <c r="B63" s="3" t="s">
        <v>26</v>
      </c>
      <c r="C63" s="9" t="s">
        <v>14</v>
      </c>
      <c r="D63" s="3">
        <v>12.64</v>
      </c>
      <c r="E63" s="3">
        <v>1.36</v>
      </c>
      <c r="F63" s="3">
        <v>2.02</v>
      </c>
      <c r="G63" s="3">
        <v>16.8</v>
      </c>
      <c r="H63" s="3">
        <v>100</v>
      </c>
      <c r="I63" s="3">
        <v>2.02</v>
      </c>
      <c r="J63" s="3">
        <v>1.41</v>
      </c>
      <c r="K63" s="3">
        <v>0.53</v>
      </c>
      <c r="L63" s="3">
        <v>0.62</v>
      </c>
      <c r="M63" s="3">
        <v>5.75</v>
      </c>
      <c r="N63" s="3">
        <v>0.98</v>
      </c>
      <c r="O63" s="3">
        <v>1.59</v>
      </c>
      <c r="P63" s="3">
        <v>450</v>
      </c>
    </row>
    <row r="64" spans="1:16" ht="15" customHeight="1" x14ac:dyDescent="0.3">
      <c r="A64" s="3">
        <v>63</v>
      </c>
      <c r="B64" s="3" t="s">
        <v>26</v>
      </c>
      <c r="C64" s="9" t="s">
        <v>14</v>
      </c>
      <c r="D64" s="3">
        <v>13.67</v>
      </c>
      <c r="E64" s="3">
        <v>1.25</v>
      </c>
      <c r="F64" s="3">
        <v>1.92</v>
      </c>
      <c r="G64" s="3">
        <v>18</v>
      </c>
      <c r="H64" s="3">
        <v>94</v>
      </c>
      <c r="I64" s="3">
        <v>2.1</v>
      </c>
      <c r="J64" s="3">
        <v>1.79</v>
      </c>
      <c r="K64" s="3">
        <v>0.32</v>
      </c>
      <c r="L64" s="3">
        <v>0.73</v>
      </c>
      <c r="M64" s="3">
        <v>3.8</v>
      </c>
      <c r="N64" s="3">
        <v>1.23</v>
      </c>
      <c r="O64" s="3">
        <v>2.46</v>
      </c>
      <c r="P64" s="3">
        <v>630</v>
      </c>
    </row>
    <row r="65" spans="1:16" ht="15" customHeight="1" x14ac:dyDescent="0.3">
      <c r="A65" s="3">
        <v>64</v>
      </c>
      <c r="B65" s="3" t="s">
        <v>26</v>
      </c>
      <c r="C65" s="9" t="s">
        <v>14</v>
      </c>
      <c r="D65" s="3">
        <v>12.37</v>
      </c>
      <c r="E65" s="3">
        <v>1.1299999999999999</v>
      </c>
      <c r="F65" s="3">
        <v>2.16</v>
      </c>
      <c r="G65" s="3">
        <v>19</v>
      </c>
      <c r="H65" s="3">
        <v>87</v>
      </c>
      <c r="I65" s="3">
        <v>3.5</v>
      </c>
      <c r="J65" s="3">
        <v>3.1</v>
      </c>
      <c r="K65" s="3">
        <v>0.19</v>
      </c>
      <c r="L65" s="3">
        <v>1.87</v>
      </c>
      <c r="M65" s="3">
        <v>4.45</v>
      </c>
      <c r="N65" s="3">
        <v>1.22</v>
      </c>
      <c r="O65" s="3">
        <v>2.87</v>
      </c>
      <c r="P65" s="3">
        <v>420</v>
      </c>
    </row>
    <row r="66" spans="1:16" ht="15" customHeight="1" x14ac:dyDescent="0.3">
      <c r="A66" s="3">
        <v>65</v>
      </c>
      <c r="B66" s="3" t="s">
        <v>26</v>
      </c>
      <c r="C66" s="9" t="s">
        <v>14</v>
      </c>
      <c r="D66" s="3">
        <v>12.17</v>
      </c>
      <c r="E66" s="3">
        <v>1.45</v>
      </c>
      <c r="F66" s="3">
        <v>2.5299999999999998</v>
      </c>
      <c r="G66" s="3">
        <v>19</v>
      </c>
      <c r="H66" s="3">
        <v>104</v>
      </c>
      <c r="I66" s="3">
        <v>1.89</v>
      </c>
      <c r="J66" s="3">
        <v>1.75</v>
      </c>
      <c r="K66" s="3">
        <v>0.45</v>
      </c>
      <c r="L66" s="3">
        <v>1.03</v>
      </c>
      <c r="M66" s="3">
        <v>2.95</v>
      </c>
      <c r="N66" s="3">
        <v>1.45</v>
      </c>
      <c r="O66" s="3">
        <v>2.23</v>
      </c>
      <c r="P66" s="3">
        <v>355</v>
      </c>
    </row>
    <row r="67" spans="1:16" ht="15" customHeight="1" x14ac:dyDescent="0.3">
      <c r="A67" s="3">
        <v>66</v>
      </c>
      <c r="B67" s="3" t="s">
        <v>26</v>
      </c>
      <c r="C67" s="9" t="s">
        <v>14</v>
      </c>
      <c r="D67" s="3">
        <v>12.37</v>
      </c>
      <c r="E67" s="3">
        <v>1.21</v>
      </c>
      <c r="F67" s="3">
        <v>2.56</v>
      </c>
      <c r="G67" s="3">
        <v>18.100000000000001</v>
      </c>
      <c r="H67" s="3">
        <v>98</v>
      </c>
      <c r="I67" s="3">
        <v>2.42</v>
      </c>
      <c r="J67" s="3">
        <v>2.65</v>
      </c>
      <c r="K67" s="3">
        <v>0.37</v>
      </c>
      <c r="L67" s="3">
        <v>2.08</v>
      </c>
      <c r="M67" s="3">
        <v>4.5999999999999996</v>
      </c>
      <c r="N67" s="3">
        <v>1.19</v>
      </c>
      <c r="O67" s="3">
        <v>2.2999999999999998</v>
      </c>
      <c r="P67" s="3">
        <v>678</v>
      </c>
    </row>
    <row r="68" spans="1:16" ht="15" customHeight="1" x14ac:dyDescent="0.3">
      <c r="A68" s="3">
        <v>67</v>
      </c>
      <c r="B68" s="3" t="s">
        <v>26</v>
      </c>
      <c r="C68" s="9" t="s">
        <v>14</v>
      </c>
      <c r="D68" s="3">
        <v>13.11</v>
      </c>
      <c r="E68" s="3">
        <v>1.01</v>
      </c>
      <c r="F68" s="3">
        <v>1.7</v>
      </c>
      <c r="G68" s="3">
        <v>15</v>
      </c>
      <c r="H68" s="3">
        <v>78</v>
      </c>
      <c r="I68" s="3">
        <v>2.98</v>
      </c>
      <c r="J68" s="3">
        <v>3.18</v>
      </c>
      <c r="K68" s="3">
        <v>0.26</v>
      </c>
      <c r="L68" s="3">
        <v>2.2799999999999998</v>
      </c>
      <c r="M68" s="3">
        <v>5.3</v>
      </c>
      <c r="N68" s="3">
        <v>1.1200000000000001</v>
      </c>
      <c r="O68" s="3">
        <v>3.18</v>
      </c>
      <c r="P68" s="3">
        <v>502</v>
      </c>
    </row>
    <row r="69" spans="1:16" ht="15" customHeight="1" x14ac:dyDescent="0.3">
      <c r="A69" s="3">
        <v>68</v>
      </c>
      <c r="B69" s="3" t="s">
        <v>26</v>
      </c>
      <c r="C69" s="9" t="s">
        <v>14</v>
      </c>
      <c r="D69" s="3">
        <v>12.37</v>
      </c>
      <c r="E69" s="3">
        <v>1.17</v>
      </c>
      <c r="F69" s="3">
        <v>1.92</v>
      </c>
      <c r="G69" s="3">
        <v>19.600000000000001</v>
      </c>
      <c r="H69" s="3">
        <v>78</v>
      </c>
      <c r="I69" s="3">
        <v>2.11</v>
      </c>
      <c r="J69" s="3">
        <v>2</v>
      </c>
      <c r="K69" s="3">
        <v>0.27</v>
      </c>
      <c r="L69" s="3">
        <v>1.04</v>
      </c>
      <c r="M69" s="3">
        <v>4.68</v>
      </c>
      <c r="N69" s="3">
        <v>1.1200000000000001</v>
      </c>
      <c r="O69" s="3">
        <v>3.48</v>
      </c>
      <c r="P69" s="3">
        <v>510</v>
      </c>
    </row>
    <row r="70" spans="1:16" ht="15" customHeight="1" x14ac:dyDescent="0.3">
      <c r="A70" s="3">
        <v>69</v>
      </c>
      <c r="B70" s="3" t="s">
        <v>26</v>
      </c>
      <c r="C70" s="9" t="s">
        <v>14</v>
      </c>
      <c r="D70" s="3">
        <v>13.34</v>
      </c>
      <c r="E70" s="3">
        <v>0.94</v>
      </c>
      <c r="F70" s="3">
        <v>2.36</v>
      </c>
      <c r="G70" s="3">
        <v>17</v>
      </c>
      <c r="H70" s="3">
        <v>110</v>
      </c>
      <c r="I70" s="3">
        <v>2.5299999999999998</v>
      </c>
      <c r="J70" s="3">
        <v>1.3</v>
      </c>
      <c r="K70" s="3">
        <v>0.55000000000000004</v>
      </c>
      <c r="L70" s="3">
        <v>0.42</v>
      </c>
      <c r="M70" s="3">
        <v>3.17</v>
      </c>
      <c r="N70" s="3">
        <v>1.02</v>
      </c>
      <c r="O70" s="3">
        <v>1.93</v>
      </c>
      <c r="P70" s="3">
        <v>750</v>
      </c>
    </row>
    <row r="71" spans="1:16" ht="15" customHeight="1" x14ac:dyDescent="0.3">
      <c r="A71" s="3">
        <v>70</v>
      </c>
      <c r="B71" s="3" t="s">
        <v>26</v>
      </c>
      <c r="C71" s="9" t="s">
        <v>14</v>
      </c>
      <c r="D71" s="3">
        <v>12.21</v>
      </c>
      <c r="E71" s="3">
        <v>1.19</v>
      </c>
      <c r="F71" s="3">
        <v>1.75</v>
      </c>
      <c r="G71" s="3">
        <v>16.8</v>
      </c>
      <c r="H71" s="3">
        <v>151</v>
      </c>
      <c r="I71" s="3">
        <v>1.85</v>
      </c>
      <c r="J71" s="3">
        <v>1.28</v>
      </c>
      <c r="K71" s="3">
        <v>0.14000000000000001</v>
      </c>
      <c r="L71" s="3">
        <v>2.5</v>
      </c>
      <c r="M71" s="3">
        <v>2.85</v>
      </c>
      <c r="N71" s="3">
        <v>1.28</v>
      </c>
      <c r="O71" s="3">
        <v>3.07</v>
      </c>
      <c r="P71" s="3">
        <v>718</v>
      </c>
    </row>
    <row r="72" spans="1:16" ht="15" customHeight="1" x14ac:dyDescent="0.3">
      <c r="A72" s="3">
        <v>71</v>
      </c>
      <c r="B72" s="3" t="s">
        <v>26</v>
      </c>
      <c r="C72" s="9" t="s">
        <v>14</v>
      </c>
      <c r="D72" s="3">
        <v>12.29</v>
      </c>
      <c r="E72" s="3">
        <v>1.61</v>
      </c>
      <c r="F72" s="3">
        <v>2.21</v>
      </c>
      <c r="G72" s="3">
        <v>20.399999999999999</v>
      </c>
      <c r="H72" s="3">
        <v>103</v>
      </c>
      <c r="I72" s="3">
        <v>1.1000000000000001</v>
      </c>
      <c r="J72" s="3">
        <v>1.02</v>
      </c>
      <c r="K72" s="3">
        <v>0.37</v>
      </c>
      <c r="L72" s="3">
        <v>1.46</v>
      </c>
      <c r="M72" s="3">
        <v>3.05</v>
      </c>
      <c r="N72" s="3">
        <v>0.90600000000000003</v>
      </c>
      <c r="O72" s="3">
        <v>1.82</v>
      </c>
      <c r="P72" s="3">
        <v>870</v>
      </c>
    </row>
    <row r="73" spans="1:16" ht="15" customHeight="1" x14ac:dyDescent="0.3">
      <c r="A73" s="3">
        <v>72</v>
      </c>
      <c r="B73" s="3" t="s">
        <v>26</v>
      </c>
      <c r="C73" s="9" t="s">
        <v>14</v>
      </c>
      <c r="D73" s="3">
        <v>13.86</v>
      </c>
      <c r="E73" s="3">
        <v>1.51</v>
      </c>
      <c r="F73" s="3">
        <v>2.67</v>
      </c>
      <c r="G73" s="3">
        <v>25</v>
      </c>
      <c r="H73" s="3">
        <v>86</v>
      </c>
      <c r="I73" s="3">
        <v>2.95</v>
      </c>
      <c r="J73" s="3">
        <v>2.86</v>
      </c>
      <c r="K73" s="3">
        <v>0.21</v>
      </c>
      <c r="L73" s="3">
        <v>1.87</v>
      </c>
      <c r="M73" s="3">
        <v>3.38</v>
      </c>
      <c r="N73" s="3">
        <v>1.36</v>
      </c>
      <c r="O73" s="3">
        <v>3.16</v>
      </c>
      <c r="P73" s="3">
        <v>410</v>
      </c>
    </row>
    <row r="74" spans="1:16" ht="15" customHeight="1" x14ac:dyDescent="0.3">
      <c r="A74" s="3">
        <v>73</v>
      </c>
      <c r="B74" s="3" t="s">
        <v>26</v>
      </c>
      <c r="C74" s="9" t="s">
        <v>14</v>
      </c>
      <c r="D74" s="3">
        <v>13.49</v>
      </c>
      <c r="E74" s="3">
        <v>1.66</v>
      </c>
      <c r="F74" s="3">
        <v>2.2400000000000002</v>
      </c>
      <c r="G74" s="3">
        <v>24</v>
      </c>
      <c r="H74" s="3">
        <v>87</v>
      </c>
      <c r="I74" s="3">
        <v>1.88</v>
      </c>
      <c r="J74" s="3">
        <v>1.84</v>
      </c>
      <c r="K74" s="3">
        <v>0.27</v>
      </c>
      <c r="L74" s="3">
        <v>1.03</v>
      </c>
      <c r="M74" s="3">
        <v>3.74</v>
      </c>
      <c r="N74" s="3">
        <v>0.98</v>
      </c>
      <c r="O74" s="3">
        <v>2.78</v>
      </c>
      <c r="P74" s="3">
        <v>472</v>
      </c>
    </row>
    <row r="75" spans="1:16" ht="15" customHeight="1" x14ac:dyDescent="0.3">
      <c r="A75" s="3">
        <v>74</v>
      </c>
      <c r="B75" s="3" t="s">
        <v>26</v>
      </c>
      <c r="C75" s="9" t="s">
        <v>14</v>
      </c>
      <c r="D75" s="3">
        <v>12.99</v>
      </c>
      <c r="E75" s="3">
        <v>1.67</v>
      </c>
      <c r="F75" s="3">
        <v>2.6</v>
      </c>
      <c r="G75" s="3">
        <v>30</v>
      </c>
      <c r="H75" s="3">
        <v>139</v>
      </c>
      <c r="I75" s="3">
        <v>3.3</v>
      </c>
      <c r="J75" s="3">
        <v>2.89</v>
      </c>
      <c r="K75" s="3">
        <v>0.21</v>
      </c>
      <c r="L75" s="3">
        <v>1.96</v>
      </c>
      <c r="M75" s="3">
        <v>3.35</v>
      </c>
      <c r="N75" s="3">
        <v>1.31</v>
      </c>
      <c r="O75" s="3">
        <v>3.5</v>
      </c>
      <c r="P75" s="3">
        <v>985</v>
      </c>
    </row>
    <row r="76" spans="1:16" ht="15" customHeight="1" x14ac:dyDescent="0.3">
      <c r="A76" s="3">
        <v>75</v>
      </c>
      <c r="B76" s="3" t="s">
        <v>26</v>
      </c>
      <c r="C76" s="9" t="s">
        <v>14</v>
      </c>
      <c r="D76" s="3">
        <v>11.96</v>
      </c>
      <c r="E76" s="3">
        <v>1.0900000000000001</v>
      </c>
      <c r="F76" s="3">
        <v>2.2999999999999998</v>
      </c>
      <c r="G76" s="3">
        <v>21</v>
      </c>
      <c r="H76" s="3">
        <v>101</v>
      </c>
      <c r="I76" s="3">
        <v>3.38</v>
      </c>
      <c r="J76" s="3">
        <v>2.14</v>
      </c>
      <c r="K76" s="3">
        <v>0.13</v>
      </c>
      <c r="L76" s="3">
        <v>1.65</v>
      </c>
      <c r="M76" s="3">
        <v>3.21</v>
      </c>
      <c r="N76" s="3">
        <v>0.99</v>
      </c>
      <c r="O76" s="3">
        <v>3.13</v>
      </c>
      <c r="P76" s="3">
        <v>886</v>
      </c>
    </row>
    <row r="77" spans="1:16" ht="15" customHeight="1" x14ac:dyDescent="0.3">
      <c r="A77" s="3">
        <v>76</v>
      </c>
      <c r="B77" s="3" t="s">
        <v>26</v>
      </c>
      <c r="C77" s="9" t="s">
        <v>14</v>
      </c>
      <c r="D77" s="3">
        <v>11.66</v>
      </c>
      <c r="E77" s="3">
        <v>1.88</v>
      </c>
      <c r="F77" s="3">
        <v>1.92</v>
      </c>
      <c r="G77" s="3">
        <v>16</v>
      </c>
      <c r="H77" s="3">
        <v>97</v>
      </c>
      <c r="I77" s="3">
        <v>1.61</v>
      </c>
      <c r="J77" s="3">
        <v>1.57</v>
      </c>
      <c r="K77" s="3">
        <v>0.34</v>
      </c>
      <c r="L77" s="3">
        <v>1.1499999999999999</v>
      </c>
      <c r="M77" s="3">
        <v>3.8</v>
      </c>
      <c r="N77" s="3">
        <v>1.23</v>
      </c>
      <c r="O77" s="3">
        <v>2.14</v>
      </c>
      <c r="P77" s="3">
        <v>428</v>
      </c>
    </row>
    <row r="78" spans="1:16" ht="15" customHeight="1" x14ac:dyDescent="0.3">
      <c r="A78" s="3">
        <v>77</v>
      </c>
      <c r="B78" s="3" t="s">
        <v>26</v>
      </c>
      <c r="C78" s="9" t="s">
        <v>14</v>
      </c>
      <c r="D78" s="3">
        <v>13.03</v>
      </c>
      <c r="E78" s="3">
        <v>0.9</v>
      </c>
      <c r="F78" s="3">
        <v>1.71</v>
      </c>
      <c r="G78" s="3">
        <v>16</v>
      </c>
      <c r="H78" s="3">
        <v>86</v>
      </c>
      <c r="I78" s="3">
        <v>1.95</v>
      </c>
      <c r="J78" s="3">
        <v>2.0299999999999998</v>
      </c>
      <c r="K78" s="3">
        <v>0.24</v>
      </c>
      <c r="L78" s="3">
        <v>1.46</v>
      </c>
      <c r="M78" s="3">
        <v>4.5999999999999996</v>
      </c>
      <c r="N78" s="3">
        <v>1.19</v>
      </c>
      <c r="O78" s="3">
        <v>2.48</v>
      </c>
      <c r="P78" s="3">
        <v>392</v>
      </c>
    </row>
    <row r="79" spans="1:16" ht="15" customHeight="1" x14ac:dyDescent="0.3">
      <c r="A79" s="3">
        <v>78</v>
      </c>
      <c r="B79" s="3" t="s">
        <v>26</v>
      </c>
      <c r="C79" s="9" t="s">
        <v>14</v>
      </c>
      <c r="D79" s="3">
        <v>11.84</v>
      </c>
      <c r="E79" s="3">
        <v>2.89</v>
      </c>
      <c r="F79" s="3">
        <v>2.23</v>
      </c>
      <c r="G79" s="3">
        <v>18</v>
      </c>
      <c r="H79" s="3">
        <v>112</v>
      </c>
      <c r="I79" s="3">
        <v>1.72</v>
      </c>
      <c r="J79" s="3">
        <v>1.32</v>
      </c>
      <c r="K79" s="3">
        <v>0.43</v>
      </c>
      <c r="L79" s="3">
        <v>0.95</v>
      </c>
      <c r="M79" s="3">
        <v>2.65</v>
      </c>
      <c r="N79" s="3">
        <v>0.96</v>
      </c>
      <c r="O79" s="3">
        <v>2.52</v>
      </c>
      <c r="P79" s="3">
        <v>500</v>
      </c>
    </row>
    <row r="80" spans="1:16" ht="15" customHeight="1" x14ac:dyDescent="0.3">
      <c r="A80" s="3">
        <v>79</v>
      </c>
      <c r="B80" s="3" t="s">
        <v>26</v>
      </c>
      <c r="C80" s="9" t="s">
        <v>14</v>
      </c>
      <c r="D80" s="3">
        <v>12.33</v>
      </c>
      <c r="E80" s="3">
        <v>0.99</v>
      </c>
      <c r="F80" s="3">
        <v>1.95</v>
      </c>
      <c r="G80" s="3">
        <v>14.8</v>
      </c>
      <c r="H80" s="3">
        <v>136</v>
      </c>
      <c r="I80" s="3">
        <v>1.9</v>
      </c>
      <c r="J80" s="3">
        <v>1.85</v>
      </c>
      <c r="K80" s="3">
        <v>0.35</v>
      </c>
      <c r="L80" s="3">
        <v>2.76</v>
      </c>
      <c r="M80" s="3">
        <v>3.4</v>
      </c>
      <c r="N80" s="3">
        <v>1.06</v>
      </c>
      <c r="O80" s="3">
        <v>2.31</v>
      </c>
      <c r="P80" s="3">
        <v>750</v>
      </c>
    </row>
    <row r="81" spans="1:16" ht="15" customHeight="1" x14ac:dyDescent="0.3">
      <c r="A81" s="3">
        <v>80</v>
      </c>
      <c r="B81" s="3" t="s">
        <v>26</v>
      </c>
      <c r="C81" s="9" t="s">
        <v>14</v>
      </c>
      <c r="D81" s="3">
        <v>12.7</v>
      </c>
      <c r="E81" s="3">
        <v>3.87</v>
      </c>
      <c r="F81" s="3">
        <v>2.4</v>
      </c>
      <c r="G81" s="3">
        <v>23</v>
      </c>
      <c r="H81" s="3">
        <v>101</v>
      </c>
      <c r="I81" s="3">
        <v>2.83</v>
      </c>
      <c r="J81" s="3">
        <v>2.5499999999999998</v>
      </c>
      <c r="K81" s="3">
        <v>0.43</v>
      </c>
      <c r="L81" s="3">
        <v>1.95</v>
      </c>
      <c r="M81" s="3">
        <v>2.57</v>
      </c>
      <c r="N81" s="3">
        <v>1.19</v>
      </c>
      <c r="O81" s="3">
        <v>3.13</v>
      </c>
      <c r="P81" s="3">
        <v>463</v>
      </c>
    </row>
    <row r="82" spans="1:16" ht="15" customHeight="1" x14ac:dyDescent="0.3">
      <c r="A82" s="3">
        <v>81</v>
      </c>
      <c r="B82" s="3" t="s">
        <v>26</v>
      </c>
      <c r="C82" s="9" t="s">
        <v>14</v>
      </c>
      <c r="D82" s="3">
        <v>12</v>
      </c>
      <c r="E82" s="3">
        <v>0.92</v>
      </c>
      <c r="F82" s="3">
        <v>2</v>
      </c>
      <c r="G82" s="3">
        <v>19</v>
      </c>
      <c r="H82" s="3">
        <v>86</v>
      </c>
      <c r="I82" s="3">
        <v>2.42</v>
      </c>
      <c r="J82" s="3">
        <v>2.2599999999999998</v>
      </c>
      <c r="K82" s="3">
        <v>0.3</v>
      </c>
      <c r="L82" s="3">
        <v>1.43</v>
      </c>
      <c r="M82" s="3">
        <v>2.5</v>
      </c>
      <c r="N82" s="3">
        <v>1.38</v>
      </c>
      <c r="O82" s="3">
        <v>3.12</v>
      </c>
      <c r="P82" s="3">
        <v>278</v>
      </c>
    </row>
    <row r="83" spans="1:16" ht="15" customHeight="1" x14ac:dyDescent="0.3">
      <c r="A83" s="3">
        <v>82</v>
      </c>
      <c r="B83" s="3" t="s">
        <v>26</v>
      </c>
      <c r="C83" s="9" t="s">
        <v>14</v>
      </c>
      <c r="D83" s="3">
        <v>12.72</v>
      </c>
      <c r="E83" s="3">
        <v>1.81</v>
      </c>
      <c r="F83" s="3">
        <v>2.2000000000000002</v>
      </c>
      <c r="G83" s="3">
        <v>18.8</v>
      </c>
      <c r="H83" s="3">
        <v>86</v>
      </c>
      <c r="I83" s="3">
        <v>2.2000000000000002</v>
      </c>
      <c r="J83" s="3">
        <v>2.5299999999999998</v>
      </c>
      <c r="K83" s="3">
        <v>0.26</v>
      </c>
      <c r="L83" s="3">
        <v>1.77</v>
      </c>
      <c r="M83" s="3">
        <v>3.9</v>
      </c>
      <c r="N83" s="3">
        <v>1.1599999999999999</v>
      </c>
      <c r="O83" s="3">
        <v>3.14</v>
      </c>
      <c r="P83" s="3">
        <v>714</v>
      </c>
    </row>
    <row r="84" spans="1:16" ht="15" customHeight="1" x14ac:dyDescent="0.3">
      <c r="A84" s="3">
        <v>83</v>
      </c>
      <c r="B84" s="3" t="s">
        <v>26</v>
      </c>
      <c r="C84" s="9" t="s">
        <v>14</v>
      </c>
      <c r="D84" s="3">
        <v>12.08</v>
      </c>
      <c r="E84" s="3">
        <v>1.1299999999999999</v>
      </c>
      <c r="F84" s="3">
        <v>2.5099999999999998</v>
      </c>
      <c r="G84" s="3">
        <v>24</v>
      </c>
      <c r="H84" s="3">
        <v>78</v>
      </c>
      <c r="I84" s="3">
        <v>2</v>
      </c>
      <c r="J84" s="3">
        <v>1.58</v>
      </c>
      <c r="K84" s="3">
        <v>0.4</v>
      </c>
      <c r="L84" s="3">
        <v>1.4</v>
      </c>
      <c r="M84" s="3">
        <v>2.2000000000000002</v>
      </c>
      <c r="N84" s="3">
        <v>1.31</v>
      </c>
      <c r="O84" s="3">
        <v>2.72</v>
      </c>
      <c r="P84" s="3">
        <v>630</v>
      </c>
    </row>
    <row r="85" spans="1:16" ht="15" customHeight="1" x14ac:dyDescent="0.3">
      <c r="A85" s="3">
        <v>84</v>
      </c>
      <c r="B85" s="3" t="s">
        <v>26</v>
      </c>
      <c r="C85" s="9" t="s">
        <v>14</v>
      </c>
      <c r="D85" s="3">
        <v>13.05</v>
      </c>
      <c r="E85" s="3">
        <v>3.86</v>
      </c>
      <c r="F85" s="3">
        <v>2.3199999999999998</v>
      </c>
      <c r="G85" s="3">
        <v>22.5</v>
      </c>
      <c r="H85" s="3">
        <v>85</v>
      </c>
      <c r="I85" s="3">
        <v>1.65</v>
      </c>
      <c r="J85" s="3">
        <v>1.59</v>
      </c>
      <c r="K85" s="3">
        <v>0.61</v>
      </c>
      <c r="L85" s="3">
        <v>1.62</v>
      </c>
      <c r="M85" s="3">
        <v>4.8</v>
      </c>
      <c r="N85" s="3">
        <v>0.84</v>
      </c>
      <c r="O85" s="3">
        <v>2.0099999999999998</v>
      </c>
      <c r="P85" s="3">
        <v>515</v>
      </c>
    </row>
    <row r="86" spans="1:16" ht="15" customHeight="1" x14ac:dyDescent="0.3">
      <c r="A86" s="3">
        <v>85</v>
      </c>
      <c r="B86" s="3" t="s">
        <v>26</v>
      </c>
      <c r="C86" s="9" t="s">
        <v>14</v>
      </c>
      <c r="D86" s="3">
        <v>11.84</v>
      </c>
      <c r="E86" s="3">
        <v>0.89</v>
      </c>
      <c r="F86" s="3">
        <v>2.58</v>
      </c>
      <c r="G86" s="3">
        <v>18</v>
      </c>
      <c r="H86" s="3">
        <v>94</v>
      </c>
      <c r="I86" s="3">
        <v>2.2000000000000002</v>
      </c>
      <c r="J86" s="3">
        <v>2.21</v>
      </c>
      <c r="K86" s="3">
        <v>0.22</v>
      </c>
      <c r="L86" s="3">
        <v>2.35</v>
      </c>
      <c r="M86" s="3">
        <v>3.05</v>
      </c>
      <c r="N86" s="3">
        <v>0.79</v>
      </c>
      <c r="O86" s="3">
        <v>3.08</v>
      </c>
      <c r="P86" s="3">
        <v>520</v>
      </c>
    </row>
    <row r="87" spans="1:16" ht="15" customHeight="1" x14ac:dyDescent="0.3">
      <c r="A87" s="3">
        <v>86</v>
      </c>
      <c r="B87" s="3" t="s">
        <v>26</v>
      </c>
      <c r="C87" s="9" t="s">
        <v>14</v>
      </c>
      <c r="D87" s="3">
        <v>12.67</v>
      </c>
      <c r="E87" s="3">
        <v>0.98</v>
      </c>
      <c r="F87" s="3">
        <v>2.2400000000000002</v>
      </c>
      <c r="G87" s="3">
        <v>18</v>
      </c>
      <c r="H87" s="3">
        <v>99</v>
      </c>
      <c r="I87" s="3">
        <v>2.2000000000000002</v>
      </c>
      <c r="J87" s="3">
        <v>1.94</v>
      </c>
      <c r="K87" s="3">
        <v>0.3</v>
      </c>
      <c r="L87" s="3">
        <v>1.46</v>
      </c>
      <c r="M87" s="3">
        <v>2.62</v>
      </c>
      <c r="N87" s="3">
        <v>1.23</v>
      </c>
      <c r="O87" s="3">
        <v>3.16</v>
      </c>
      <c r="P87" s="3">
        <v>450</v>
      </c>
    </row>
    <row r="88" spans="1:16" ht="15" customHeight="1" x14ac:dyDescent="0.3">
      <c r="A88" s="3">
        <v>87</v>
      </c>
      <c r="B88" s="3" t="s">
        <v>26</v>
      </c>
      <c r="C88" s="9" t="s">
        <v>14</v>
      </c>
      <c r="D88" s="3">
        <v>12.16</v>
      </c>
      <c r="E88" s="3">
        <v>1.61</v>
      </c>
      <c r="F88" s="3">
        <v>2.31</v>
      </c>
      <c r="G88" s="3">
        <v>22.8</v>
      </c>
      <c r="H88" s="3">
        <v>90</v>
      </c>
      <c r="I88" s="3">
        <v>1.78</v>
      </c>
      <c r="J88" s="3">
        <v>1.69</v>
      </c>
      <c r="K88" s="3">
        <v>0.43</v>
      </c>
      <c r="L88" s="3">
        <v>1.56</v>
      </c>
      <c r="M88" s="3">
        <v>2.4500000000000002</v>
      </c>
      <c r="N88" s="3">
        <v>1.33</v>
      </c>
      <c r="O88" s="3">
        <v>2.2599999999999998</v>
      </c>
      <c r="P88" s="3">
        <v>495</v>
      </c>
    </row>
    <row r="89" spans="1:16" ht="15" customHeight="1" x14ac:dyDescent="0.3">
      <c r="A89" s="3">
        <v>88</v>
      </c>
      <c r="B89" s="3" t="s">
        <v>26</v>
      </c>
      <c r="C89" s="9" t="s">
        <v>14</v>
      </c>
      <c r="D89" s="3">
        <v>11.65</v>
      </c>
      <c r="E89" s="3">
        <v>1.67</v>
      </c>
      <c r="F89" s="3">
        <v>2.62</v>
      </c>
      <c r="G89" s="3">
        <v>26</v>
      </c>
      <c r="H89" s="3">
        <v>88</v>
      </c>
      <c r="I89" s="3">
        <v>1.92</v>
      </c>
      <c r="J89" s="3">
        <v>1.61</v>
      </c>
      <c r="K89" s="3">
        <v>0.4</v>
      </c>
      <c r="L89" s="3">
        <v>1.34</v>
      </c>
      <c r="M89" s="3">
        <v>2.6</v>
      </c>
      <c r="N89" s="3">
        <v>1.36</v>
      </c>
      <c r="O89" s="3">
        <v>3.21</v>
      </c>
      <c r="P89" s="3">
        <v>562</v>
      </c>
    </row>
    <row r="90" spans="1:16" ht="15" customHeight="1" x14ac:dyDescent="0.3">
      <c r="A90" s="3">
        <v>89</v>
      </c>
      <c r="B90" s="3" t="s">
        <v>26</v>
      </c>
      <c r="C90" s="9" t="s">
        <v>14</v>
      </c>
      <c r="D90" s="3">
        <v>11.64</v>
      </c>
      <c r="E90" s="3">
        <v>2.06</v>
      </c>
      <c r="F90" s="3">
        <v>2.46</v>
      </c>
      <c r="G90" s="3">
        <v>21.6</v>
      </c>
      <c r="H90" s="3">
        <v>84</v>
      </c>
      <c r="I90" s="3">
        <v>1.95</v>
      </c>
      <c r="J90" s="3">
        <v>1.69</v>
      </c>
      <c r="K90" s="3">
        <v>0.48</v>
      </c>
      <c r="L90" s="3">
        <v>1.35</v>
      </c>
      <c r="M90" s="3">
        <v>2.8</v>
      </c>
      <c r="N90" s="3">
        <v>1</v>
      </c>
      <c r="O90" s="3">
        <v>2.75</v>
      </c>
      <c r="P90" s="3">
        <v>680</v>
      </c>
    </row>
    <row r="91" spans="1:16" ht="15" customHeight="1" x14ac:dyDescent="0.3">
      <c r="A91" s="3">
        <v>90</v>
      </c>
      <c r="B91" s="3" t="s">
        <v>26</v>
      </c>
      <c r="C91" s="9" t="s">
        <v>14</v>
      </c>
      <c r="D91" s="3">
        <v>12.08</v>
      </c>
      <c r="E91" s="3">
        <v>1.33</v>
      </c>
      <c r="F91" s="3">
        <v>2.2999999999999998</v>
      </c>
      <c r="G91" s="3">
        <v>23.6</v>
      </c>
      <c r="H91" s="3">
        <v>70</v>
      </c>
      <c r="I91" s="3">
        <v>2.2000000000000002</v>
      </c>
      <c r="J91" s="3">
        <v>1.59</v>
      </c>
      <c r="K91" s="3">
        <v>0.42</v>
      </c>
      <c r="L91" s="3">
        <v>1.38</v>
      </c>
      <c r="M91" s="3">
        <v>1.74</v>
      </c>
      <c r="N91" s="3">
        <v>1.07</v>
      </c>
      <c r="O91" s="3">
        <v>3.21</v>
      </c>
      <c r="P91" s="3">
        <v>625</v>
      </c>
    </row>
    <row r="92" spans="1:16" ht="15" customHeight="1" x14ac:dyDescent="0.3">
      <c r="A92" s="3">
        <v>91</v>
      </c>
      <c r="B92" s="3" t="s">
        <v>26</v>
      </c>
      <c r="C92" s="9" t="s">
        <v>14</v>
      </c>
      <c r="D92" s="3">
        <v>12.08</v>
      </c>
      <c r="E92" s="3">
        <v>1.83</v>
      </c>
      <c r="F92" s="3">
        <v>2.3199999999999998</v>
      </c>
      <c r="G92" s="3">
        <v>18.5</v>
      </c>
      <c r="H92" s="3">
        <v>81</v>
      </c>
      <c r="I92" s="3">
        <v>1.6</v>
      </c>
      <c r="J92" s="3">
        <v>1.5</v>
      </c>
      <c r="K92" s="3">
        <v>0.52</v>
      </c>
      <c r="L92" s="3">
        <v>1.64</v>
      </c>
      <c r="M92" s="3">
        <v>2.4</v>
      </c>
      <c r="N92" s="3">
        <v>1.08</v>
      </c>
      <c r="O92" s="3">
        <v>2.27</v>
      </c>
      <c r="P92" s="3">
        <v>480</v>
      </c>
    </row>
    <row r="93" spans="1:16" ht="15" customHeight="1" x14ac:dyDescent="0.3">
      <c r="A93" s="3">
        <v>92</v>
      </c>
      <c r="B93" s="3" t="s">
        <v>26</v>
      </c>
      <c r="C93" s="9" t="s">
        <v>14</v>
      </c>
      <c r="D93" s="3">
        <v>12</v>
      </c>
      <c r="E93" s="3">
        <v>1.51</v>
      </c>
      <c r="F93" s="3">
        <v>2.42</v>
      </c>
      <c r="G93" s="3">
        <v>22</v>
      </c>
      <c r="H93" s="3">
        <v>86</v>
      </c>
      <c r="I93" s="3">
        <v>1.45</v>
      </c>
      <c r="J93" s="3">
        <v>1.25</v>
      </c>
      <c r="K93" s="3">
        <v>0.5</v>
      </c>
      <c r="L93" s="3">
        <v>1.63</v>
      </c>
      <c r="M93" s="3">
        <v>3.6</v>
      </c>
      <c r="N93" s="3">
        <v>1.05</v>
      </c>
      <c r="O93" s="3">
        <v>2.65</v>
      </c>
      <c r="P93" s="3">
        <v>450</v>
      </c>
    </row>
    <row r="94" spans="1:16" ht="15" customHeight="1" x14ac:dyDescent="0.3">
      <c r="A94" s="3">
        <v>93</v>
      </c>
      <c r="B94" s="3" t="s">
        <v>26</v>
      </c>
      <c r="C94" s="9" t="s">
        <v>14</v>
      </c>
      <c r="D94" s="3">
        <v>12.69</v>
      </c>
      <c r="E94" s="3">
        <v>1.53</v>
      </c>
      <c r="F94" s="3">
        <v>2.2599999999999998</v>
      </c>
      <c r="G94" s="3">
        <v>20.7</v>
      </c>
      <c r="H94" s="3">
        <v>80</v>
      </c>
      <c r="I94" s="3">
        <v>1.38</v>
      </c>
      <c r="J94" s="3">
        <v>1.46</v>
      </c>
      <c r="K94" s="3">
        <v>0.57999999999999996</v>
      </c>
      <c r="L94" s="3">
        <v>1.62</v>
      </c>
      <c r="M94" s="3">
        <v>3.05</v>
      </c>
      <c r="N94" s="3">
        <v>0.96</v>
      </c>
      <c r="O94" s="3">
        <v>2.06</v>
      </c>
      <c r="P94" s="3">
        <v>495</v>
      </c>
    </row>
    <row r="95" spans="1:16" ht="15" customHeight="1" x14ac:dyDescent="0.3">
      <c r="A95" s="3">
        <v>94</v>
      </c>
      <c r="B95" s="3" t="s">
        <v>26</v>
      </c>
      <c r="C95" s="9" t="s">
        <v>14</v>
      </c>
      <c r="D95" s="3">
        <v>12.29</v>
      </c>
      <c r="E95" s="3">
        <v>2.83</v>
      </c>
      <c r="F95" s="3">
        <v>2.2200000000000002</v>
      </c>
      <c r="G95" s="3">
        <v>18</v>
      </c>
      <c r="H95" s="3">
        <v>88</v>
      </c>
      <c r="I95" s="3">
        <v>2.4500000000000002</v>
      </c>
      <c r="J95" s="3">
        <v>2.25</v>
      </c>
      <c r="K95" s="3">
        <v>0.25</v>
      </c>
      <c r="L95" s="3">
        <v>1.99</v>
      </c>
      <c r="M95" s="3">
        <v>2.15</v>
      </c>
      <c r="N95" s="3">
        <v>1.1499999999999999</v>
      </c>
      <c r="O95" s="3">
        <v>3.3</v>
      </c>
      <c r="P95" s="3">
        <v>290</v>
      </c>
    </row>
    <row r="96" spans="1:16" ht="15" customHeight="1" x14ac:dyDescent="0.3">
      <c r="A96" s="3">
        <v>95</v>
      </c>
      <c r="B96" s="3" t="s">
        <v>26</v>
      </c>
      <c r="C96" s="9" t="s">
        <v>14</v>
      </c>
      <c r="D96" s="3">
        <v>11.62</v>
      </c>
      <c r="E96" s="3">
        <v>1.99</v>
      </c>
      <c r="F96" s="3">
        <v>2.2799999999999998</v>
      </c>
      <c r="G96" s="3">
        <v>18</v>
      </c>
      <c r="H96" s="3">
        <v>98</v>
      </c>
      <c r="I96" s="3">
        <v>3.02</v>
      </c>
      <c r="J96" s="3">
        <v>2.2599999999999998</v>
      </c>
      <c r="K96" s="3">
        <v>0.17</v>
      </c>
      <c r="L96" s="3">
        <v>1.35</v>
      </c>
      <c r="M96" s="3">
        <v>3.25</v>
      </c>
      <c r="N96" s="3">
        <v>1.1599999999999999</v>
      </c>
      <c r="O96" s="3">
        <v>2.96</v>
      </c>
      <c r="P96" s="3">
        <v>345</v>
      </c>
    </row>
    <row r="97" spans="1:16" ht="15" customHeight="1" x14ac:dyDescent="0.3">
      <c r="A97" s="3">
        <v>96</v>
      </c>
      <c r="B97" s="3" t="s">
        <v>26</v>
      </c>
      <c r="C97" s="9" t="s">
        <v>14</v>
      </c>
      <c r="D97" s="3">
        <v>12.47</v>
      </c>
      <c r="E97" s="3">
        <v>1.52</v>
      </c>
      <c r="F97" s="3">
        <v>2.2000000000000002</v>
      </c>
      <c r="G97" s="3">
        <v>19</v>
      </c>
      <c r="H97" s="3">
        <v>162</v>
      </c>
      <c r="I97" s="3">
        <v>2.5</v>
      </c>
      <c r="J97" s="3">
        <v>2.27</v>
      </c>
      <c r="K97" s="3">
        <v>0.32</v>
      </c>
      <c r="L97" s="3">
        <v>3.28</v>
      </c>
      <c r="M97" s="3">
        <v>2.6</v>
      </c>
      <c r="N97" s="3">
        <v>1.1599999999999999</v>
      </c>
      <c r="O97" s="3">
        <v>2.63</v>
      </c>
      <c r="P97" s="3">
        <v>937</v>
      </c>
    </row>
    <row r="98" spans="1:16" ht="15" customHeight="1" x14ac:dyDescent="0.3">
      <c r="A98" s="3">
        <v>97</v>
      </c>
      <c r="B98" s="3" t="s">
        <v>26</v>
      </c>
      <c r="C98" s="9" t="s">
        <v>14</v>
      </c>
      <c r="D98" s="3">
        <v>11.81</v>
      </c>
      <c r="E98" s="3">
        <v>2.12</v>
      </c>
      <c r="F98" s="3">
        <v>2.74</v>
      </c>
      <c r="G98" s="3">
        <v>21.5</v>
      </c>
      <c r="H98" s="3">
        <v>134</v>
      </c>
      <c r="I98" s="3">
        <v>1.6</v>
      </c>
      <c r="J98" s="3">
        <v>0.99</v>
      </c>
      <c r="K98" s="3">
        <v>0.14000000000000001</v>
      </c>
      <c r="L98" s="3">
        <v>1.56</v>
      </c>
      <c r="M98" s="3">
        <v>2.5</v>
      </c>
      <c r="N98" s="3">
        <v>0.95</v>
      </c>
      <c r="O98" s="3">
        <v>2.2599999999999998</v>
      </c>
      <c r="P98" s="3">
        <v>625</v>
      </c>
    </row>
    <row r="99" spans="1:16" ht="15" customHeight="1" x14ac:dyDescent="0.3">
      <c r="A99" s="3">
        <v>98</v>
      </c>
      <c r="B99" s="3" t="s">
        <v>26</v>
      </c>
      <c r="C99" s="9" t="s">
        <v>14</v>
      </c>
      <c r="D99" s="3">
        <v>12.29</v>
      </c>
      <c r="E99" s="3">
        <v>1.41</v>
      </c>
      <c r="F99" s="3">
        <v>1.98</v>
      </c>
      <c r="G99" s="3">
        <v>16</v>
      </c>
      <c r="H99" s="3">
        <v>85</v>
      </c>
      <c r="I99" s="3">
        <v>2.5499999999999998</v>
      </c>
      <c r="J99" s="3">
        <v>2.5</v>
      </c>
      <c r="K99" s="3">
        <v>0.28999999999999998</v>
      </c>
      <c r="L99" s="3">
        <v>1.77</v>
      </c>
      <c r="M99" s="3">
        <v>2.9</v>
      </c>
      <c r="N99" s="3">
        <v>1.23</v>
      </c>
      <c r="O99" s="3">
        <v>2.74</v>
      </c>
      <c r="P99" s="3">
        <v>428</v>
      </c>
    </row>
    <row r="100" spans="1:16" ht="15" customHeight="1" x14ac:dyDescent="0.3">
      <c r="A100" s="3">
        <v>99</v>
      </c>
      <c r="B100" s="3" t="s">
        <v>26</v>
      </c>
      <c r="C100" s="9" t="s">
        <v>14</v>
      </c>
      <c r="D100" s="3">
        <v>12.37</v>
      </c>
      <c r="E100" s="3">
        <v>1.07</v>
      </c>
      <c r="F100" s="3">
        <v>2.1</v>
      </c>
      <c r="G100" s="3">
        <v>18.5</v>
      </c>
      <c r="H100" s="3">
        <v>88</v>
      </c>
      <c r="I100" s="3">
        <v>3.52</v>
      </c>
      <c r="J100" s="3">
        <v>3.75</v>
      </c>
      <c r="K100" s="3">
        <v>0.24</v>
      </c>
      <c r="L100" s="3">
        <v>1.95</v>
      </c>
      <c r="M100" s="3">
        <v>4.5</v>
      </c>
      <c r="N100" s="3">
        <v>1.04</v>
      </c>
      <c r="O100" s="3">
        <v>2.77</v>
      </c>
      <c r="P100" s="3">
        <v>660</v>
      </c>
    </row>
    <row r="101" spans="1:16" ht="15" customHeight="1" x14ac:dyDescent="0.3">
      <c r="A101" s="3">
        <v>100</v>
      </c>
      <c r="B101" s="3" t="s">
        <v>26</v>
      </c>
      <c r="C101" s="9" t="s">
        <v>14</v>
      </c>
      <c r="D101" s="3">
        <v>12.29</v>
      </c>
      <c r="E101" s="3">
        <v>3.17</v>
      </c>
      <c r="F101" s="3">
        <v>2.21</v>
      </c>
      <c r="G101" s="3">
        <v>18</v>
      </c>
      <c r="H101" s="3">
        <v>88</v>
      </c>
      <c r="I101" s="3">
        <v>2.85</v>
      </c>
      <c r="J101" s="3">
        <v>2.99</v>
      </c>
      <c r="K101" s="3">
        <v>0.45</v>
      </c>
      <c r="L101" s="3">
        <v>2.81</v>
      </c>
      <c r="M101" s="3">
        <v>2.2999999999999998</v>
      </c>
      <c r="N101" s="3">
        <v>1.42</v>
      </c>
      <c r="O101" s="3">
        <v>2.83</v>
      </c>
      <c r="P101" s="3">
        <v>406</v>
      </c>
    </row>
    <row r="102" spans="1:16" ht="15" customHeight="1" x14ac:dyDescent="0.3">
      <c r="A102" s="3">
        <v>101</v>
      </c>
      <c r="B102" s="3" t="s">
        <v>26</v>
      </c>
      <c r="C102" s="9" t="s">
        <v>14</v>
      </c>
      <c r="D102" s="3">
        <v>12.08</v>
      </c>
      <c r="E102" s="3">
        <v>2.08</v>
      </c>
      <c r="F102" s="3">
        <v>1.7</v>
      </c>
      <c r="G102" s="3">
        <v>17.5</v>
      </c>
      <c r="H102" s="3">
        <v>97</v>
      </c>
      <c r="I102" s="3">
        <v>2.23</v>
      </c>
      <c r="J102" s="3">
        <v>2.17</v>
      </c>
      <c r="K102" s="3">
        <v>0.26</v>
      </c>
      <c r="L102" s="3">
        <v>1.4</v>
      </c>
      <c r="M102" s="3">
        <v>3.3</v>
      </c>
      <c r="N102" s="3">
        <v>1.27</v>
      </c>
      <c r="O102" s="3">
        <v>2.96</v>
      </c>
      <c r="P102" s="3">
        <v>710</v>
      </c>
    </row>
    <row r="103" spans="1:16" ht="15" customHeight="1" x14ac:dyDescent="0.3">
      <c r="A103" s="3">
        <v>102</v>
      </c>
      <c r="B103" s="3" t="s">
        <v>26</v>
      </c>
      <c r="C103" s="9" t="s">
        <v>14</v>
      </c>
      <c r="D103" s="3">
        <v>12.6</v>
      </c>
      <c r="E103" s="3">
        <v>1.34</v>
      </c>
      <c r="F103" s="3">
        <v>1.9</v>
      </c>
      <c r="G103" s="3">
        <v>18.5</v>
      </c>
      <c r="H103" s="3">
        <v>88</v>
      </c>
      <c r="I103" s="3">
        <v>1.45</v>
      </c>
      <c r="J103" s="3">
        <v>1.36</v>
      </c>
      <c r="K103" s="3">
        <v>0.28999999999999998</v>
      </c>
      <c r="L103" s="3">
        <v>1.35</v>
      </c>
      <c r="M103" s="3">
        <v>2.4500000000000002</v>
      </c>
      <c r="N103" s="3">
        <v>1.04</v>
      </c>
      <c r="O103" s="3">
        <v>2.77</v>
      </c>
      <c r="P103" s="3">
        <v>562</v>
      </c>
    </row>
    <row r="104" spans="1:16" ht="15" customHeight="1" x14ac:dyDescent="0.3">
      <c r="A104" s="3">
        <v>103</v>
      </c>
      <c r="B104" s="3" t="s">
        <v>26</v>
      </c>
      <c r="C104" s="9" t="s">
        <v>14</v>
      </c>
      <c r="D104" s="3">
        <v>12.34</v>
      </c>
      <c r="E104" s="3">
        <v>2.4500000000000002</v>
      </c>
      <c r="F104" s="3">
        <v>2.46</v>
      </c>
      <c r="G104" s="3">
        <v>21</v>
      </c>
      <c r="H104" s="3">
        <v>98</v>
      </c>
      <c r="I104" s="3">
        <v>2.56</v>
      </c>
      <c r="J104" s="3">
        <v>2.11</v>
      </c>
      <c r="K104" s="3">
        <v>0.34</v>
      </c>
      <c r="L104" s="3">
        <v>1.31</v>
      </c>
      <c r="M104" s="3">
        <v>2.8</v>
      </c>
      <c r="N104" s="3">
        <v>0.8</v>
      </c>
      <c r="O104" s="3">
        <v>3.38</v>
      </c>
      <c r="P104" s="3">
        <v>438</v>
      </c>
    </row>
    <row r="105" spans="1:16" ht="15" customHeight="1" x14ac:dyDescent="0.3">
      <c r="A105" s="3">
        <v>104</v>
      </c>
      <c r="B105" s="3" t="s">
        <v>26</v>
      </c>
      <c r="C105" s="9" t="s">
        <v>14</v>
      </c>
      <c r="D105" s="3">
        <v>11.82</v>
      </c>
      <c r="E105" s="3">
        <v>1.72</v>
      </c>
      <c r="F105" s="3">
        <v>1.88</v>
      </c>
      <c r="G105" s="3">
        <v>19.5</v>
      </c>
      <c r="H105" s="3">
        <v>86</v>
      </c>
      <c r="I105" s="3">
        <v>2.5</v>
      </c>
      <c r="J105" s="3">
        <v>1.64</v>
      </c>
      <c r="K105" s="3">
        <v>0.37</v>
      </c>
      <c r="L105" s="3">
        <v>1.42</v>
      </c>
      <c r="M105" s="3">
        <v>2.06</v>
      </c>
      <c r="N105" s="3">
        <v>0.94</v>
      </c>
      <c r="O105" s="3">
        <v>2.44</v>
      </c>
      <c r="P105" s="3">
        <v>415</v>
      </c>
    </row>
    <row r="106" spans="1:16" ht="15" customHeight="1" x14ac:dyDescent="0.3">
      <c r="A106" s="3">
        <v>105</v>
      </c>
      <c r="B106" s="3" t="s">
        <v>26</v>
      </c>
      <c r="C106" s="9" t="s">
        <v>14</v>
      </c>
      <c r="D106" s="3">
        <v>12.51</v>
      </c>
      <c r="E106" s="3">
        <v>1.73</v>
      </c>
      <c r="F106" s="3">
        <v>1.98</v>
      </c>
      <c r="G106" s="3">
        <v>20.5</v>
      </c>
      <c r="H106" s="3">
        <v>85</v>
      </c>
      <c r="I106" s="3">
        <v>2.2000000000000002</v>
      </c>
      <c r="J106" s="3">
        <v>1.92</v>
      </c>
      <c r="K106" s="3">
        <v>0.32</v>
      </c>
      <c r="L106" s="3">
        <v>1.48</v>
      </c>
      <c r="M106" s="3">
        <v>2.94</v>
      </c>
      <c r="N106" s="3">
        <v>1.04</v>
      </c>
      <c r="O106" s="3">
        <v>3.57</v>
      </c>
      <c r="P106" s="3">
        <v>672</v>
      </c>
    </row>
    <row r="107" spans="1:16" ht="15" customHeight="1" x14ac:dyDescent="0.3">
      <c r="A107" s="3">
        <v>106</v>
      </c>
      <c r="B107" s="3" t="s">
        <v>26</v>
      </c>
      <c r="C107" s="9" t="s">
        <v>14</v>
      </c>
      <c r="D107" s="3">
        <v>12.42</v>
      </c>
      <c r="E107" s="3">
        <v>2.5499999999999998</v>
      </c>
      <c r="F107" s="3">
        <v>2.27</v>
      </c>
      <c r="G107" s="3">
        <v>22</v>
      </c>
      <c r="H107" s="3">
        <v>90</v>
      </c>
      <c r="I107" s="3">
        <v>1.68</v>
      </c>
      <c r="J107" s="3">
        <v>1.84</v>
      </c>
      <c r="K107" s="3">
        <v>0.66</v>
      </c>
      <c r="L107" s="3">
        <v>1.42</v>
      </c>
      <c r="M107" s="3">
        <v>2.7</v>
      </c>
      <c r="N107" s="3">
        <v>0.86</v>
      </c>
      <c r="O107" s="3">
        <v>3.3</v>
      </c>
      <c r="P107" s="3">
        <v>315</v>
      </c>
    </row>
    <row r="108" spans="1:16" ht="15" customHeight="1" x14ac:dyDescent="0.3">
      <c r="A108" s="3">
        <v>107</v>
      </c>
      <c r="B108" s="3" t="s">
        <v>26</v>
      </c>
      <c r="C108" s="9" t="s">
        <v>14</v>
      </c>
      <c r="D108" s="3">
        <v>12.25</v>
      </c>
      <c r="E108" s="3">
        <v>1.73</v>
      </c>
      <c r="F108" s="3">
        <v>2.12</v>
      </c>
      <c r="G108" s="3">
        <v>19</v>
      </c>
      <c r="H108" s="3">
        <v>80</v>
      </c>
      <c r="I108" s="3">
        <v>1.65</v>
      </c>
      <c r="J108" s="3">
        <v>2.0299999999999998</v>
      </c>
      <c r="K108" s="3">
        <v>0.37</v>
      </c>
      <c r="L108" s="3">
        <v>1.63</v>
      </c>
      <c r="M108" s="3">
        <v>3.4</v>
      </c>
      <c r="N108" s="3">
        <v>1</v>
      </c>
      <c r="O108" s="3">
        <v>3.17</v>
      </c>
      <c r="P108" s="3">
        <v>510</v>
      </c>
    </row>
    <row r="109" spans="1:16" ht="15" customHeight="1" x14ac:dyDescent="0.3">
      <c r="A109" s="3">
        <v>108</v>
      </c>
      <c r="B109" s="3" t="s">
        <v>26</v>
      </c>
      <c r="C109" s="9" t="s">
        <v>14</v>
      </c>
      <c r="D109" s="3">
        <v>12.72</v>
      </c>
      <c r="E109" s="3">
        <v>1.75</v>
      </c>
      <c r="F109" s="3">
        <v>2.2799999999999998</v>
      </c>
      <c r="G109" s="3">
        <v>22.5</v>
      </c>
      <c r="H109" s="3">
        <v>84</v>
      </c>
      <c r="I109" s="3">
        <v>1.38</v>
      </c>
      <c r="J109" s="3">
        <v>1.76</v>
      </c>
      <c r="K109" s="3">
        <v>0.48</v>
      </c>
      <c r="L109" s="3">
        <v>1.63</v>
      </c>
      <c r="M109" s="3">
        <v>3.3</v>
      </c>
      <c r="N109" s="3">
        <v>0.88</v>
      </c>
      <c r="O109" s="3">
        <v>2.42</v>
      </c>
      <c r="P109" s="3">
        <v>488</v>
      </c>
    </row>
    <row r="110" spans="1:16" ht="15" customHeight="1" x14ac:dyDescent="0.3">
      <c r="A110" s="3">
        <v>109</v>
      </c>
      <c r="B110" s="3" t="s">
        <v>26</v>
      </c>
      <c r="C110" s="9" t="s">
        <v>14</v>
      </c>
      <c r="D110" s="3">
        <v>12.22</v>
      </c>
      <c r="E110" s="3">
        <v>1.29</v>
      </c>
      <c r="F110" s="3">
        <v>1.94</v>
      </c>
      <c r="G110" s="3">
        <v>19</v>
      </c>
      <c r="H110" s="3">
        <v>92</v>
      </c>
      <c r="I110" s="3">
        <v>2.36</v>
      </c>
      <c r="J110" s="3">
        <v>2.04</v>
      </c>
      <c r="K110" s="3">
        <v>0.39</v>
      </c>
      <c r="L110" s="3">
        <v>2.08</v>
      </c>
      <c r="M110" s="3">
        <v>2.7</v>
      </c>
      <c r="N110" s="3">
        <v>0.86</v>
      </c>
      <c r="O110" s="3">
        <v>3.02</v>
      </c>
      <c r="P110" s="3">
        <v>312</v>
      </c>
    </row>
    <row r="111" spans="1:16" ht="15" customHeight="1" x14ac:dyDescent="0.3">
      <c r="A111" s="3">
        <v>110</v>
      </c>
      <c r="B111" s="3" t="s">
        <v>26</v>
      </c>
      <c r="C111" s="9" t="s">
        <v>14</v>
      </c>
      <c r="D111" s="3">
        <v>11.61</v>
      </c>
      <c r="E111" s="3">
        <v>1.35</v>
      </c>
      <c r="F111" s="3">
        <v>2.7</v>
      </c>
      <c r="G111" s="3">
        <v>20</v>
      </c>
      <c r="H111" s="3">
        <v>94</v>
      </c>
      <c r="I111" s="3">
        <v>2.74</v>
      </c>
      <c r="J111" s="3">
        <v>2.92</v>
      </c>
      <c r="K111" s="3">
        <v>0.28999999999999998</v>
      </c>
      <c r="L111" s="3">
        <v>2.4900000000000002</v>
      </c>
      <c r="M111" s="3">
        <v>2.65</v>
      </c>
      <c r="N111" s="3">
        <v>0.96</v>
      </c>
      <c r="O111" s="3">
        <v>3.26</v>
      </c>
      <c r="P111" s="3">
        <v>680</v>
      </c>
    </row>
    <row r="112" spans="1:16" ht="15" customHeight="1" x14ac:dyDescent="0.3">
      <c r="A112" s="3">
        <v>111</v>
      </c>
      <c r="B112" s="3" t="s">
        <v>26</v>
      </c>
      <c r="C112" s="9" t="s">
        <v>14</v>
      </c>
      <c r="D112" s="3">
        <v>11.46</v>
      </c>
      <c r="E112" s="3">
        <v>3.74</v>
      </c>
      <c r="F112" s="3">
        <v>1.82</v>
      </c>
      <c r="G112" s="3">
        <v>19.5</v>
      </c>
      <c r="H112" s="3">
        <v>107</v>
      </c>
      <c r="I112" s="3">
        <v>3.18</v>
      </c>
      <c r="J112" s="3">
        <v>2.58</v>
      </c>
      <c r="K112" s="3">
        <v>0.24</v>
      </c>
      <c r="L112" s="3">
        <v>3.58</v>
      </c>
      <c r="M112" s="3">
        <v>2.9</v>
      </c>
      <c r="N112" s="3">
        <v>0.75</v>
      </c>
      <c r="O112" s="3">
        <v>2.81</v>
      </c>
      <c r="P112" s="3">
        <v>562</v>
      </c>
    </row>
    <row r="113" spans="1:16" ht="15" customHeight="1" x14ac:dyDescent="0.3">
      <c r="A113" s="3">
        <v>112</v>
      </c>
      <c r="B113" s="3" t="s">
        <v>26</v>
      </c>
      <c r="C113" s="9" t="s">
        <v>14</v>
      </c>
      <c r="D113" s="3">
        <v>12.52</v>
      </c>
      <c r="E113" s="3">
        <v>2.4300000000000002</v>
      </c>
      <c r="F113" s="3">
        <v>2.17</v>
      </c>
      <c r="G113" s="3">
        <v>21</v>
      </c>
      <c r="H113" s="3">
        <v>88</v>
      </c>
      <c r="I113" s="3">
        <v>2.5499999999999998</v>
      </c>
      <c r="J113" s="3">
        <v>2.27</v>
      </c>
      <c r="K113" s="3">
        <v>0.26</v>
      </c>
      <c r="L113" s="3">
        <v>1.22</v>
      </c>
      <c r="M113" s="3">
        <v>2</v>
      </c>
      <c r="N113" s="3">
        <v>0.9</v>
      </c>
      <c r="O113" s="3">
        <v>2.78</v>
      </c>
      <c r="P113" s="3">
        <v>325</v>
      </c>
    </row>
    <row r="114" spans="1:16" ht="15" customHeight="1" x14ac:dyDescent="0.3">
      <c r="A114" s="3">
        <v>113</v>
      </c>
      <c r="B114" s="3" t="s">
        <v>26</v>
      </c>
      <c r="C114" s="9" t="s">
        <v>14</v>
      </c>
      <c r="D114" s="3">
        <v>11.76</v>
      </c>
      <c r="E114" s="3">
        <v>2.68</v>
      </c>
      <c r="F114" s="3">
        <v>2.92</v>
      </c>
      <c r="G114" s="3">
        <v>20</v>
      </c>
      <c r="H114" s="3">
        <v>103</v>
      </c>
      <c r="I114" s="3">
        <v>1.75</v>
      </c>
      <c r="J114" s="3">
        <v>2.0299999999999998</v>
      </c>
      <c r="K114" s="3">
        <v>0.6</v>
      </c>
      <c r="L114" s="3">
        <v>1.05</v>
      </c>
      <c r="M114" s="3">
        <v>3.8</v>
      </c>
      <c r="N114" s="3">
        <v>1.23</v>
      </c>
      <c r="O114" s="3">
        <v>2.5</v>
      </c>
      <c r="P114" s="3">
        <v>607</v>
      </c>
    </row>
    <row r="115" spans="1:16" ht="15" customHeight="1" x14ac:dyDescent="0.3">
      <c r="A115" s="3">
        <v>114</v>
      </c>
      <c r="B115" s="3" t="s">
        <v>26</v>
      </c>
      <c r="C115" s="9" t="s">
        <v>14</v>
      </c>
      <c r="D115" s="3">
        <v>11.41</v>
      </c>
      <c r="E115" s="3">
        <v>0.74</v>
      </c>
      <c r="F115" s="3">
        <v>2.5</v>
      </c>
      <c r="G115" s="3">
        <v>21</v>
      </c>
      <c r="H115" s="3">
        <v>88</v>
      </c>
      <c r="I115" s="3">
        <v>2.48</v>
      </c>
      <c r="J115" s="3">
        <v>2.0099999999999998</v>
      </c>
      <c r="K115" s="3">
        <v>0.42</v>
      </c>
      <c r="L115" s="3">
        <v>1.44</v>
      </c>
      <c r="M115" s="3">
        <v>3.08</v>
      </c>
      <c r="N115" s="3">
        <v>1.1000000000000001</v>
      </c>
      <c r="O115" s="3">
        <v>2.31</v>
      </c>
      <c r="P115" s="3">
        <v>434</v>
      </c>
    </row>
    <row r="116" spans="1:16" ht="15" customHeight="1" x14ac:dyDescent="0.3">
      <c r="A116" s="3">
        <v>115</v>
      </c>
      <c r="B116" s="3" t="s">
        <v>26</v>
      </c>
      <c r="C116" s="9" t="s">
        <v>14</v>
      </c>
      <c r="D116" s="3">
        <v>12.08</v>
      </c>
      <c r="E116" s="3">
        <v>1.39</v>
      </c>
      <c r="F116" s="3">
        <v>2.5</v>
      </c>
      <c r="G116" s="3">
        <v>22.5</v>
      </c>
      <c r="H116" s="3">
        <v>84</v>
      </c>
      <c r="I116" s="3">
        <v>2.56</v>
      </c>
      <c r="J116" s="3">
        <v>2.29</v>
      </c>
      <c r="K116" s="3">
        <v>0.43</v>
      </c>
      <c r="L116" s="3">
        <v>1.04</v>
      </c>
      <c r="M116" s="3">
        <v>2.9</v>
      </c>
      <c r="N116" s="3">
        <v>0.93</v>
      </c>
      <c r="O116" s="3">
        <v>3.19</v>
      </c>
      <c r="P116" s="3">
        <v>385</v>
      </c>
    </row>
    <row r="117" spans="1:16" ht="15" customHeight="1" x14ac:dyDescent="0.3">
      <c r="A117" s="3">
        <v>116</v>
      </c>
      <c r="B117" s="3" t="s">
        <v>26</v>
      </c>
      <c r="C117" s="9" t="s">
        <v>14</v>
      </c>
      <c r="D117" s="3">
        <v>11.03</v>
      </c>
      <c r="E117" s="3">
        <v>1.51</v>
      </c>
      <c r="F117" s="3">
        <v>2.2000000000000002</v>
      </c>
      <c r="G117" s="3">
        <v>21.5</v>
      </c>
      <c r="H117" s="3">
        <v>85</v>
      </c>
      <c r="I117" s="3">
        <v>2.46</v>
      </c>
      <c r="J117" s="3">
        <v>2.17</v>
      </c>
      <c r="K117" s="3">
        <v>0.52</v>
      </c>
      <c r="L117" s="3">
        <v>2.0099999999999998</v>
      </c>
      <c r="M117" s="3">
        <v>1.9</v>
      </c>
      <c r="N117" s="3">
        <v>1.71</v>
      </c>
      <c r="O117" s="3">
        <v>2.87</v>
      </c>
      <c r="P117" s="3">
        <v>407</v>
      </c>
    </row>
    <row r="118" spans="1:16" ht="15" customHeight="1" x14ac:dyDescent="0.3">
      <c r="A118" s="3">
        <v>117</v>
      </c>
      <c r="B118" s="3" t="s">
        <v>26</v>
      </c>
      <c r="C118" s="9" t="s">
        <v>14</v>
      </c>
      <c r="D118" s="3">
        <v>11.82</v>
      </c>
      <c r="E118" s="3">
        <v>1.47</v>
      </c>
      <c r="F118" s="3">
        <v>1.99</v>
      </c>
      <c r="G118" s="3">
        <v>20.8</v>
      </c>
      <c r="H118" s="3">
        <v>86</v>
      </c>
      <c r="I118" s="3">
        <v>1.98</v>
      </c>
      <c r="J118" s="3">
        <v>1.6</v>
      </c>
      <c r="K118" s="3">
        <v>0.3</v>
      </c>
      <c r="L118" s="3">
        <v>1.53</v>
      </c>
      <c r="M118" s="3">
        <v>1.95</v>
      </c>
      <c r="N118" s="3">
        <v>0.95</v>
      </c>
      <c r="O118" s="3">
        <v>3.33</v>
      </c>
      <c r="P118" s="3">
        <v>495</v>
      </c>
    </row>
    <row r="119" spans="1:16" ht="15" customHeight="1" x14ac:dyDescent="0.3">
      <c r="A119" s="3">
        <v>118</v>
      </c>
      <c r="B119" s="3" t="s">
        <v>26</v>
      </c>
      <c r="C119" s="9" t="s">
        <v>14</v>
      </c>
      <c r="D119" s="3">
        <v>12.42</v>
      </c>
      <c r="E119" s="3">
        <v>1.61</v>
      </c>
      <c r="F119" s="3">
        <v>2.19</v>
      </c>
      <c r="G119" s="3">
        <v>22.5</v>
      </c>
      <c r="H119" s="3">
        <v>108</v>
      </c>
      <c r="I119" s="3">
        <v>2</v>
      </c>
      <c r="J119" s="3">
        <v>2.09</v>
      </c>
      <c r="K119" s="3">
        <v>0.34</v>
      </c>
      <c r="L119" s="3">
        <v>1.61</v>
      </c>
      <c r="M119" s="3">
        <v>2.06</v>
      </c>
      <c r="N119" s="3">
        <v>1.06</v>
      </c>
      <c r="O119" s="3">
        <v>2.96</v>
      </c>
      <c r="P119" s="3">
        <v>345</v>
      </c>
    </row>
    <row r="120" spans="1:16" ht="15" customHeight="1" x14ac:dyDescent="0.3">
      <c r="A120" s="3">
        <v>119</v>
      </c>
      <c r="B120" s="3" t="s">
        <v>26</v>
      </c>
      <c r="C120" s="9" t="s">
        <v>14</v>
      </c>
      <c r="D120" s="3">
        <v>12.77</v>
      </c>
      <c r="E120" s="3">
        <v>3.43</v>
      </c>
      <c r="F120" s="3">
        <v>1.98</v>
      </c>
      <c r="G120" s="3">
        <v>16</v>
      </c>
      <c r="H120" s="3">
        <v>80</v>
      </c>
      <c r="I120" s="3">
        <v>1.63</v>
      </c>
      <c r="J120" s="3">
        <v>1.25</v>
      </c>
      <c r="K120" s="3">
        <v>0.43</v>
      </c>
      <c r="L120" s="3">
        <v>0.83</v>
      </c>
      <c r="M120" s="3">
        <v>3.4</v>
      </c>
      <c r="N120" s="3">
        <v>0.7</v>
      </c>
      <c r="O120" s="3">
        <v>2.12</v>
      </c>
      <c r="P120" s="3">
        <v>372</v>
      </c>
    </row>
    <row r="121" spans="1:16" ht="15" customHeight="1" x14ac:dyDescent="0.3">
      <c r="A121" s="3">
        <v>120</v>
      </c>
      <c r="B121" s="3" t="s">
        <v>26</v>
      </c>
      <c r="C121" s="9" t="s">
        <v>14</v>
      </c>
      <c r="D121" s="3">
        <v>12</v>
      </c>
      <c r="E121" s="3">
        <v>3.43</v>
      </c>
      <c r="F121" s="3">
        <v>2</v>
      </c>
      <c r="G121" s="3">
        <v>19</v>
      </c>
      <c r="H121" s="3">
        <v>87</v>
      </c>
      <c r="I121" s="3">
        <v>2</v>
      </c>
      <c r="J121" s="3">
        <v>1.64</v>
      </c>
      <c r="K121" s="3">
        <v>0.37</v>
      </c>
      <c r="L121" s="3">
        <v>1.87</v>
      </c>
      <c r="M121" s="3">
        <v>1.28</v>
      </c>
      <c r="N121" s="3">
        <v>0.93</v>
      </c>
      <c r="O121" s="3">
        <v>3.05</v>
      </c>
      <c r="P121" s="3">
        <v>564</v>
      </c>
    </row>
    <row r="122" spans="1:16" ht="15" customHeight="1" x14ac:dyDescent="0.3">
      <c r="A122" s="3">
        <v>121</v>
      </c>
      <c r="B122" s="3" t="s">
        <v>26</v>
      </c>
      <c r="C122" s="9" t="s">
        <v>14</v>
      </c>
      <c r="D122" s="3">
        <v>11.45</v>
      </c>
      <c r="E122" s="3">
        <v>2.4</v>
      </c>
      <c r="F122" s="3">
        <v>2.42</v>
      </c>
      <c r="G122" s="3">
        <v>20</v>
      </c>
      <c r="H122" s="3">
        <v>96</v>
      </c>
      <c r="I122" s="3">
        <v>2.9</v>
      </c>
      <c r="J122" s="3">
        <v>2.79</v>
      </c>
      <c r="K122" s="3">
        <v>0.32</v>
      </c>
      <c r="L122" s="3">
        <v>1.83</v>
      </c>
      <c r="M122" s="3">
        <v>3.25</v>
      </c>
      <c r="N122" s="3">
        <v>0.8</v>
      </c>
      <c r="O122" s="3">
        <v>3.39</v>
      </c>
      <c r="P122" s="3">
        <v>625</v>
      </c>
    </row>
    <row r="123" spans="1:16" ht="15" customHeight="1" x14ac:dyDescent="0.3">
      <c r="A123" s="3">
        <v>122</v>
      </c>
      <c r="B123" s="3" t="s">
        <v>26</v>
      </c>
      <c r="C123" s="9" t="s">
        <v>14</v>
      </c>
      <c r="D123" s="3">
        <v>11.56</v>
      </c>
      <c r="E123" s="3">
        <v>2.0499999999999998</v>
      </c>
      <c r="F123" s="3">
        <v>3.23</v>
      </c>
      <c r="G123" s="3">
        <v>28.5</v>
      </c>
      <c r="H123" s="3">
        <v>119</v>
      </c>
      <c r="I123" s="3">
        <v>3.18</v>
      </c>
      <c r="J123" s="3">
        <v>5.08</v>
      </c>
      <c r="K123" s="3">
        <v>0.47</v>
      </c>
      <c r="L123" s="3">
        <v>1.87</v>
      </c>
      <c r="M123" s="3">
        <v>6</v>
      </c>
      <c r="N123" s="3">
        <v>0.93</v>
      </c>
      <c r="O123" s="3">
        <v>3.69</v>
      </c>
      <c r="P123" s="3">
        <v>465</v>
      </c>
    </row>
    <row r="124" spans="1:16" ht="15" customHeight="1" x14ac:dyDescent="0.3">
      <c r="A124" s="3">
        <v>123</v>
      </c>
      <c r="B124" s="3" t="s">
        <v>26</v>
      </c>
      <c r="C124" s="9" t="s">
        <v>14</v>
      </c>
      <c r="D124" s="3">
        <v>12.42</v>
      </c>
      <c r="E124" s="3">
        <v>4.43</v>
      </c>
      <c r="F124" s="3">
        <v>2.73</v>
      </c>
      <c r="G124" s="3">
        <v>26.5</v>
      </c>
      <c r="H124" s="3">
        <v>102</v>
      </c>
      <c r="I124" s="3">
        <v>2.2000000000000002</v>
      </c>
      <c r="J124" s="3">
        <v>2.13</v>
      </c>
      <c r="K124" s="3">
        <v>0.43</v>
      </c>
      <c r="L124" s="3">
        <v>1.71</v>
      </c>
      <c r="M124" s="3">
        <v>2.08</v>
      </c>
      <c r="N124" s="3">
        <v>0.92</v>
      </c>
      <c r="O124" s="3">
        <v>3.12</v>
      </c>
      <c r="P124" s="3">
        <v>365</v>
      </c>
    </row>
    <row r="125" spans="1:16" ht="15" customHeight="1" x14ac:dyDescent="0.3">
      <c r="A125" s="3">
        <v>124</v>
      </c>
      <c r="B125" s="3" t="s">
        <v>26</v>
      </c>
      <c r="C125" s="9" t="s">
        <v>14</v>
      </c>
      <c r="D125" s="3">
        <v>13.05</v>
      </c>
      <c r="E125" s="3">
        <v>5.8</v>
      </c>
      <c r="F125" s="3">
        <v>2.13</v>
      </c>
      <c r="G125" s="3">
        <v>21.5</v>
      </c>
      <c r="H125" s="3">
        <v>86</v>
      </c>
      <c r="I125" s="3">
        <v>2.62</v>
      </c>
      <c r="J125" s="3">
        <v>2.65</v>
      </c>
      <c r="K125" s="3">
        <v>0.3</v>
      </c>
      <c r="L125" s="3">
        <v>2.0099999999999998</v>
      </c>
      <c r="M125" s="3">
        <v>2.6</v>
      </c>
      <c r="N125" s="3">
        <v>0.73</v>
      </c>
      <c r="O125" s="3">
        <v>3.1</v>
      </c>
      <c r="P125" s="3">
        <v>380</v>
      </c>
    </row>
    <row r="126" spans="1:16" ht="15" customHeight="1" x14ac:dyDescent="0.3">
      <c r="A126" s="3">
        <v>125</v>
      </c>
      <c r="B126" s="3" t="s">
        <v>26</v>
      </c>
      <c r="C126" s="9" t="s">
        <v>14</v>
      </c>
      <c r="D126" s="3">
        <v>11.87</v>
      </c>
      <c r="E126" s="3">
        <v>4.3099999999999996</v>
      </c>
      <c r="F126" s="3">
        <v>2.39</v>
      </c>
      <c r="G126" s="3">
        <v>21</v>
      </c>
      <c r="H126" s="3">
        <v>82</v>
      </c>
      <c r="I126" s="3">
        <v>2.86</v>
      </c>
      <c r="J126" s="3">
        <v>3.03</v>
      </c>
      <c r="K126" s="3">
        <v>0.21</v>
      </c>
      <c r="L126" s="3">
        <v>2.91</v>
      </c>
      <c r="M126" s="3">
        <v>2.8</v>
      </c>
      <c r="N126" s="3">
        <v>0.75</v>
      </c>
      <c r="O126" s="3">
        <v>3.64</v>
      </c>
      <c r="P126" s="3">
        <v>380</v>
      </c>
    </row>
    <row r="127" spans="1:16" ht="15" customHeight="1" x14ac:dyDescent="0.3">
      <c r="A127" s="3">
        <v>126</v>
      </c>
      <c r="B127" s="3" t="s">
        <v>26</v>
      </c>
      <c r="C127" s="9" t="s">
        <v>14</v>
      </c>
      <c r="D127" s="3">
        <v>12.07</v>
      </c>
      <c r="E127" s="3">
        <v>2.16</v>
      </c>
      <c r="F127" s="3">
        <v>2.17</v>
      </c>
      <c r="G127" s="3">
        <v>21</v>
      </c>
      <c r="H127" s="3">
        <v>85</v>
      </c>
      <c r="I127" s="3">
        <v>2.6</v>
      </c>
      <c r="J127" s="3">
        <v>2.65</v>
      </c>
      <c r="K127" s="3">
        <v>0.37</v>
      </c>
      <c r="L127" s="3">
        <v>1.35</v>
      </c>
      <c r="M127" s="3">
        <v>2.76</v>
      </c>
      <c r="N127" s="3">
        <v>0.86</v>
      </c>
      <c r="O127" s="3">
        <v>3.28</v>
      </c>
      <c r="P127" s="3">
        <v>378</v>
      </c>
    </row>
    <row r="128" spans="1:16" ht="15" customHeight="1" x14ac:dyDescent="0.3">
      <c r="A128" s="3">
        <v>127</v>
      </c>
      <c r="B128" s="3" t="s">
        <v>26</v>
      </c>
      <c r="C128" s="9" t="s">
        <v>14</v>
      </c>
      <c r="D128" s="3">
        <v>12.43</v>
      </c>
      <c r="E128" s="3">
        <v>1.53</v>
      </c>
      <c r="F128" s="3">
        <v>2.29</v>
      </c>
      <c r="G128" s="3">
        <v>21.5</v>
      </c>
      <c r="H128" s="3">
        <v>86</v>
      </c>
      <c r="I128" s="3">
        <v>2.74</v>
      </c>
      <c r="J128" s="3">
        <v>3.15</v>
      </c>
      <c r="K128" s="3">
        <v>0.39</v>
      </c>
      <c r="L128" s="3">
        <v>1.77</v>
      </c>
      <c r="M128" s="3">
        <v>3.94</v>
      </c>
      <c r="N128" s="3">
        <v>0.69</v>
      </c>
      <c r="O128" s="3">
        <v>2.84</v>
      </c>
      <c r="P128" s="3">
        <v>352</v>
      </c>
    </row>
    <row r="129" spans="1:16" ht="15" customHeight="1" x14ac:dyDescent="0.3">
      <c r="A129" s="3">
        <v>128</v>
      </c>
      <c r="B129" s="3" t="s">
        <v>26</v>
      </c>
      <c r="C129" s="9" t="s">
        <v>14</v>
      </c>
      <c r="D129" s="3">
        <v>11.79</v>
      </c>
      <c r="E129" s="3">
        <v>2.13</v>
      </c>
      <c r="F129" s="3">
        <v>2.78</v>
      </c>
      <c r="G129" s="3">
        <v>28.5</v>
      </c>
      <c r="H129" s="3">
        <v>92</v>
      </c>
      <c r="I129" s="3">
        <v>2.13</v>
      </c>
      <c r="J129" s="3">
        <v>2.2400000000000002</v>
      </c>
      <c r="K129" s="3">
        <v>0.57999999999999996</v>
      </c>
      <c r="L129" s="3">
        <v>1.76</v>
      </c>
      <c r="M129" s="3">
        <v>3</v>
      </c>
      <c r="N129" s="3">
        <v>0.97</v>
      </c>
      <c r="O129" s="3">
        <v>2.44</v>
      </c>
      <c r="P129" s="3">
        <v>466</v>
      </c>
    </row>
    <row r="130" spans="1:16" ht="15" customHeight="1" x14ac:dyDescent="0.3">
      <c r="A130" s="3">
        <v>129</v>
      </c>
      <c r="B130" s="3" t="s">
        <v>26</v>
      </c>
      <c r="C130" s="9" t="s">
        <v>14</v>
      </c>
      <c r="D130" s="3">
        <v>12.37</v>
      </c>
      <c r="E130" s="3">
        <v>1.63</v>
      </c>
      <c r="F130" s="3">
        <v>2.2999999999999998</v>
      </c>
      <c r="G130" s="3">
        <v>24.5</v>
      </c>
      <c r="H130" s="3">
        <v>88</v>
      </c>
      <c r="I130" s="3">
        <v>2.2200000000000002</v>
      </c>
      <c r="J130" s="3">
        <v>2.4500000000000002</v>
      </c>
      <c r="K130" s="3">
        <v>0.4</v>
      </c>
      <c r="L130" s="3">
        <v>1.9</v>
      </c>
      <c r="M130" s="3">
        <v>2.12</v>
      </c>
      <c r="N130" s="3">
        <v>0.89</v>
      </c>
      <c r="O130" s="3">
        <v>2.78</v>
      </c>
      <c r="P130" s="3">
        <v>342</v>
      </c>
    </row>
    <row r="131" spans="1:16" ht="15" customHeight="1" x14ac:dyDescent="0.3">
      <c r="A131" s="3">
        <v>130</v>
      </c>
      <c r="B131" s="3" t="s">
        <v>26</v>
      </c>
      <c r="C131" s="9" t="s">
        <v>14</v>
      </c>
      <c r="D131" s="3">
        <v>12.04</v>
      </c>
      <c r="E131" s="3">
        <v>4.3</v>
      </c>
      <c r="F131" s="3">
        <v>2.38</v>
      </c>
      <c r="G131" s="3">
        <v>22</v>
      </c>
      <c r="H131" s="3">
        <v>80</v>
      </c>
      <c r="I131" s="3">
        <v>2.1</v>
      </c>
      <c r="J131" s="3">
        <v>1.75</v>
      </c>
      <c r="K131" s="3">
        <v>0.42</v>
      </c>
      <c r="L131" s="3">
        <v>1.35</v>
      </c>
      <c r="M131" s="3">
        <v>2.6</v>
      </c>
      <c r="N131" s="3">
        <v>0.79</v>
      </c>
      <c r="O131" s="3">
        <v>2.57</v>
      </c>
      <c r="P131" s="3">
        <v>580</v>
      </c>
    </row>
    <row r="132" spans="1:16" ht="15" customHeight="1" x14ac:dyDescent="0.3">
      <c r="A132" s="3">
        <v>131</v>
      </c>
      <c r="B132" s="3" t="s">
        <v>26</v>
      </c>
      <c r="C132" s="9" t="s">
        <v>15</v>
      </c>
      <c r="D132" s="3">
        <v>12.86</v>
      </c>
      <c r="E132" s="3">
        <v>1.35</v>
      </c>
      <c r="F132" s="3">
        <v>2.3199999999999998</v>
      </c>
      <c r="G132" s="3">
        <v>18</v>
      </c>
      <c r="H132" s="3">
        <v>122</v>
      </c>
      <c r="I132" s="3">
        <v>1.51</v>
      </c>
      <c r="J132" s="3">
        <v>1.25</v>
      </c>
      <c r="K132" s="3">
        <v>0.21</v>
      </c>
      <c r="L132" s="3">
        <v>0.94</v>
      </c>
      <c r="M132" s="3">
        <v>4.0999999999999996</v>
      </c>
      <c r="N132" s="3">
        <v>0.76</v>
      </c>
      <c r="O132" s="3">
        <v>1.29</v>
      </c>
      <c r="P132" s="3">
        <v>630</v>
      </c>
    </row>
    <row r="133" spans="1:16" ht="15" customHeight="1" x14ac:dyDescent="0.3">
      <c r="A133" s="3">
        <v>132</v>
      </c>
      <c r="B133" s="3" t="s">
        <v>26</v>
      </c>
      <c r="C133" s="9" t="s">
        <v>15</v>
      </c>
      <c r="D133" s="3">
        <v>12.88</v>
      </c>
      <c r="E133" s="3">
        <v>2.99</v>
      </c>
      <c r="F133" s="3">
        <v>2.4</v>
      </c>
      <c r="G133" s="3">
        <v>20</v>
      </c>
      <c r="H133" s="3">
        <v>104</v>
      </c>
      <c r="I133" s="3">
        <v>1.3</v>
      </c>
      <c r="J133" s="3">
        <v>1.22</v>
      </c>
      <c r="K133" s="3">
        <v>0.24</v>
      </c>
      <c r="L133" s="3">
        <v>0.83</v>
      </c>
      <c r="M133" s="3">
        <v>5.4</v>
      </c>
      <c r="N133" s="3">
        <v>0.74</v>
      </c>
      <c r="O133" s="3">
        <v>1.42</v>
      </c>
      <c r="P133" s="3">
        <v>530</v>
      </c>
    </row>
    <row r="134" spans="1:16" ht="15" customHeight="1" x14ac:dyDescent="0.3">
      <c r="A134" s="3">
        <v>133</v>
      </c>
      <c r="B134" s="3" t="s">
        <v>26</v>
      </c>
      <c r="C134" s="9" t="s">
        <v>15</v>
      </c>
      <c r="D134" s="3">
        <v>12.81</v>
      </c>
      <c r="E134" s="3">
        <v>2.31</v>
      </c>
      <c r="F134" s="3">
        <v>2.4</v>
      </c>
      <c r="G134" s="3">
        <v>24</v>
      </c>
      <c r="H134" s="3">
        <v>98</v>
      </c>
      <c r="I134" s="3">
        <v>1.1499999999999999</v>
      </c>
      <c r="J134" s="3">
        <v>1.0900000000000001</v>
      </c>
      <c r="K134" s="3">
        <v>0.27</v>
      </c>
      <c r="L134" s="3">
        <v>0.83</v>
      </c>
      <c r="M134" s="3">
        <v>5.7</v>
      </c>
      <c r="N134" s="3">
        <v>0.66</v>
      </c>
      <c r="O134" s="3">
        <v>1.36</v>
      </c>
      <c r="P134" s="3">
        <v>560</v>
      </c>
    </row>
    <row r="135" spans="1:16" ht="15" customHeight="1" x14ac:dyDescent="0.3">
      <c r="A135" s="3">
        <v>134</v>
      </c>
      <c r="B135" s="3" t="s">
        <v>26</v>
      </c>
      <c r="C135" s="9" t="s">
        <v>15</v>
      </c>
      <c r="D135" s="3">
        <v>12.7</v>
      </c>
      <c r="E135" s="3">
        <v>3.55</v>
      </c>
      <c r="F135" s="3">
        <v>2.36</v>
      </c>
      <c r="G135" s="3">
        <v>21.5</v>
      </c>
      <c r="H135" s="3">
        <v>106</v>
      </c>
      <c r="I135" s="3">
        <v>1.7</v>
      </c>
      <c r="J135" s="3">
        <v>1.2</v>
      </c>
      <c r="K135" s="3">
        <v>0.17</v>
      </c>
      <c r="L135" s="3">
        <v>0.84</v>
      </c>
      <c r="M135" s="3">
        <v>5</v>
      </c>
      <c r="N135" s="3">
        <v>0.78</v>
      </c>
      <c r="O135" s="3">
        <v>1.29</v>
      </c>
      <c r="P135" s="3">
        <v>600</v>
      </c>
    </row>
    <row r="136" spans="1:16" ht="15" customHeight="1" x14ac:dyDescent="0.3">
      <c r="A136" s="3">
        <v>135</v>
      </c>
      <c r="B136" s="3" t="s">
        <v>26</v>
      </c>
      <c r="C136" s="9" t="s">
        <v>15</v>
      </c>
      <c r="D136" s="3">
        <v>12.51</v>
      </c>
      <c r="E136" s="3">
        <v>1.24</v>
      </c>
      <c r="F136" s="3">
        <v>2.25</v>
      </c>
      <c r="G136" s="3">
        <v>17.5</v>
      </c>
      <c r="H136" s="3">
        <v>85</v>
      </c>
      <c r="I136" s="3">
        <v>2</v>
      </c>
      <c r="J136" s="3">
        <v>0.57999999999999996</v>
      </c>
      <c r="K136" s="3">
        <v>0.6</v>
      </c>
      <c r="L136" s="3">
        <v>1.25</v>
      </c>
      <c r="M136" s="3">
        <v>5.45</v>
      </c>
      <c r="N136" s="3">
        <v>0.75</v>
      </c>
      <c r="O136" s="3">
        <v>1.51</v>
      </c>
      <c r="P136" s="3">
        <v>650</v>
      </c>
    </row>
    <row r="137" spans="1:16" ht="15" customHeight="1" x14ac:dyDescent="0.3">
      <c r="A137" s="3">
        <v>136</v>
      </c>
      <c r="B137" s="3" t="s">
        <v>26</v>
      </c>
      <c r="C137" s="9" t="s">
        <v>15</v>
      </c>
      <c r="D137" s="3">
        <v>12.6</v>
      </c>
      <c r="E137" s="3">
        <v>2.46</v>
      </c>
      <c r="F137" s="3">
        <v>2.2000000000000002</v>
      </c>
      <c r="G137" s="3">
        <v>18.5</v>
      </c>
      <c r="H137" s="3">
        <v>94</v>
      </c>
      <c r="I137" s="3">
        <v>1.62</v>
      </c>
      <c r="J137" s="3">
        <v>0.66</v>
      </c>
      <c r="K137" s="3">
        <v>0.63</v>
      </c>
      <c r="L137" s="3">
        <v>0.94</v>
      </c>
      <c r="M137" s="3">
        <v>7.1</v>
      </c>
      <c r="N137" s="3">
        <v>0.73</v>
      </c>
      <c r="O137" s="3">
        <v>1.58</v>
      </c>
      <c r="P137" s="3">
        <v>695</v>
      </c>
    </row>
    <row r="138" spans="1:16" ht="15" customHeight="1" x14ac:dyDescent="0.3">
      <c r="A138" s="3">
        <v>137</v>
      </c>
      <c r="B138" s="3" t="s">
        <v>26</v>
      </c>
      <c r="C138" s="9" t="s">
        <v>15</v>
      </c>
      <c r="D138" s="3">
        <v>12.25</v>
      </c>
      <c r="E138" s="3">
        <v>4.72</v>
      </c>
      <c r="F138" s="3">
        <v>2.54</v>
      </c>
      <c r="G138" s="3">
        <v>21</v>
      </c>
      <c r="H138" s="3">
        <v>89</v>
      </c>
      <c r="I138" s="3">
        <v>1.38</v>
      </c>
      <c r="J138" s="3">
        <v>0.47</v>
      </c>
      <c r="K138" s="3">
        <v>0.53</v>
      </c>
      <c r="L138" s="3">
        <v>0.8</v>
      </c>
      <c r="M138" s="3">
        <v>3.85</v>
      </c>
      <c r="N138" s="3">
        <v>0.75</v>
      </c>
      <c r="O138" s="3">
        <v>1.27</v>
      </c>
      <c r="P138" s="3">
        <v>720</v>
      </c>
    </row>
    <row r="139" spans="1:16" ht="15" customHeight="1" x14ac:dyDescent="0.3">
      <c r="A139" s="3">
        <v>138</v>
      </c>
      <c r="B139" s="3" t="s">
        <v>26</v>
      </c>
      <c r="C139" s="9" t="s">
        <v>15</v>
      </c>
      <c r="D139" s="3">
        <v>12.53</v>
      </c>
      <c r="E139" s="3">
        <v>5.51</v>
      </c>
      <c r="F139" s="3">
        <v>2.64</v>
      </c>
      <c r="G139" s="3">
        <v>25</v>
      </c>
      <c r="H139" s="3">
        <v>96</v>
      </c>
      <c r="I139" s="3">
        <v>1.79</v>
      </c>
      <c r="J139" s="3">
        <v>0.6</v>
      </c>
      <c r="K139" s="3">
        <v>0.63</v>
      </c>
      <c r="L139" s="3">
        <v>1.1000000000000001</v>
      </c>
      <c r="M139" s="3">
        <v>5</v>
      </c>
      <c r="N139" s="3">
        <v>0.82</v>
      </c>
      <c r="O139" s="3">
        <v>1.69</v>
      </c>
      <c r="P139" s="3">
        <v>515</v>
      </c>
    </row>
    <row r="140" spans="1:16" ht="15" customHeight="1" x14ac:dyDescent="0.3">
      <c r="A140" s="3">
        <v>139</v>
      </c>
      <c r="B140" s="3" t="s">
        <v>26</v>
      </c>
      <c r="C140" s="9" t="s">
        <v>15</v>
      </c>
      <c r="D140" s="3">
        <v>13.49</v>
      </c>
      <c r="E140" s="3">
        <v>3.59</v>
      </c>
      <c r="F140" s="3">
        <v>2.19</v>
      </c>
      <c r="G140" s="3">
        <v>19.5</v>
      </c>
      <c r="H140" s="3">
        <v>88</v>
      </c>
      <c r="I140" s="3">
        <v>1.62</v>
      </c>
      <c r="J140" s="3">
        <v>0.48</v>
      </c>
      <c r="K140" s="3">
        <v>0.57999999999999996</v>
      </c>
      <c r="L140" s="3">
        <v>0.88</v>
      </c>
      <c r="M140" s="3">
        <v>5.7</v>
      </c>
      <c r="N140" s="3">
        <v>0.81</v>
      </c>
      <c r="O140" s="3">
        <v>1.82</v>
      </c>
      <c r="P140" s="3">
        <v>580</v>
      </c>
    </row>
    <row r="141" spans="1:16" ht="15" customHeight="1" x14ac:dyDescent="0.3">
      <c r="A141" s="3">
        <v>140</v>
      </c>
      <c r="B141" s="3" t="s">
        <v>26</v>
      </c>
      <c r="C141" s="9" t="s">
        <v>15</v>
      </c>
      <c r="D141" s="3">
        <v>12.84</v>
      </c>
      <c r="E141" s="3">
        <v>2.96</v>
      </c>
      <c r="F141" s="3">
        <v>2.61</v>
      </c>
      <c r="G141" s="3">
        <v>24</v>
      </c>
      <c r="H141" s="3">
        <v>101</v>
      </c>
      <c r="I141" s="3">
        <v>2.3199999999999998</v>
      </c>
      <c r="J141" s="3">
        <v>0.6</v>
      </c>
      <c r="K141" s="3">
        <v>0.53</v>
      </c>
      <c r="L141" s="3">
        <v>0.81</v>
      </c>
      <c r="M141" s="3">
        <v>4.92</v>
      </c>
      <c r="N141" s="3">
        <v>0.89</v>
      </c>
      <c r="O141" s="3">
        <v>2.15</v>
      </c>
      <c r="P141" s="3">
        <v>590</v>
      </c>
    </row>
    <row r="142" spans="1:16" ht="15" customHeight="1" x14ac:dyDescent="0.3">
      <c r="A142" s="3">
        <v>141</v>
      </c>
      <c r="B142" s="3" t="s">
        <v>26</v>
      </c>
      <c r="C142" s="9" t="s">
        <v>15</v>
      </c>
      <c r="D142" s="3">
        <v>12.93</v>
      </c>
      <c r="E142" s="3">
        <v>2.81</v>
      </c>
      <c r="F142" s="3">
        <v>2.7</v>
      </c>
      <c r="G142" s="3">
        <v>21</v>
      </c>
      <c r="H142" s="3">
        <v>96</v>
      </c>
      <c r="I142" s="3">
        <v>1.54</v>
      </c>
      <c r="J142" s="3">
        <v>0.5</v>
      </c>
      <c r="K142" s="3">
        <v>0.53</v>
      </c>
      <c r="L142" s="3">
        <v>0.75</v>
      </c>
      <c r="M142" s="3">
        <v>4.5999999999999996</v>
      </c>
      <c r="N142" s="3">
        <v>0.77</v>
      </c>
      <c r="O142" s="3">
        <v>2.31</v>
      </c>
      <c r="P142" s="3">
        <v>600</v>
      </c>
    </row>
    <row r="143" spans="1:16" ht="15" customHeight="1" x14ac:dyDescent="0.3">
      <c r="A143" s="3">
        <v>142</v>
      </c>
      <c r="B143" s="3" t="s">
        <v>26</v>
      </c>
      <c r="C143" s="9" t="s">
        <v>15</v>
      </c>
      <c r="D143" s="3">
        <v>13.36</v>
      </c>
      <c r="E143" s="3">
        <v>2.56</v>
      </c>
      <c r="F143" s="3">
        <v>2.35</v>
      </c>
      <c r="G143" s="3">
        <v>20</v>
      </c>
      <c r="H143" s="3">
        <v>89</v>
      </c>
      <c r="I143" s="3">
        <v>1.4</v>
      </c>
      <c r="J143" s="3">
        <v>0.5</v>
      </c>
      <c r="K143" s="3">
        <v>0.37</v>
      </c>
      <c r="L143" s="3">
        <v>0.64</v>
      </c>
      <c r="M143" s="3">
        <v>5.6</v>
      </c>
      <c r="N143" s="3">
        <v>0.7</v>
      </c>
      <c r="O143" s="3">
        <v>2.4700000000000002</v>
      </c>
      <c r="P143" s="3">
        <v>780</v>
      </c>
    </row>
    <row r="144" spans="1:16" ht="15" customHeight="1" x14ac:dyDescent="0.3">
      <c r="A144" s="3">
        <v>143</v>
      </c>
      <c r="B144" s="3" t="s">
        <v>26</v>
      </c>
      <c r="C144" s="9" t="s">
        <v>15</v>
      </c>
      <c r="D144" s="3">
        <v>13.52</v>
      </c>
      <c r="E144" s="3">
        <v>3.17</v>
      </c>
      <c r="F144" s="3">
        <v>2.72</v>
      </c>
      <c r="G144" s="3">
        <v>23.5</v>
      </c>
      <c r="H144" s="3">
        <v>97</v>
      </c>
      <c r="I144" s="3">
        <v>1.55</v>
      </c>
      <c r="J144" s="3">
        <v>0.52</v>
      </c>
      <c r="K144" s="3">
        <v>0.5</v>
      </c>
      <c r="L144" s="3">
        <v>0.55000000000000004</v>
      </c>
      <c r="M144" s="3">
        <v>4.3499999999999996</v>
      </c>
      <c r="N144" s="3">
        <v>0.89</v>
      </c>
      <c r="O144" s="3">
        <v>2.06</v>
      </c>
      <c r="P144" s="3">
        <v>520</v>
      </c>
    </row>
    <row r="145" spans="1:16" ht="15" customHeight="1" x14ac:dyDescent="0.3">
      <c r="A145" s="3">
        <v>144</v>
      </c>
      <c r="B145" s="3" t="s">
        <v>26</v>
      </c>
      <c r="C145" s="9" t="s">
        <v>15</v>
      </c>
      <c r="D145" s="3">
        <v>13.62</v>
      </c>
      <c r="E145" s="3">
        <v>4.95</v>
      </c>
      <c r="F145" s="3">
        <v>2.35</v>
      </c>
      <c r="G145" s="3">
        <v>20</v>
      </c>
      <c r="H145" s="3">
        <v>92</v>
      </c>
      <c r="I145" s="3">
        <v>2</v>
      </c>
      <c r="J145" s="3">
        <v>0.8</v>
      </c>
      <c r="K145" s="3">
        <v>0.47</v>
      </c>
      <c r="L145" s="3">
        <v>1.02</v>
      </c>
      <c r="M145" s="3">
        <v>4.4000000000000004</v>
      </c>
      <c r="N145" s="3">
        <v>0.91</v>
      </c>
      <c r="O145" s="3">
        <v>2.0499999999999998</v>
      </c>
      <c r="P145" s="3">
        <v>550</v>
      </c>
    </row>
    <row r="146" spans="1:16" ht="15" customHeight="1" x14ac:dyDescent="0.3">
      <c r="A146" s="3">
        <v>145</v>
      </c>
      <c r="B146" s="3" t="s">
        <v>26</v>
      </c>
      <c r="C146" s="9" t="s">
        <v>15</v>
      </c>
      <c r="D146" s="3">
        <v>12.25</v>
      </c>
      <c r="E146" s="3">
        <v>3.88</v>
      </c>
      <c r="F146" s="3">
        <v>2.2000000000000002</v>
      </c>
      <c r="G146" s="3">
        <v>18.5</v>
      </c>
      <c r="H146" s="3">
        <v>112</v>
      </c>
      <c r="I146" s="3">
        <v>1.38</v>
      </c>
      <c r="J146" s="3">
        <v>0.78</v>
      </c>
      <c r="K146" s="3">
        <v>0.28999999999999998</v>
      </c>
      <c r="L146" s="3">
        <v>1.1399999999999999</v>
      </c>
      <c r="M146" s="3">
        <v>8.2100000000000009</v>
      </c>
      <c r="N146" s="3">
        <v>0.65</v>
      </c>
      <c r="O146" s="3">
        <v>2</v>
      </c>
      <c r="P146" s="3">
        <v>855</v>
      </c>
    </row>
    <row r="147" spans="1:16" ht="15" customHeight="1" x14ac:dyDescent="0.3">
      <c r="A147" s="3">
        <v>146</v>
      </c>
      <c r="B147" s="3" t="s">
        <v>26</v>
      </c>
      <c r="C147" s="9" t="s">
        <v>15</v>
      </c>
      <c r="D147" s="3">
        <v>13.16</v>
      </c>
      <c r="E147" s="3">
        <v>3.57</v>
      </c>
      <c r="F147" s="3">
        <v>2.15</v>
      </c>
      <c r="G147" s="3">
        <v>21</v>
      </c>
      <c r="H147" s="3">
        <v>102</v>
      </c>
      <c r="I147" s="3">
        <v>1.5</v>
      </c>
      <c r="J147" s="3">
        <v>0.55000000000000004</v>
      </c>
      <c r="K147" s="3">
        <v>0.43</v>
      </c>
      <c r="L147" s="3">
        <v>1.3</v>
      </c>
      <c r="M147" s="3">
        <v>4</v>
      </c>
      <c r="N147" s="3">
        <v>0.6</v>
      </c>
      <c r="O147" s="3">
        <v>1.68</v>
      </c>
      <c r="P147" s="3">
        <v>830</v>
      </c>
    </row>
    <row r="148" spans="1:16" ht="15" customHeight="1" x14ac:dyDescent="0.3">
      <c r="A148" s="3">
        <v>147</v>
      </c>
      <c r="B148" s="3" t="s">
        <v>26</v>
      </c>
      <c r="C148" s="9" t="s">
        <v>15</v>
      </c>
      <c r="D148" s="3">
        <v>13.88</v>
      </c>
      <c r="E148" s="3">
        <v>5.04</v>
      </c>
      <c r="F148" s="3">
        <v>2.23</v>
      </c>
      <c r="G148" s="3">
        <v>20</v>
      </c>
      <c r="H148" s="3">
        <v>80</v>
      </c>
      <c r="I148" s="3">
        <v>0.98</v>
      </c>
      <c r="J148" s="3">
        <v>0.34</v>
      </c>
      <c r="K148" s="3">
        <v>0.4</v>
      </c>
      <c r="L148" s="3">
        <v>0.68</v>
      </c>
      <c r="M148" s="3">
        <v>4.9000000000000004</v>
      </c>
      <c r="N148" s="3">
        <v>0.57999999999999996</v>
      </c>
      <c r="O148" s="3">
        <v>1.33</v>
      </c>
      <c r="P148" s="3">
        <v>415</v>
      </c>
    </row>
    <row r="149" spans="1:16" ht="15" customHeight="1" x14ac:dyDescent="0.3">
      <c r="A149" s="3">
        <v>148</v>
      </c>
      <c r="B149" s="3" t="s">
        <v>26</v>
      </c>
      <c r="C149" s="9" t="s">
        <v>15</v>
      </c>
      <c r="D149" s="3">
        <v>12.87</v>
      </c>
      <c r="E149" s="3">
        <v>4.6100000000000003</v>
      </c>
      <c r="F149" s="3">
        <v>2.48</v>
      </c>
      <c r="G149" s="3">
        <v>21.5</v>
      </c>
      <c r="H149" s="3">
        <v>86</v>
      </c>
      <c r="I149" s="3">
        <v>1.7</v>
      </c>
      <c r="J149" s="3">
        <v>0.65</v>
      </c>
      <c r="K149" s="3">
        <v>0.47</v>
      </c>
      <c r="L149" s="3">
        <v>0.86</v>
      </c>
      <c r="M149" s="3">
        <v>7.65</v>
      </c>
      <c r="N149" s="3">
        <v>0.54</v>
      </c>
      <c r="O149" s="3">
        <v>1.86</v>
      </c>
      <c r="P149" s="3">
        <v>625</v>
      </c>
    </row>
    <row r="150" spans="1:16" ht="15" customHeight="1" x14ac:dyDescent="0.3">
      <c r="A150" s="3">
        <v>149</v>
      </c>
      <c r="B150" s="3" t="s">
        <v>26</v>
      </c>
      <c r="C150" s="9" t="s">
        <v>15</v>
      </c>
      <c r="D150" s="3">
        <v>13.32</v>
      </c>
      <c r="E150" s="3">
        <v>3.24</v>
      </c>
      <c r="F150" s="3">
        <v>2.38</v>
      </c>
      <c r="G150" s="3">
        <v>21.5</v>
      </c>
      <c r="H150" s="3">
        <v>92</v>
      </c>
      <c r="I150" s="3">
        <v>1.93</v>
      </c>
      <c r="J150" s="3">
        <v>0.76</v>
      </c>
      <c r="K150" s="3">
        <v>0.45</v>
      </c>
      <c r="L150" s="3">
        <v>1.25</v>
      </c>
      <c r="M150" s="3">
        <v>8.42</v>
      </c>
      <c r="N150" s="3">
        <v>0.55000000000000004</v>
      </c>
      <c r="O150" s="3">
        <v>1.62</v>
      </c>
      <c r="P150" s="3">
        <v>650</v>
      </c>
    </row>
    <row r="151" spans="1:16" ht="15" customHeight="1" x14ac:dyDescent="0.3">
      <c r="A151" s="3">
        <v>150</v>
      </c>
      <c r="B151" s="3" t="s">
        <v>26</v>
      </c>
      <c r="C151" s="9" t="s">
        <v>15</v>
      </c>
      <c r="D151" s="3">
        <v>13.08</v>
      </c>
      <c r="E151" s="3">
        <v>3.9</v>
      </c>
      <c r="F151" s="3">
        <v>2.36</v>
      </c>
      <c r="G151" s="3">
        <v>21.5</v>
      </c>
      <c r="H151" s="3">
        <v>113</v>
      </c>
      <c r="I151" s="3">
        <v>1.41</v>
      </c>
      <c r="J151" s="3">
        <v>1.39</v>
      </c>
      <c r="K151" s="3">
        <v>0.34</v>
      </c>
      <c r="L151" s="3">
        <v>1.1399999999999999</v>
      </c>
      <c r="M151" s="3">
        <v>9.4</v>
      </c>
      <c r="N151" s="3">
        <v>0.56999999999999995</v>
      </c>
      <c r="O151" s="3">
        <v>1.33</v>
      </c>
      <c r="P151" s="3">
        <v>550</v>
      </c>
    </row>
    <row r="152" spans="1:16" ht="15" customHeight="1" x14ac:dyDescent="0.3">
      <c r="A152" s="3">
        <v>151</v>
      </c>
      <c r="B152" s="3" t="s">
        <v>26</v>
      </c>
      <c r="C152" s="9" t="s">
        <v>15</v>
      </c>
      <c r="D152" s="3">
        <v>13.5</v>
      </c>
      <c r="E152" s="3">
        <v>3.12</v>
      </c>
      <c r="F152" s="3">
        <v>2.62</v>
      </c>
      <c r="G152" s="3">
        <v>24</v>
      </c>
      <c r="H152" s="3">
        <v>123</v>
      </c>
      <c r="I152" s="3">
        <v>1.4</v>
      </c>
      <c r="J152" s="3">
        <v>1.57</v>
      </c>
      <c r="K152" s="3">
        <v>0.22</v>
      </c>
      <c r="L152" s="3">
        <v>1.25</v>
      </c>
      <c r="M152" s="3">
        <v>8.6</v>
      </c>
      <c r="N152" s="3">
        <v>0.59</v>
      </c>
      <c r="O152" s="3">
        <v>1.3</v>
      </c>
      <c r="P152" s="3">
        <v>500</v>
      </c>
    </row>
    <row r="153" spans="1:16" ht="15" customHeight="1" x14ac:dyDescent="0.3">
      <c r="A153" s="3">
        <v>152</v>
      </c>
      <c r="B153" s="3" t="s">
        <v>26</v>
      </c>
      <c r="C153" s="9" t="s">
        <v>15</v>
      </c>
      <c r="D153" s="3">
        <v>12.79</v>
      </c>
      <c r="E153" s="3">
        <v>2.67</v>
      </c>
      <c r="F153" s="3">
        <v>2.48</v>
      </c>
      <c r="G153" s="3">
        <v>22</v>
      </c>
      <c r="H153" s="3">
        <v>112</v>
      </c>
      <c r="I153" s="3">
        <v>1.48</v>
      </c>
      <c r="J153" s="3">
        <v>1.36</v>
      </c>
      <c r="K153" s="3">
        <v>0.24</v>
      </c>
      <c r="L153" s="3">
        <v>1.26</v>
      </c>
      <c r="M153" s="3">
        <v>10.8</v>
      </c>
      <c r="N153" s="3">
        <v>0.48</v>
      </c>
      <c r="O153" s="3">
        <v>1.47</v>
      </c>
      <c r="P153" s="3">
        <v>480</v>
      </c>
    </row>
    <row r="154" spans="1:16" ht="15" customHeight="1" x14ac:dyDescent="0.3">
      <c r="A154" s="3">
        <v>153</v>
      </c>
      <c r="B154" s="3" t="s">
        <v>26</v>
      </c>
      <c r="C154" s="9" t="s">
        <v>15</v>
      </c>
      <c r="D154" s="3">
        <v>13.11</v>
      </c>
      <c r="E154" s="3">
        <v>1.9</v>
      </c>
      <c r="F154" s="3">
        <v>2.75</v>
      </c>
      <c r="G154" s="3">
        <v>25.5</v>
      </c>
      <c r="H154" s="3">
        <v>116</v>
      </c>
      <c r="I154" s="3">
        <v>2.2000000000000002</v>
      </c>
      <c r="J154" s="3">
        <v>1.28</v>
      </c>
      <c r="K154" s="3">
        <v>0.26</v>
      </c>
      <c r="L154" s="3">
        <v>1.56</v>
      </c>
      <c r="M154" s="3">
        <v>7.1</v>
      </c>
      <c r="N154" s="3">
        <v>0.61</v>
      </c>
      <c r="O154" s="3">
        <v>1.33</v>
      </c>
      <c r="P154" s="3">
        <v>425</v>
      </c>
    </row>
    <row r="155" spans="1:16" ht="15" customHeight="1" x14ac:dyDescent="0.3">
      <c r="A155" s="3">
        <v>154</v>
      </c>
      <c r="B155" s="3" t="s">
        <v>26</v>
      </c>
      <c r="C155" s="9" t="s">
        <v>15</v>
      </c>
      <c r="D155" s="3">
        <v>13.23</v>
      </c>
      <c r="E155" s="3">
        <v>3.3</v>
      </c>
      <c r="F155" s="3">
        <v>2.2799999999999998</v>
      </c>
      <c r="G155" s="3">
        <v>18.5</v>
      </c>
      <c r="H155" s="3">
        <v>98</v>
      </c>
      <c r="I155" s="3">
        <v>1.8</v>
      </c>
      <c r="J155" s="3">
        <v>0.83</v>
      </c>
      <c r="K155" s="3">
        <v>0.61</v>
      </c>
      <c r="L155" s="3">
        <v>1.87</v>
      </c>
      <c r="M155" s="3">
        <v>10.52</v>
      </c>
      <c r="N155" s="3">
        <v>0.56000000000000005</v>
      </c>
      <c r="O155" s="3">
        <v>1.51</v>
      </c>
      <c r="P155" s="3">
        <v>675</v>
      </c>
    </row>
    <row r="156" spans="1:16" ht="15" customHeight="1" x14ac:dyDescent="0.3">
      <c r="A156" s="3">
        <v>155</v>
      </c>
      <c r="B156" s="3" t="s">
        <v>26</v>
      </c>
      <c r="C156" s="9" t="s">
        <v>15</v>
      </c>
      <c r="D156" s="3">
        <v>12.58</v>
      </c>
      <c r="E156" s="3">
        <v>1.29</v>
      </c>
      <c r="F156" s="3">
        <v>2.1</v>
      </c>
      <c r="G156" s="3">
        <v>20</v>
      </c>
      <c r="H156" s="3">
        <v>103</v>
      </c>
      <c r="I156" s="3">
        <v>1.48</v>
      </c>
      <c r="J156" s="3">
        <v>0.57999999999999996</v>
      </c>
      <c r="K156" s="3">
        <v>0.53</v>
      </c>
      <c r="L156" s="3">
        <v>1.4</v>
      </c>
      <c r="M156" s="3">
        <v>7.6</v>
      </c>
      <c r="N156" s="3">
        <v>0.57999999999999996</v>
      </c>
      <c r="O156" s="3">
        <v>1.55</v>
      </c>
      <c r="P156" s="3">
        <v>640</v>
      </c>
    </row>
    <row r="157" spans="1:16" ht="15" customHeight="1" x14ac:dyDescent="0.3">
      <c r="A157" s="3">
        <v>156</v>
      </c>
      <c r="B157" s="3" t="s">
        <v>26</v>
      </c>
      <c r="C157" s="9" t="s">
        <v>15</v>
      </c>
      <c r="D157" s="3">
        <v>13.17</v>
      </c>
      <c r="E157" s="3">
        <v>5.19</v>
      </c>
      <c r="F157" s="3">
        <v>2.3199999999999998</v>
      </c>
      <c r="G157" s="3">
        <v>22</v>
      </c>
      <c r="H157" s="3">
        <v>93</v>
      </c>
      <c r="I157" s="3">
        <v>1.74</v>
      </c>
      <c r="J157" s="3">
        <v>0.63</v>
      </c>
      <c r="K157" s="3">
        <v>0.61</v>
      </c>
      <c r="L157" s="3">
        <v>1.55</v>
      </c>
      <c r="M157" s="3">
        <v>7.9</v>
      </c>
      <c r="N157" s="3">
        <v>0.6</v>
      </c>
      <c r="O157" s="3">
        <v>1.48</v>
      </c>
      <c r="P157" s="3">
        <v>725</v>
      </c>
    </row>
    <row r="158" spans="1:16" ht="15" customHeight="1" x14ac:dyDescent="0.3">
      <c r="A158" s="3">
        <v>157</v>
      </c>
      <c r="B158" s="3" t="s">
        <v>26</v>
      </c>
      <c r="C158" s="9" t="s">
        <v>15</v>
      </c>
      <c r="D158" s="3">
        <v>13.84</v>
      </c>
      <c r="E158" s="3">
        <v>4.12</v>
      </c>
      <c r="F158" s="3">
        <v>2.38</v>
      </c>
      <c r="G158" s="3">
        <v>19.5</v>
      </c>
      <c r="H158" s="3">
        <v>89</v>
      </c>
      <c r="I158" s="3">
        <v>1.8</v>
      </c>
      <c r="J158" s="3">
        <v>0.83</v>
      </c>
      <c r="K158" s="3">
        <v>0.48</v>
      </c>
      <c r="L158" s="3">
        <v>1.56</v>
      </c>
      <c r="M158" s="3">
        <v>9.01</v>
      </c>
      <c r="N158" s="3">
        <v>0.56999999999999995</v>
      </c>
      <c r="O158" s="3">
        <v>1.64</v>
      </c>
      <c r="P158" s="3">
        <v>480</v>
      </c>
    </row>
    <row r="159" spans="1:16" ht="15" customHeight="1" x14ac:dyDescent="0.3">
      <c r="A159" s="3">
        <v>158</v>
      </c>
      <c r="B159" s="3" t="s">
        <v>26</v>
      </c>
      <c r="C159" s="9" t="s">
        <v>15</v>
      </c>
      <c r="D159" s="3">
        <v>12.45</v>
      </c>
      <c r="E159" s="3">
        <v>3.03</v>
      </c>
      <c r="F159" s="3">
        <v>2.64</v>
      </c>
      <c r="G159" s="3">
        <v>27</v>
      </c>
      <c r="H159" s="3">
        <v>97</v>
      </c>
      <c r="I159" s="3">
        <v>1.9</v>
      </c>
      <c r="J159" s="3">
        <v>0.57999999999999996</v>
      </c>
      <c r="K159" s="3">
        <v>0.63</v>
      </c>
      <c r="L159" s="3">
        <v>1.1399999999999999</v>
      </c>
      <c r="M159" s="3">
        <v>7.5</v>
      </c>
      <c r="N159" s="3">
        <v>0.67</v>
      </c>
      <c r="O159" s="3">
        <v>1.73</v>
      </c>
      <c r="P159" s="3">
        <v>880</v>
      </c>
    </row>
    <row r="160" spans="1:16" ht="15" customHeight="1" x14ac:dyDescent="0.3">
      <c r="A160" s="3">
        <v>159</v>
      </c>
      <c r="B160" s="3" t="s">
        <v>26</v>
      </c>
      <c r="C160" s="9" t="s">
        <v>15</v>
      </c>
      <c r="D160" s="3">
        <v>14.34</v>
      </c>
      <c r="E160" s="3">
        <v>1.68</v>
      </c>
      <c r="F160" s="3">
        <v>2.7</v>
      </c>
      <c r="G160" s="3">
        <v>25</v>
      </c>
      <c r="H160" s="3">
        <v>98</v>
      </c>
      <c r="I160" s="3">
        <v>2.8</v>
      </c>
      <c r="J160" s="3">
        <v>1.31</v>
      </c>
      <c r="K160" s="3">
        <v>0.53</v>
      </c>
      <c r="L160" s="3">
        <v>2.7</v>
      </c>
      <c r="M160" s="3">
        <v>13</v>
      </c>
      <c r="N160" s="3">
        <v>0.56999999999999995</v>
      </c>
      <c r="O160" s="3">
        <v>1.96</v>
      </c>
      <c r="P160" s="3">
        <v>660</v>
      </c>
    </row>
    <row r="161" spans="1:16" ht="15" customHeight="1" x14ac:dyDescent="0.3">
      <c r="A161" s="3">
        <v>160</v>
      </c>
      <c r="B161" s="3" t="s">
        <v>26</v>
      </c>
      <c r="C161" s="9" t="s">
        <v>15</v>
      </c>
      <c r="D161" s="3">
        <v>13.48</v>
      </c>
      <c r="E161" s="3">
        <v>1.67</v>
      </c>
      <c r="F161" s="3">
        <v>2.64</v>
      </c>
      <c r="G161" s="3">
        <v>22.5</v>
      </c>
      <c r="H161" s="3">
        <v>89</v>
      </c>
      <c r="I161" s="3">
        <v>2.6</v>
      </c>
      <c r="J161" s="3">
        <v>1.1000000000000001</v>
      </c>
      <c r="K161" s="3">
        <v>0.52</v>
      </c>
      <c r="L161" s="3">
        <v>2.29</v>
      </c>
      <c r="M161" s="3">
        <v>11.75</v>
      </c>
      <c r="N161" s="3">
        <v>0.56999999999999995</v>
      </c>
      <c r="O161" s="3">
        <v>1.78</v>
      </c>
      <c r="P161" s="3">
        <v>620</v>
      </c>
    </row>
    <row r="162" spans="1:16" ht="15" customHeight="1" x14ac:dyDescent="0.3">
      <c r="A162" s="3">
        <v>161</v>
      </c>
      <c r="B162" s="3" t="s">
        <v>26</v>
      </c>
      <c r="C162" s="9" t="s">
        <v>15</v>
      </c>
      <c r="D162" s="3">
        <v>12.36</v>
      </c>
      <c r="E162" s="3">
        <v>3.83</v>
      </c>
      <c r="F162" s="3">
        <v>2.38</v>
      </c>
      <c r="G162" s="3">
        <v>21</v>
      </c>
      <c r="H162" s="3">
        <v>88</v>
      </c>
      <c r="I162" s="3">
        <v>2.2999999999999998</v>
      </c>
      <c r="J162" s="3">
        <v>0.92</v>
      </c>
      <c r="K162" s="3">
        <v>0.5</v>
      </c>
      <c r="L162" s="3">
        <v>1.04</v>
      </c>
      <c r="M162" s="3">
        <v>7.65</v>
      </c>
      <c r="N162" s="3">
        <v>0.56000000000000005</v>
      </c>
      <c r="O162" s="3">
        <v>1.58</v>
      </c>
      <c r="P162" s="3">
        <v>520</v>
      </c>
    </row>
    <row r="163" spans="1:16" ht="15" customHeight="1" x14ac:dyDescent="0.3">
      <c r="A163" s="3">
        <v>162</v>
      </c>
      <c r="B163" s="3" t="s">
        <v>26</v>
      </c>
      <c r="C163" s="9" t="s">
        <v>15</v>
      </c>
      <c r="D163" s="3">
        <v>13.69</v>
      </c>
      <c r="E163" s="3">
        <v>3.26</v>
      </c>
      <c r="F163" s="3">
        <v>2.54</v>
      </c>
      <c r="G163" s="3">
        <v>20</v>
      </c>
      <c r="H163" s="3">
        <v>107</v>
      </c>
      <c r="I163" s="3">
        <v>1.83</v>
      </c>
      <c r="J163" s="3">
        <v>0.56000000000000005</v>
      </c>
      <c r="K163" s="3">
        <v>0.5</v>
      </c>
      <c r="L163" s="3">
        <v>0.8</v>
      </c>
      <c r="M163" s="3">
        <v>5.88</v>
      </c>
      <c r="N163" s="3">
        <v>0.96</v>
      </c>
      <c r="O163" s="3">
        <v>1.82</v>
      </c>
      <c r="P163" s="3">
        <v>680</v>
      </c>
    </row>
    <row r="164" spans="1:16" ht="15" customHeight="1" x14ac:dyDescent="0.3">
      <c r="A164" s="3">
        <v>163</v>
      </c>
      <c r="B164" s="3" t="s">
        <v>26</v>
      </c>
      <c r="C164" s="9" t="s">
        <v>15</v>
      </c>
      <c r="D164" s="3">
        <v>12.85</v>
      </c>
      <c r="E164" s="3">
        <v>3.27</v>
      </c>
      <c r="F164" s="3">
        <v>2.58</v>
      </c>
      <c r="G164" s="3">
        <v>22</v>
      </c>
      <c r="H164" s="3">
        <v>106</v>
      </c>
      <c r="I164" s="3">
        <v>1.65</v>
      </c>
      <c r="J164" s="3">
        <v>0.6</v>
      </c>
      <c r="K164" s="3">
        <v>0.6</v>
      </c>
      <c r="L164" s="3">
        <v>0.96</v>
      </c>
      <c r="M164" s="3">
        <v>5.58</v>
      </c>
      <c r="N164" s="3">
        <v>0.87</v>
      </c>
      <c r="O164" s="3">
        <v>2.11</v>
      </c>
      <c r="P164" s="3">
        <v>570</v>
      </c>
    </row>
    <row r="165" spans="1:16" ht="15" customHeight="1" x14ac:dyDescent="0.3">
      <c r="A165" s="3">
        <v>164</v>
      </c>
      <c r="B165" s="3" t="s">
        <v>26</v>
      </c>
      <c r="C165" s="9" t="s">
        <v>15</v>
      </c>
      <c r="D165" s="3">
        <v>12.96</v>
      </c>
      <c r="E165" s="3">
        <v>3.45</v>
      </c>
      <c r="F165" s="3">
        <v>2.35</v>
      </c>
      <c r="G165" s="3">
        <v>18.5</v>
      </c>
      <c r="H165" s="3">
        <v>106</v>
      </c>
      <c r="I165" s="3">
        <v>1.39</v>
      </c>
      <c r="J165" s="3">
        <v>0.7</v>
      </c>
      <c r="K165" s="3">
        <v>0.4</v>
      </c>
      <c r="L165" s="3">
        <v>0.94</v>
      </c>
      <c r="M165" s="3">
        <v>5.28</v>
      </c>
      <c r="N165" s="3">
        <v>0.68</v>
      </c>
      <c r="O165" s="3">
        <v>1.75</v>
      </c>
      <c r="P165" s="3">
        <v>675</v>
      </c>
    </row>
    <row r="166" spans="1:16" ht="15" customHeight="1" x14ac:dyDescent="0.3">
      <c r="A166" s="3">
        <v>165</v>
      </c>
      <c r="B166" s="3" t="s">
        <v>26</v>
      </c>
      <c r="C166" s="9" t="s">
        <v>15</v>
      </c>
      <c r="D166" s="3">
        <v>13.78</v>
      </c>
      <c r="E166" s="3">
        <v>2.76</v>
      </c>
      <c r="F166" s="3">
        <v>2.2999999999999998</v>
      </c>
      <c r="G166" s="3">
        <v>22</v>
      </c>
      <c r="H166" s="3">
        <v>90</v>
      </c>
      <c r="I166" s="3">
        <v>1.35</v>
      </c>
      <c r="J166" s="3">
        <v>0.68</v>
      </c>
      <c r="K166" s="3">
        <v>0.41</v>
      </c>
      <c r="L166" s="3">
        <v>1.03</v>
      </c>
      <c r="M166" s="3">
        <v>9.58</v>
      </c>
      <c r="N166" s="3">
        <v>0.7</v>
      </c>
      <c r="O166" s="3">
        <v>1.68</v>
      </c>
      <c r="P166" s="3">
        <v>615</v>
      </c>
    </row>
    <row r="167" spans="1:16" ht="15" customHeight="1" x14ac:dyDescent="0.3">
      <c r="A167" s="3">
        <v>166</v>
      </c>
      <c r="B167" s="3" t="s">
        <v>26</v>
      </c>
      <c r="C167" s="9" t="s">
        <v>15</v>
      </c>
      <c r="D167" s="3">
        <v>13.73</v>
      </c>
      <c r="E167" s="3">
        <v>4.3600000000000003</v>
      </c>
      <c r="F167" s="3">
        <v>2.2599999999999998</v>
      </c>
      <c r="G167" s="3">
        <v>22.5</v>
      </c>
      <c r="H167" s="3">
        <v>88</v>
      </c>
      <c r="I167" s="3">
        <v>1.28</v>
      </c>
      <c r="J167" s="3">
        <v>0.47</v>
      </c>
      <c r="K167" s="3">
        <v>0.52</v>
      </c>
      <c r="L167" s="3">
        <v>1.1499999999999999</v>
      </c>
      <c r="M167" s="3">
        <v>6.62</v>
      </c>
      <c r="N167" s="3">
        <v>0.78</v>
      </c>
      <c r="O167" s="3">
        <v>1.75</v>
      </c>
      <c r="P167" s="3">
        <v>520</v>
      </c>
    </row>
    <row r="168" spans="1:16" ht="15" customHeight="1" x14ac:dyDescent="0.3">
      <c r="A168" s="3">
        <v>167</v>
      </c>
      <c r="B168" s="3" t="s">
        <v>26</v>
      </c>
      <c r="C168" s="9" t="s">
        <v>15</v>
      </c>
      <c r="D168" s="3">
        <v>13.45</v>
      </c>
      <c r="E168" s="3">
        <v>3.7</v>
      </c>
      <c r="F168" s="3">
        <v>2.6</v>
      </c>
      <c r="G168" s="3">
        <v>23</v>
      </c>
      <c r="H168" s="3">
        <v>111</v>
      </c>
      <c r="I168" s="3">
        <v>1.7</v>
      </c>
      <c r="J168" s="3">
        <v>0.92</v>
      </c>
      <c r="K168" s="3">
        <v>0.43</v>
      </c>
      <c r="L168" s="3">
        <v>1.46</v>
      </c>
      <c r="M168" s="3">
        <v>10.68</v>
      </c>
      <c r="N168" s="3">
        <v>0.85</v>
      </c>
      <c r="O168" s="3">
        <v>1.56</v>
      </c>
      <c r="P168" s="3">
        <v>695</v>
      </c>
    </row>
    <row r="169" spans="1:16" ht="15" customHeight="1" x14ac:dyDescent="0.3">
      <c r="A169" s="3">
        <v>168</v>
      </c>
      <c r="B169" s="3" t="s">
        <v>26</v>
      </c>
      <c r="C169" s="9" t="s">
        <v>15</v>
      </c>
      <c r="D169" s="3">
        <v>12.82</v>
      </c>
      <c r="E169" s="3">
        <v>3.37</v>
      </c>
      <c r="F169" s="3">
        <v>2.2999999999999998</v>
      </c>
      <c r="G169" s="3">
        <v>19.5</v>
      </c>
      <c r="H169" s="3">
        <v>88</v>
      </c>
      <c r="I169" s="3">
        <v>1.48</v>
      </c>
      <c r="J169" s="3">
        <v>0.66</v>
      </c>
      <c r="K169" s="3">
        <v>0.4</v>
      </c>
      <c r="L169" s="3">
        <v>0.97</v>
      </c>
      <c r="M169" s="3">
        <v>10.26</v>
      </c>
      <c r="N169" s="3">
        <v>0.72</v>
      </c>
      <c r="O169" s="3">
        <v>1.75</v>
      </c>
      <c r="P169" s="3">
        <v>685</v>
      </c>
    </row>
    <row r="170" spans="1:16" ht="15" customHeight="1" x14ac:dyDescent="0.3">
      <c r="A170" s="3">
        <v>169</v>
      </c>
      <c r="B170" s="3" t="s">
        <v>26</v>
      </c>
      <c r="C170" s="9" t="s">
        <v>15</v>
      </c>
      <c r="D170" s="3">
        <v>13.58</v>
      </c>
      <c r="E170" s="3">
        <v>2.58</v>
      </c>
      <c r="F170" s="3">
        <v>2.69</v>
      </c>
      <c r="G170" s="3">
        <v>24.5</v>
      </c>
      <c r="H170" s="3">
        <v>105</v>
      </c>
      <c r="I170" s="3">
        <v>1.55</v>
      </c>
      <c r="J170" s="3">
        <v>0.84</v>
      </c>
      <c r="K170" s="3">
        <v>0.39</v>
      </c>
      <c r="L170" s="3">
        <v>1.54</v>
      </c>
      <c r="M170" s="3">
        <v>8.66</v>
      </c>
      <c r="N170" s="3">
        <v>0.74</v>
      </c>
      <c r="O170" s="3">
        <v>1.8</v>
      </c>
      <c r="P170" s="3">
        <v>750</v>
      </c>
    </row>
    <row r="171" spans="1:16" ht="15" customHeight="1" x14ac:dyDescent="0.3">
      <c r="A171" s="3">
        <v>170</v>
      </c>
      <c r="B171" s="3" t="s">
        <v>26</v>
      </c>
      <c r="C171" s="9" t="s">
        <v>15</v>
      </c>
      <c r="D171" s="3">
        <v>13.4</v>
      </c>
      <c r="E171" s="3">
        <v>4.5999999999999996</v>
      </c>
      <c r="F171" s="3">
        <v>2.86</v>
      </c>
      <c r="G171" s="3">
        <v>25</v>
      </c>
      <c r="H171" s="3">
        <v>112</v>
      </c>
      <c r="I171" s="3">
        <v>1.98</v>
      </c>
      <c r="J171" s="3">
        <v>0.96</v>
      </c>
      <c r="K171" s="3">
        <v>0.27</v>
      </c>
      <c r="L171" s="3">
        <v>1.1100000000000001</v>
      </c>
      <c r="M171" s="3">
        <v>8.5</v>
      </c>
      <c r="N171" s="3">
        <v>0.67</v>
      </c>
      <c r="O171" s="3">
        <v>1.92</v>
      </c>
      <c r="P171" s="3">
        <v>630</v>
      </c>
    </row>
    <row r="172" spans="1:16" ht="15" customHeight="1" x14ac:dyDescent="0.3">
      <c r="A172" s="3">
        <v>171</v>
      </c>
      <c r="B172" s="3" t="s">
        <v>26</v>
      </c>
      <c r="C172" s="9" t="s">
        <v>15</v>
      </c>
      <c r="D172" s="3">
        <v>12.2</v>
      </c>
      <c r="E172" s="3">
        <v>3.03</v>
      </c>
      <c r="F172" s="3">
        <v>2.3199999999999998</v>
      </c>
      <c r="G172" s="3">
        <v>19</v>
      </c>
      <c r="H172" s="3">
        <v>96</v>
      </c>
      <c r="I172" s="3">
        <v>1.25</v>
      </c>
      <c r="J172" s="3">
        <v>0.49</v>
      </c>
      <c r="K172" s="3">
        <v>0.4</v>
      </c>
      <c r="L172" s="3">
        <v>0.73</v>
      </c>
      <c r="M172" s="3">
        <v>5.5</v>
      </c>
      <c r="N172" s="3">
        <v>0.66</v>
      </c>
      <c r="O172" s="3">
        <v>1.83</v>
      </c>
      <c r="P172" s="3">
        <v>510</v>
      </c>
    </row>
    <row r="173" spans="1:16" ht="15" customHeight="1" x14ac:dyDescent="0.3">
      <c r="A173" s="3">
        <v>172</v>
      </c>
      <c r="B173" s="3" t="s">
        <v>26</v>
      </c>
      <c r="C173" s="9" t="s">
        <v>15</v>
      </c>
      <c r="D173" s="3">
        <v>12.77</v>
      </c>
      <c r="E173" s="3">
        <v>2.39</v>
      </c>
      <c r="F173" s="3">
        <v>2.2799999999999998</v>
      </c>
      <c r="G173" s="3">
        <v>19.5</v>
      </c>
      <c r="H173" s="3">
        <v>86</v>
      </c>
      <c r="I173" s="3">
        <v>1.39</v>
      </c>
      <c r="J173" s="3">
        <v>0.51</v>
      </c>
      <c r="K173" s="3">
        <v>0.48</v>
      </c>
      <c r="L173" s="3">
        <v>0.64</v>
      </c>
      <c r="M173" s="3">
        <v>9.8999989999999993</v>
      </c>
      <c r="N173" s="3">
        <v>0.56999999999999995</v>
      </c>
      <c r="O173" s="3">
        <v>1.63</v>
      </c>
      <c r="P173" s="3">
        <v>470</v>
      </c>
    </row>
    <row r="174" spans="1:16" ht="15" customHeight="1" x14ac:dyDescent="0.3">
      <c r="A174" s="3">
        <v>173</v>
      </c>
      <c r="B174" s="3" t="s">
        <v>26</v>
      </c>
      <c r="C174" s="9" t="s">
        <v>15</v>
      </c>
      <c r="D174" s="3">
        <v>14.16</v>
      </c>
      <c r="E174" s="3">
        <v>2.5099999999999998</v>
      </c>
      <c r="F174" s="3">
        <v>2.48</v>
      </c>
      <c r="G174" s="3">
        <v>20</v>
      </c>
      <c r="H174" s="3">
        <v>91</v>
      </c>
      <c r="I174" s="3">
        <v>1.68</v>
      </c>
      <c r="J174" s="3">
        <v>0.7</v>
      </c>
      <c r="K174" s="3">
        <v>0.44</v>
      </c>
      <c r="L174" s="3">
        <v>1.24</v>
      </c>
      <c r="M174" s="3">
        <v>9.6999999999999993</v>
      </c>
      <c r="N174" s="3">
        <v>0.62</v>
      </c>
      <c r="O174" s="3">
        <v>1.71</v>
      </c>
      <c r="P174" s="3">
        <v>660</v>
      </c>
    </row>
    <row r="175" spans="1:16" ht="15" customHeight="1" x14ac:dyDescent="0.3">
      <c r="A175" s="3">
        <v>174</v>
      </c>
      <c r="B175" s="3" t="s">
        <v>26</v>
      </c>
      <c r="C175" s="9" t="s">
        <v>15</v>
      </c>
      <c r="D175" s="3">
        <v>13.71</v>
      </c>
      <c r="E175" s="3">
        <v>5.65</v>
      </c>
      <c r="F175" s="3">
        <v>2.4500000000000002</v>
      </c>
      <c r="G175" s="3">
        <v>20.5</v>
      </c>
      <c r="H175" s="3">
        <v>95</v>
      </c>
      <c r="I175" s="3">
        <v>1.68</v>
      </c>
      <c r="J175" s="3">
        <v>0.61</v>
      </c>
      <c r="K175" s="3">
        <v>0.52</v>
      </c>
      <c r="L175" s="3">
        <v>1.06</v>
      </c>
      <c r="M175" s="3">
        <v>7.7</v>
      </c>
      <c r="N175" s="3">
        <v>0.64</v>
      </c>
      <c r="O175" s="3">
        <v>1.74</v>
      </c>
      <c r="P175" s="3">
        <v>740</v>
      </c>
    </row>
    <row r="176" spans="1:16" ht="15" customHeight="1" x14ac:dyDescent="0.3">
      <c r="A176" s="3">
        <v>175</v>
      </c>
      <c r="B176" s="3" t="s">
        <v>26</v>
      </c>
      <c r="C176" s="9" t="s">
        <v>15</v>
      </c>
      <c r="D176" s="3">
        <v>13.4</v>
      </c>
      <c r="E176" s="3">
        <v>3.91</v>
      </c>
      <c r="F176" s="3">
        <v>2.48</v>
      </c>
      <c r="G176" s="3">
        <v>23</v>
      </c>
      <c r="H176" s="3">
        <v>102</v>
      </c>
      <c r="I176" s="3">
        <v>1.8</v>
      </c>
      <c r="J176" s="3">
        <v>0.75</v>
      </c>
      <c r="K176" s="3">
        <v>0.43</v>
      </c>
      <c r="L176" s="3">
        <v>1.41</v>
      </c>
      <c r="M176" s="3">
        <v>7.3</v>
      </c>
      <c r="N176" s="3">
        <v>0.7</v>
      </c>
      <c r="O176" s="3">
        <v>1.56</v>
      </c>
      <c r="P176" s="3">
        <v>750</v>
      </c>
    </row>
    <row r="177" spans="1:16" ht="15" customHeight="1" x14ac:dyDescent="0.3">
      <c r="A177" s="3">
        <v>176</v>
      </c>
      <c r="B177" s="3" t="s">
        <v>26</v>
      </c>
      <c r="C177" s="9" t="s">
        <v>15</v>
      </c>
      <c r="D177" s="3">
        <v>13.27</v>
      </c>
      <c r="E177" s="3">
        <v>4.28</v>
      </c>
      <c r="F177" s="3">
        <v>2.2599999999999998</v>
      </c>
      <c r="G177" s="3">
        <v>20</v>
      </c>
      <c r="H177" s="3">
        <v>120</v>
      </c>
      <c r="I177" s="3">
        <v>1.59</v>
      </c>
      <c r="J177" s="3">
        <v>0.69</v>
      </c>
      <c r="K177" s="3">
        <v>0.43</v>
      </c>
      <c r="L177" s="3">
        <v>1.35</v>
      </c>
      <c r="M177" s="3">
        <v>10.199999999999999</v>
      </c>
      <c r="N177" s="3">
        <v>0.59</v>
      </c>
      <c r="O177" s="3">
        <v>1.56</v>
      </c>
      <c r="P177" s="3">
        <v>835</v>
      </c>
    </row>
    <row r="178" spans="1:16" ht="15" customHeight="1" x14ac:dyDescent="0.3">
      <c r="A178" s="3">
        <v>177</v>
      </c>
      <c r="B178" s="3" t="s">
        <v>26</v>
      </c>
      <c r="C178" s="9" t="s">
        <v>15</v>
      </c>
      <c r="D178" s="3">
        <v>13.17</v>
      </c>
      <c r="E178" s="3">
        <v>2.59</v>
      </c>
      <c r="F178" s="3">
        <v>2.37</v>
      </c>
      <c r="G178" s="3">
        <v>20</v>
      </c>
      <c r="H178" s="3">
        <v>120</v>
      </c>
      <c r="I178" s="3">
        <v>1.65</v>
      </c>
      <c r="J178" s="3">
        <v>0.68</v>
      </c>
      <c r="K178" s="3">
        <v>0.53</v>
      </c>
      <c r="L178" s="3">
        <v>1.46</v>
      </c>
      <c r="M178" s="3">
        <v>9.3000000000000007</v>
      </c>
      <c r="N178" s="3">
        <v>0.6</v>
      </c>
      <c r="O178" s="3">
        <v>1.62</v>
      </c>
      <c r="P178" s="3">
        <v>840</v>
      </c>
    </row>
    <row r="179" spans="1:16" ht="15" customHeight="1" x14ac:dyDescent="0.3">
      <c r="A179" s="3">
        <v>178</v>
      </c>
      <c r="B179" s="3" t="s">
        <v>26</v>
      </c>
      <c r="C179" s="9" t="s">
        <v>15</v>
      </c>
      <c r="D179" s="3">
        <v>14.13</v>
      </c>
      <c r="E179" s="3">
        <v>4.0999999999999996</v>
      </c>
      <c r="F179" s="3">
        <v>2.74</v>
      </c>
      <c r="G179" s="3">
        <v>24.5</v>
      </c>
      <c r="H179" s="3">
        <v>96</v>
      </c>
      <c r="I179" s="3">
        <v>2.0499999999999998</v>
      </c>
      <c r="J179" s="3">
        <v>0.76</v>
      </c>
      <c r="K179" s="3">
        <v>0.56000000000000005</v>
      </c>
      <c r="L179" s="3">
        <v>1.35</v>
      </c>
      <c r="M179" s="3">
        <v>9.1999999999999993</v>
      </c>
      <c r="N179" s="3">
        <v>0.61</v>
      </c>
      <c r="O179" s="3">
        <v>1.6</v>
      </c>
      <c r="P179" s="3">
        <v>560</v>
      </c>
    </row>
    <row r="180" spans="1:16" ht="15" customHeight="1" x14ac:dyDescent="0.3">
      <c r="A180" s="3">
        <v>179</v>
      </c>
      <c r="B180" s="3" t="s">
        <v>26</v>
      </c>
      <c r="C180" s="9" t="s">
        <v>13</v>
      </c>
      <c r="D180" s="3">
        <v>12.85</v>
      </c>
      <c r="E180" s="3">
        <v>1.6</v>
      </c>
      <c r="F180" s="3">
        <v>2.52</v>
      </c>
      <c r="G180" s="3">
        <v>17.8</v>
      </c>
      <c r="H180" s="3">
        <v>95</v>
      </c>
      <c r="I180" s="3">
        <v>2.48</v>
      </c>
      <c r="J180" s="3">
        <v>2.37</v>
      </c>
      <c r="K180" s="3">
        <v>0.26</v>
      </c>
      <c r="L180" s="3">
        <v>1.46</v>
      </c>
      <c r="M180" s="3">
        <v>3.93</v>
      </c>
      <c r="N180" s="3">
        <v>1.0900000000000001</v>
      </c>
      <c r="O180" s="3">
        <v>3.63</v>
      </c>
      <c r="P180" s="3">
        <v>1015</v>
      </c>
    </row>
    <row r="181" spans="1:16" ht="15" customHeight="1" x14ac:dyDescent="0.3">
      <c r="A181" s="3">
        <v>180</v>
      </c>
      <c r="B181" s="3" t="s">
        <v>26</v>
      </c>
      <c r="C181" s="9" t="s">
        <v>13</v>
      </c>
      <c r="D181" s="3">
        <v>13.5</v>
      </c>
      <c r="E181" s="3">
        <v>1.81</v>
      </c>
      <c r="F181" s="3">
        <v>2.61</v>
      </c>
      <c r="G181" s="3">
        <v>20</v>
      </c>
      <c r="H181" s="3">
        <v>96</v>
      </c>
      <c r="I181" s="3">
        <v>2.5299999999999998</v>
      </c>
      <c r="J181" s="3">
        <v>2.61</v>
      </c>
      <c r="K181" s="3">
        <v>0.28000000000000003</v>
      </c>
      <c r="L181" s="3">
        <v>1.66</v>
      </c>
      <c r="M181" s="3">
        <v>3.52</v>
      </c>
      <c r="N181" s="3">
        <v>1.1200000000000001</v>
      </c>
      <c r="O181" s="3">
        <v>3.82</v>
      </c>
      <c r="P181" s="3">
        <v>845</v>
      </c>
    </row>
    <row r="182" spans="1:16" ht="15" customHeight="1" x14ac:dyDescent="0.3">
      <c r="A182" s="3">
        <v>181</v>
      </c>
      <c r="B182" s="3" t="s">
        <v>26</v>
      </c>
      <c r="C182" s="9" t="s">
        <v>13</v>
      </c>
      <c r="D182" s="3">
        <v>13.05</v>
      </c>
      <c r="E182" s="3">
        <v>2.0499999999999998</v>
      </c>
      <c r="F182" s="3">
        <v>3.22</v>
      </c>
      <c r="G182" s="3">
        <v>25</v>
      </c>
      <c r="H182" s="3">
        <v>124</v>
      </c>
      <c r="I182" s="3">
        <v>2.63</v>
      </c>
      <c r="J182" s="3">
        <v>2.68</v>
      </c>
      <c r="K182" s="3">
        <v>0.47</v>
      </c>
      <c r="L182" s="3">
        <v>1.92</v>
      </c>
      <c r="M182" s="3">
        <v>3.58</v>
      </c>
      <c r="N182" s="3">
        <v>1.1299999999999999</v>
      </c>
      <c r="O182" s="3">
        <v>3.2</v>
      </c>
      <c r="P182" s="3">
        <v>830</v>
      </c>
    </row>
    <row r="183" spans="1:16" ht="15" customHeight="1" x14ac:dyDescent="0.3">
      <c r="A183" s="3">
        <v>182</v>
      </c>
      <c r="B183" s="3" t="s">
        <v>26</v>
      </c>
      <c r="C183" s="9" t="s">
        <v>13</v>
      </c>
      <c r="D183" s="3">
        <v>13.39</v>
      </c>
      <c r="E183" s="3">
        <v>1.77</v>
      </c>
      <c r="F183" s="3">
        <v>2.62</v>
      </c>
      <c r="G183" s="3">
        <v>16.100000000000001</v>
      </c>
      <c r="H183" s="3">
        <v>93</v>
      </c>
      <c r="I183" s="3">
        <v>2.85</v>
      </c>
      <c r="J183" s="3">
        <v>2.94</v>
      </c>
      <c r="K183" s="3">
        <v>0.34</v>
      </c>
      <c r="L183" s="3">
        <v>1.45</v>
      </c>
      <c r="M183" s="3">
        <v>4.8</v>
      </c>
      <c r="N183" s="3">
        <v>0.92</v>
      </c>
      <c r="O183" s="3">
        <v>3.22</v>
      </c>
      <c r="P183" s="3">
        <v>1195</v>
      </c>
    </row>
    <row r="184" spans="1:16" ht="15" customHeight="1" x14ac:dyDescent="0.3">
      <c r="A184" s="3">
        <v>183</v>
      </c>
      <c r="B184" s="3" t="s">
        <v>26</v>
      </c>
      <c r="C184" s="9" t="s">
        <v>13</v>
      </c>
      <c r="D184" s="3">
        <v>13.3</v>
      </c>
      <c r="E184" s="3">
        <v>1.72</v>
      </c>
      <c r="F184" s="3">
        <v>2.14</v>
      </c>
      <c r="G184" s="3">
        <v>17</v>
      </c>
      <c r="H184" s="3">
        <v>94</v>
      </c>
      <c r="I184" s="3">
        <v>2.4</v>
      </c>
      <c r="J184" s="3">
        <v>2.19</v>
      </c>
      <c r="K184" s="3">
        <v>0.27</v>
      </c>
      <c r="L184" s="3">
        <v>1.35</v>
      </c>
      <c r="M184" s="3">
        <v>3.95</v>
      </c>
      <c r="N184" s="3">
        <v>1.02</v>
      </c>
      <c r="O184" s="3">
        <v>2.77</v>
      </c>
      <c r="P184" s="3">
        <v>1285</v>
      </c>
    </row>
    <row r="185" spans="1:16" ht="15" customHeight="1" x14ac:dyDescent="0.3">
      <c r="A185" s="3">
        <v>184</v>
      </c>
      <c r="B185" s="3" t="s">
        <v>26</v>
      </c>
      <c r="C185" s="9" t="s">
        <v>13</v>
      </c>
      <c r="D185" s="3">
        <v>13.87</v>
      </c>
      <c r="E185" s="3">
        <v>1.9</v>
      </c>
      <c r="F185" s="3">
        <v>2.8</v>
      </c>
      <c r="G185" s="3">
        <v>19.399999999999999</v>
      </c>
      <c r="H185" s="3">
        <v>107</v>
      </c>
      <c r="I185" s="3">
        <v>2.95</v>
      </c>
      <c r="J185" s="3">
        <v>2.97</v>
      </c>
      <c r="K185" s="3">
        <v>0.37</v>
      </c>
      <c r="L185" s="3">
        <v>1.76</v>
      </c>
      <c r="M185" s="3">
        <v>4.5</v>
      </c>
      <c r="N185" s="3">
        <v>1.25</v>
      </c>
      <c r="O185" s="3">
        <v>3.4</v>
      </c>
      <c r="P185" s="3">
        <v>915</v>
      </c>
    </row>
    <row r="186" spans="1:16" ht="15" customHeight="1" x14ac:dyDescent="0.3">
      <c r="A186" s="3">
        <v>185</v>
      </c>
      <c r="B186" s="3" t="s">
        <v>26</v>
      </c>
      <c r="C186" s="9" t="s">
        <v>13</v>
      </c>
      <c r="D186" s="3">
        <v>14.02</v>
      </c>
      <c r="E186" s="3">
        <v>1.68</v>
      </c>
      <c r="F186" s="3">
        <v>2.21</v>
      </c>
      <c r="G186" s="3">
        <v>16</v>
      </c>
      <c r="H186" s="3">
        <v>96</v>
      </c>
      <c r="I186" s="3">
        <v>2.65</v>
      </c>
      <c r="J186" s="3">
        <v>2.33</v>
      </c>
      <c r="K186" s="3">
        <v>0.26</v>
      </c>
      <c r="L186" s="3">
        <v>1.98</v>
      </c>
      <c r="M186" s="3">
        <v>4.7</v>
      </c>
      <c r="N186" s="3">
        <v>1.04</v>
      </c>
      <c r="O186" s="3">
        <v>3.59</v>
      </c>
      <c r="P186" s="3">
        <v>1035</v>
      </c>
    </row>
    <row r="187" spans="1:16" ht="15" customHeight="1" x14ac:dyDescent="0.3">
      <c r="A187" s="3">
        <v>186</v>
      </c>
      <c r="B187" s="3" t="s">
        <v>26</v>
      </c>
      <c r="C187" s="9" t="s">
        <v>13</v>
      </c>
      <c r="D187" s="3">
        <v>13.73</v>
      </c>
      <c r="E187" s="3">
        <v>1.5</v>
      </c>
      <c r="F187" s="3">
        <v>2.7</v>
      </c>
      <c r="G187" s="3">
        <v>22.5</v>
      </c>
      <c r="H187" s="3">
        <v>101</v>
      </c>
      <c r="I187" s="3">
        <v>3</v>
      </c>
      <c r="J187" s="3">
        <v>3.25</v>
      </c>
      <c r="K187" s="3">
        <v>0.28999999999999998</v>
      </c>
      <c r="L187" s="3">
        <v>2.38</v>
      </c>
      <c r="M187" s="3">
        <v>5.7</v>
      </c>
      <c r="N187" s="3">
        <v>1.19</v>
      </c>
      <c r="O187" s="3">
        <v>2.71</v>
      </c>
      <c r="P187" s="3">
        <v>1285</v>
      </c>
    </row>
    <row r="188" spans="1:16" ht="15" customHeight="1" x14ac:dyDescent="0.3">
      <c r="A188" s="3">
        <v>187</v>
      </c>
      <c r="B188" s="3" t="s">
        <v>26</v>
      </c>
      <c r="C188" s="9" t="s">
        <v>13</v>
      </c>
      <c r="D188" s="3">
        <v>13.58</v>
      </c>
      <c r="E188" s="3">
        <v>1.66</v>
      </c>
      <c r="F188" s="3">
        <v>2.36</v>
      </c>
      <c r="G188" s="3">
        <v>19.100000000000001</v>
      </c>
      <c r="H188" s="3">
        <v>106</v>
      </c>
      <c r="I188" s="3">
        <v>2.86</v>
      </c>
      <c r="J188" s="3">
        <v>3.19</v>
      </c>
      <c r="K188" s="3">
        <v>0.22</v>
      </c>
      <c r="L188" s="3">
        <v>1.95</v>
      </c>
      <c r="M188" s="3">
        <v>6.9</v>
      </c>
      <c r="N188" s="3">
        <v>1.0900000000000001</v>
      </c>
      <c r="O188" s="3">
        <v>2.88</v>
      </c>
      <c r="P188" s="3">
        <v>1515</v>
      </c>
    </row>
    <row r="189" spans="1:16" ht="15" customHeight="1" x14ac:dyDescent="0.3">
      <c r="A189" s="3">
        <v>188</v>
      </c>
      <c r="B189" s="3" t="s">
        <v>26</v>
      </c>
      <c r="C189" s="9" t="s">
        <v>13</v>
      </c>
      <c r="D189" s="3">
        <v>13.68</v>
      </c>
      <c r="E189" s="3">
        <v>1.83</v>
      </c>
      <c r="F189" s="3">
        <v>2.36</v>
      </c>
      <c r="G189" s="3">
        <v>17.2</v>
      </c>
      <c r="H189" s="3">
        <v>104</v>
      </c>
      <c r="I189" s="3">
        <v>2.42</v>
      </c>
      <c r="J189" s="3">
        <v>2.69</v>
      </c>
      <c r="K189" s="3">
        <v>0.42</v>
      </c>
      <c r="L189" s="3">
        <v>1.97</v>
      </c>
      <c r="M189" s="3">
        <v>3.84</v>
      </c>
      <c r="N189" s="3">
        <v>1.23</v>
      </c>
      <c r="O189" s="3">
        <v>2.87</v>
      </c>
      <c r="P189" s="3">
        <v>990</v>
      </c>
    </row>
    <row r="190" spans="1:16" ht="15" customHeight="1" x14ac:dyDescent="0.3">
      <c r="A190" s="3">
        <v>189</v>
      </c>
      <c r="B190" s="3" t="s">
        <v>26</v>
      </c>
      <c r="C190" s="9" t="s">
        <v>13</v>
      </c>
      <c r="D190" s="3">
        <v>13.76</v>
      </c>
      <c r="E190" s="3">
        <v>1.53</v>
      </c>
      <c r="F190" s="3">
        <v>2.7</v>
      </c>
      <c r="G190" s="3">
        <v>19.5</v>
      </c>
      <c r="H190" s="3">
        <v>132</v>
      </c>
      <c r="I190" s="3">
        <v>2.95</v>
      </c>
      <c r="J190" s="3">
        <v>2.74</v>
      </c>
      <c r="K190" s="3">
        <v>0.5</v>
      </c>
      <c r="L190" s="3">
        <v>1.35</v>
      </c>
      <c r="M190" s="3">
        <v>5.4</v>
      </c>
      <c r="N190" s="3">
        <v>1.25</v>
      </c>
      <c r="O190" s="3">
        <v>3</v>
      </c>
      <c r="P190" s="3">
        <v>1235</v>
      </c>
    </row>
    <row r="191" spans="1:16" ht="15" customHeight="1" x14ac:dyDescent="0.3">
      <c r="A191" s="3">
        <v>190</v>
      </c>
      <c r="B191" s="3" t="s">
        <v>26</v>
      </c>
      <c r="C191" s="9" t="s">
        <v>13</v>
      </c>
      <c r="D191" s="3">
        <v>13.51</v>
      </c>
      <c r="E191" s="3">
        <v>1.8</v>
      </c>
      <c r="F191" s="3">
        <v>2.65</v>
      </c>
      <c r="G191" s="3">
        <v>19</v>
      </c>
      <c r="H191" s="3">
        <v>110</v>
      </c>
      <c r="I191" s="3">
        <v>2.35</v>
      </c>
      <c r="J191" s="3">
        <v>2.5299999999999998</v>
      </c>
      <c r="K191" s="3">
        <v>0.28999999999999998</v>
      </c>
      <c r="L191" s="3">
        <v>1.54</v>
      </c>
      <c r="M191" s="3">
        <v>4.2</v>
      </c>
      <c r="N191" s="3">
        <v>1.1000000000000001</v>
      </c>
      <c r="O191" s="3">
        <v>2.87</v>
      </c>
      <c r="P191" s="3">
        <v>1095</v>
      </c>
    </row>
    <row r="192" spans="1:16" ht="15" customHeight="1" x14ac:dyDescent="0.3">
      <c r="A192" s="3">
        <v>191</v>
      </c>
      <c r="B192" s="3" t="s">
        <v>26</v>
      </c>
      <c r="C192" s="9" t="s">
        <v>13</v>
      </c>
      <c r="D192" s="3">
        <v>13.48</v>
      </c>
      <c r="E192" s="3">
        <v>1.81</v>
      </c>
      <c r="F192" s="3">
        <v>2.41</v>
      </c>
      <c r="G192" s="3">
        <v>20.5</v>
      </c>
      <c r="H192" s="3">
        <v>100</v>
      </c>
      <c r="I192" s="3">
        <v>2.7</v>
      </c>
      <c r="J192" s="3">
        <v>2.98</v>
      </c>
      <c r="K192" s="3">
        <v>0.26</v>
      </c>
      <c r="L192" s="3">
        <v>1.86</v>
      </c>
      <c r="M192" s="3">
        <v>5.0999999999999996</v>
      </c>
      <c r="N192" s="3">
        <v>1.04</v>
      </c>
      <c r="O192" s="3">
        <v>3.47</v>
      </c>
      <c r="P192" s="3">
        <v>920</v>
      </c>
    </row>
    <row r="193" spans="1:16" ht="15" customHeight="1" x14ac:dyDescent="0.3">
      <c r="A193" s="3">
        <v>192</v>
      </c>
      <c r="B193" s="3" t="s">
        <v>26</v>
      </c>
      <c r="C193" s="9" t="s">
        <v>13</v>
      </c>
      <c r="D193" s="3">
        <v>13.28</v>
      </c>
      <c r="E193" s="3">
        <v>1.64</v>
      </c>
      <c r="F193" s="3">
        <v>2.84</v>
      </c>
      <c r="G193" s="3">
        <v>15.5</v>
      </c>
      <c r="H193" s="3">
        <v>110</v>
      </c>
      <c r="I193" s="3">
        <v>2.6</v>
      </c>
      <c r="J193" s="3">
        <v>2.68</v>
      </c>
      <c r="K193" s="3">
        <v>0.34</v>
      </c>
      <c r="L193" s="3">
        <v>1.36</v>
      </c>
      <c r="M193" s="3">
        <v>4.5999999999999996</v>
      </c>
      <c r="N193" s="3">
        <v>1.0900000000000001</v>
      </c>
      <c r="O193" s="3">
        <v>2.78</v>
      </c>
      <c r="P193" s="3">
        <v>880</v>
      </c>
    </row>
    <row r="194" spans="1:16" ht="15" customHeight="1" x14ac:dyDescent="0.3">
      <c r="A194" s="3">
        <v>193</v>
      </c>
      <c r="B194" s="3" t="s">
        <v>26</v>
      </c>
      <c r="C194" s="9" t="s">
        <v>13</v>
      </c>
      <c r="D194" s="3">
        <v>13.05</v>
      </c>
      <c r="E194" s="3">
        <v>1.65</v>
      </c>
      <c r="F194" s="3">
        <v>2.5499999999999998</v>
      </c>
      <c r="G194" s="3">
        <v>18</v>
      </c>
      <c r="H194" s="3">
        <v>98</v>
      </c>
      <c r="I194" s="3">
        <v>2.4500000000000002</v>
      </c>
      <c r="J194" s="3">
        <v>2.4300000000000002</v>
      </c>
      <c r="K194" s="3">
        <v>0.28999999999999998</v>
      </c>
      <c r="L194" s="3">
        <v>1.44</v>
      </c>
      <c r="M194" s="3">
        <v>4.25</v>
      </c>
      <c r="N194" s="3">
        <v>1.1200000000000001</v>
      </c>
      <c r="O194" s="3">
        <v>2.5099999999999998</v>
      </c>
      <c r="P194" s="3">
        <v>1105</v>
      </c>
    </row>
    <row r="195" spans="1:16" ht="15" customHeight="1" x14ac:dyDescent="0.3">
      <c r="A195" s="3">
        <v>194</v>
      </c>
      <c r="B195" s="3" t="s">
        <v>26</v>
      </c>
      <c r="C195" s="9" t="s">
        <v>13</v>
      </c>
      <c r="D195" s="3">
        <v>13.07</v>
      </c>
      <c r="E195" s="3">
        <v>1.5</v>
      </c>
      <c r="F195" s="3">
        <v>2.1</v>
      </c>
      <c r="G195" s="3">
        <v>15.5</v>
      </c>
      <c r="H195" s="3">
        <v>98</v>
      </c>
      <c r="I195" s="3">
        <v>2.4</v>
      </c>
      <c r="J195" s="3">
        <v>2.64</v>
      </c>
      <c r="K195" s="3">
        <v>0.28000000000000003</v>
      </c>
      <c r="L195" s="3">
        <v>1.37</v>
      </c>
      <c r="M195" s="3">
        <v>3.7</v>
      </c>
      <c r="N195" s="3">
        <v>1.18</v>
      </c>
      <c r="O195" s="3">
        <v>2.69</v>
      </c>
      <c r="P195" s="3">
        <v>1020</v>
      </c>
    </row>
    <row r="196" spans="1:16" ht="15" customHeight="1" x14ac:dyDescent="0.3">
      <c r="A196" s="3">
        <v>195</v>
      </c>
      <c r="B196" s="3" t="s">
        <v>26</v>
      </c>
      <c r="C196" s="9" t="s">
        <v>13</v>
      </c>
      <c r="D196" s="3">
        <v>14.22</v>
      </c>
      <c r="E196" s="3">
        <v>3.99</v>
      </c>
      <c r="F196" s="3">
        <v>2.5099999999999998</v>
      </c>
      <c r="G196" s="3">
        <v>13.2</v>
      </c>
      <c r="H196" s="3">
        <v>128</v>
      </c>
      <c r="I196" s="3">
        <v>3</v>
      </c>
      <c r="J196" s="3">
        <v>3.04</v>
      </c>
      <c r="K196" s="3">
        <v>0.2</v>
      </c>
      <c r="L196" s="3">
        <v>2.08</v>
      </c>
      <c r="M196" s="3">
        <v>5.0999999999999996</v>
      </c>
      <c r="N196" s="3">
        <v>0.89</v>
      </c>
      <c r="O196" s="3">
        <v>3.53</v>
      </c>
      <c r="P196" s="3">
        <v>760</v>
      </c>
    </row>
    <row r="197" spans="1:16" ht="15" customHeight="1" x14ac:dyDescent="0.3">
      <c r="A197" s="3">
        <v>196</v>
      </c>
      <c r="B197" s="3" t="s">
        <v>26</v>
      </c>
      <c r="C197" s="9" t="s">
        <v>13</v>
      </c>
      <c r="D197" s="3">
        <v>13.56</v>
      </c>
      <c r="E197" s="3">
        <v>1.71</v>
      </c>
      <c r="F197" s="3">
        <v>2.31</v>
      </c>
      <c r="G197" s="3">
        <v>16.2</v>
      </c>
      <c r="H197" s="3">
        <v>117</v>
      </c>
      <c r="I197" s="3">
        <v>3.15</v>
      </c>
      <c r="J197" s="3">
        <v>3.29</v>
      </c>
      <c r="K197" s="3">
        <v>0.34</v>
      </c>
      <c r="L197" s="3">
        <v>2.34</v>
      </c>
      <c r="M197" s="3">
        <v>6.13</v>
      </c>
      <c r="N197" s="3">
        <v>0.95</v>
      </c>
      <c r="O197" s="3">
        <v>3.38</v>
      </c>
      <c r="P197" s="3">
        <v>795</v>
      </c>
    </row>
    <row r="198" spans="1:16" ht="15" customHeight="1" x14ac:dyDescent="0.3">
      <c r="A198" s="3">
        <v>197</v>
      </c>
      <c r="B198" s="3" t="s">
        <v>26</v>
      </c>
      <c r="C198" s="9" t="s">
        <v>13</v>
      </c>
      <c r="D198" s="3">
        <v>13.41</v>
      </c>
      <c r="E198" s="3">
        <v>3.84</v>
      </c>
      <c r="F198" s="3">
        <v>2.12</v>
      </c>
      <c r="G198" s="3">
        <v>18.8</v>
      </c>
      <c r="H198" s="3">
        <v>90</v>
      </c>
      <c r="I198" s="3">
        <v>2.4500000000000002</v>
      </c>
      <c r="J198" s="3">
        <v>2.68</v>
      </c>
      <c r="K198" s="3">
        <v>0.27</v>
      </c>
      <c r="L198" s="3">
        <v>1.48</v>
      </c>
      <c r="M198" s="3">
        <v>4.28</v>
      </c>
      <c r="N198" s="3">
        <v>0.91</v>
      </c>
      <c r="O198" s="3">
        <v>3</v>
      </c>
      <c r="P198" s="3">
        <v>1035</v>
      </c>
    </row>
    <row r="199" spans="1:16" ht="15" customHeight="1" x14ac:dyDescent="0.3">
      <c r="A199" s="3">
        <v>198</v>
      </c>
      <c r="B199" s="3" t="s">
        <v>26</v>
      </c>
      <c r="C199" s="9" t="s">
        <v>13</v>
      </c>
      <c r="D199" s="3">
        <v>13.88</v>
      </c>
      <c r="E199" s="3">
        <v>1.89</v>
      </c>
      <c r="F199" s="3">
        <v>2.59</v>
      </c>
      <c r="G199" s="3">
        <v>15</v>
      </c>
      <c r="H199" s="3">
        <v>101</v>
      </c>
      <c r="I199" s="3">
        <v>3.25</v>
      </c>
      <c r="J199" s="3">
        <v>3.56</v>
      </c>
      <c r="K199" s="3">
        <v>0.17</v>
      </c>
      <c r="L199" s="3">
        <v>1.7</v>
      </c>
      <c r="M199" s="3">
        <v>5.43</v>
      </c>
      <c r="N199" s="3">
        <v>0.88</v>
      </c>
      <c r="O199" s="3">
        <v>3.56</v>
      </c>
      <c r="P199" s="3">
        <v>1095</v>
      </c>
    </row>
    <row r="200" spans="1:16" ht="15" customHeight="1" x14ac:dyDescent="0.3">
      <c r="A200" s="3">
        <v>199</v>
      </c>
      <c r="B200" s="3" t="s">
        <v>26</v>
      </c>
      <c r="C200" s="9" t="s">
        <v>13</v>
      </c>
      <c r="D200" s="3">
        <v>13.24</v>
      </c>
      <c r="E200" s="3">
        <v>3.98</v>
      </c>
      <c r="F200" s="3">
        <v>2.29</v>
      </c>
      <c r="G200" s="3">
        <v>17.5</v>
      </c>
      <c r="H200" s="3">
        <v>103</v>
      </c>
      <c r="I200" s="3">
        <v>2.64</v>
      </c>
      <c r="J200" s="3">
        <v>2.63</v>
      </c>
      <c r="K200" s="3">
        <v>0.32</v>
      </c>
      <c r="L200" s="3">
        <v>1.66</v>
      </c>
      <c r="M200" s="3">
        <v>4.3600000000000003</v>
      </c>
      <c r="N200" s="3">
        <v>0.82</v>
      </c>
      <c r="O200" s="3">
        <v>3</v>
      </c>
      <c r="P200" s="3">
        <v>680</v>
      </c>
    </row>
    <row r="201" spans="1:16" ht="15" customHeight="1" x14ac:dyDescent="0.3">
      <c r="A201" s="3">
        <v>200</v>
      </c>
      <c r="B201" s="3" t="s">
        <v>26</v>
      </c>
      <c r="C201" s="9" t="s">
        <v>13</v>
      </c>
      <c r="D201" s="3">
        <v>13.05</v>
      </c>
      <c r="E201" s="3">
        <v>1.77</v>
      </c>
      <c r="F201" s="3">
        <v>2.1</v>
      </c>
      <c r="G201" s="3">
        <v>17</v>
      </c>
      <c r="H201" s="3">
        <v>107</v>
      </c>
      <c r="I201" s="3">
        <v>3</v>
      </c>
      <c r="J201" s="3">
        <v>3</v>
      </c>
      <c r="K201" s="3">
        <v>0.28000000000000003</v>
      </c>
      <c r="L201" s="3">
        <v>2.0299999999999998</v>
      </c>
      <c r="M201" s="3">
        <v>5.04</v>
      </c>
      <c r="N201" s="3">
        <v>0.88</v>
      </c>
      <c r="O201" s="3">
        <v>3.35</v>
      </c>
      <c r="P201" s="3">
        <v>885</v>
      </c>
    </row>
    <row r="202" spans="1:16" ht="15" customHeight="1" x14ac:dyDescent="0.3">
      <c r="A202" s="3">
        <v>201</v>
      </c>
      <c r="B202" s="3" t="s">
        <v>26</v>
      </c>
      <c r="C202" s="9" t="s">
        <v>13</v>
      </c>
      <c r="D202" s="3">
        <v>14.21</v>
      </c>
      <c r="E202" s="3">
        <v>4.04</v>
      </c>
      <c r="F202" s="3">
        <v>2.44</v>
      </c>
      <c r="G202" s="3">
        <v>18.899999999999999</v>
      </c>
      <c r="H202" s="3">
        <v>111</v>
      </c>
      <c r="I202" s="3">
        <v>2.85</v>
      </c>
      <c r="J202" s="3">
        <v>2.65</v>
      </c>
      <c r="K202" s="3">
        <v>0.3</v>
      </c>
      <c r="L202" s="3">
        <v>1.25</v>
      </c>
      <c r="M202" s="3">
        <v>5.24</v>
      </c>
      <c r="N202" s="3">
        <v>0.87</v>
      </c>
      <c r="O202" s="3">
        <v>3.33</v>
      </c>
      <c r="P202" s="3">
        <v>1080</v>
      </c>
    </row>
    <row r="203" spans="1:16" ht="15" customHeight="1" x14ac:dyDescent="0.3">
      <c r="A203" s="3">
        <v>202</v>
      </c>
      <c r="B203" s="3" t="s">
        <v>26</v>
      </c>
      <c r="C203" s="9" t="s">
        <v>13</v>
      </c>
      <c r="D203" s="3">
        <v>14.38</v>
      </c>
      <c r="E203" s="3">
        <v>3.59</v>
      </c>
      <c r="F203" s="3">
        <v>2.2799999999999998</v>
      </c>
      <c r="G203" s="3">
        <v>16</v>
      </c>
      <c r="H203" s="3">
        <v>102</v>
      </c>
      <c r="I203" s="3">
        <v>3.25</v>
      </c>
      <c r="J203" s="3">
        <v>3.17</v>
      </c>
      <c r="K203" s="3">
        <v>0.27</v>
      </c>
      <c r="L203" s="3">
        <v>2.19</v>
      </c>
      <c r="M203" s="3">
        <v>4.9000000000000004</v>
      </c>
      <c r="N203" s="3">
        <v>1.04</v>
      </c>
      <c r="O203" s="3">
        <v>3.44</v>
      </c>
      <c r="P203" s="3">
        <v>1065</v>
      </c>
    </row>
    <row r="204" spans="1:16" ht="15" customHeight="1" x14ac:dyDescent="0.3">
      <c r="A204" s="3">
        <v>203</v>
      </c>
      <c r="B204" s="3" t="s">
        <v>26</v>
      </c>
      <c r="C204" s="9" t="s">
        <v>13</v>
      </c>
      <c r="D204" s="3">
        <v>13.9</v>
      </c>
      <c r="E204" s="3">
        <v>1.68</v>
      </c>
      <c r="F204" s="3">
        <v>2.12</v>
      </c>
      <c r="G204" s="3">
        <v>16</v>
      </c>
      <c r="H204" s="3">
        <v>101</v>
      </c>
      <c r="I204" s="3">
        <v>3.1</v>
      </c>
      <c r="J204" s="3">
        <v>3.39</v>
      </c>
      <c r="K204" s="3">
        <v>0.21</v>
      </c>
      <c r="L204" s="3">
        <v>2.14</v>
      </c>
      <c r="M204" s="3">
        <v>6.1</v>
      </c>
      <c r="N204" s="3">
        <v>0.91</v>
      </c>
      <c r="O204" s="3">
        <v>3.33</v>
      </c>
      <c r="P204" s="3">
        <v>985</v>
      </c>
    </row>
    <row r="205" spans="1:16" ht="15" customHeight="1" x14ac:dyDescent="0.3">
      <c r="A205" s="3">
        <v>204</v>
      </c>
      <c r="B205" s="3" t="s">
        <v>26</v>
      </c>
      <c r="C205" s="9" t="s">
        <v>13</v>
      </c>
      <c r="D205" s="3">
        <v>14.1</v>
      </c>
      <c r="E205" s="3">
        <v>2.02</v>
      </c>
      <c r="F205" s="3">
        <v>2.4</v>
      </c>
      <c r="G205" s="3">
        <v>18.8</v>
      </c>
      <c r="H205" s="3">
        <v>103</v>
      </c>
      <c r="I205" s="3">
        <v>2.75</v>
      </c>
      <c r="J205" s="3">
        <v>2.92</v>
      </c>
      <c r="K205" s="3">
        <v>0.32</v>
      </c>
      <c r="L205" s="3">
        <v>2.38</v>
      </c>
      <c r="M205" s="3">
        <v>6.2</v>
      </c>
      <c r="N205" s="3">
        <v>1.07</v>
      </c>
      <c r="O205" s="3">
        <v>2.75</v>
      </c>
      <c r="P205" s="3">
        <v>1060</v>
      </c>
    </row>
    <row r="206" spans="1:16" ht="15" customHeight="1" x14ac:dyDescent="0.3">
      <c r="A206" s="3">
        <v>205</v>
      </c>
      <c r="B206" s="3" t="s">
        <v>26</v>
      </c>
      <c r="C206" s="9" t="s">
        <v>13</v>
      </c>
      <c r="D206" s="3">
        <v>13.94</v>
      </c>
      <c r="E206" s="3">
        <v>1.73</v>
      </c>
      <c r="F206" s="3">
        <v>2.27</v>
      </c>
      <c r="G206" s="3">
        <v>17.399999999999999</v>
      </c>
      <c r="H206" s="3">
        <v>108</v>
      </c>
      <c r="I206" s="3">
        <v>2.88</v>
      </c>
      <c r="J206" s="3">
        <v>3.54</v>
      </c>
      <c r="K206" s="3">
        <v>0.32</v>
      </c>
      <c r="L206" s="3">
        <v>2.08</v>
      </c>
      <c r="M206" s="3">
        <v>8.9</v>
      </c>
      <c r="N206" s="3">
        <v>1.1200000000000001</v>
      </c>
      <c r="O206" s="3">
        <v>3.1</v>
      </c>
      <c r="P206" s="3">
        <v>1260</v>
      </c>
    </row>
    <row r="207" spans="1:16" ht="15" customHeight="1" x14ac:dyDescent="0.3">
      <c r="A207" s="3">
        <v>206</v>
      </c>
      <c r="B207" s="3" t="s">
        <v>26</v>
      </c>
      <c r="C207" s="9" t="s">
        <v>13</v>
      </c>
      <c r="D207" s="3">
        <v>13.05</v>
      </c>
      <c r="E207" s="3">
        <v>1.73</v>
      </c>
      <c r="F207" s="3">
        <v>2.04</v>
      </c>
      <c r="G207" s="3">
        <v>12.4</v>
      </c>
      <c r="H207" s="3">
        <v>92</v>
      </c>
      <c r="I207" s="3">
        <v>2.72</v>
      </c>
      <c r="J207" s="3">
        <v>3.27</v>
      </c>
      <c r="K207" s="3">
        <v>0.17</v>
      </c>
      <c r="L207" s="3">
        <v>2.91</v>
      </c>
      <c r="M207" s="3">
        <v>7.2</v>
      </c>
      <c r="N207" s="3">
        <v>1.1200000000000001</v>
      </c>
      <c r="O207" s="3">
        <v>2.91</v>
      </c>
      <c r="P207" s="3">
        <v>1150</v>
      </c>
    </row>
    <row r="208" spans="1:16" ht="15" customHeight="1" x14ac:dyDescent="0.3">
      <c r="A208" s="3">
        <v>207</v>
      </c>
      <c r="B208" s="3" t="s">
        <v>26</v>
      </c>
      <c r="C208" s="9" t="s">
        <v>13</v>
      </c>
      <c r="D208" s="3">
        <v>13.83</v>
      </c>
      <c r="E208" s="3">
        <v>1.65</v>
      </c>
      <c r="F208" s="3">
        <v>2.6</v>
      </c>
      <c r="G208" s="3">
        <v>17.2</v>
      </c>
      <c r="H208" s="3">
        <v>94</v>
      </c>
      <c r="I208" s="3">
        <v>2.4500000000000002</v>
      </c>
      <c r="J208" s="3">
        <v>2.99</v>
      </c>
      <c r="K208" s="3">
        <v>0.22</v>
      </c>
      <c r="L208" s="3">
        <v>2.29</v>
      </c>
      <c r="M208" s="3">
        <v>5.6</v>
      </c>
      <c r="N208" s="3">
        <v>1.24</v>
      </c>
      <c r="O208" s="3">
        <v>3.37</v>
      </c>
      <c r="P208" s="3">
        <v>1265</v>
      </c>
    </row>
    <row r="209" spans="1:16" ht="15" customHeight="1" x14ac:dyDescent="0.3">
      <c r="A209" s="3">
        <v>208</v>
      </c>
      <c r="B209" s="3" t="s">
        <v>26</v>
      </c>
      <c r="C209" s="9" t="s">
        <v>13</v>
      </c>
      <c r="D209" s="3">
        <v>13.82</v>
      </c>
      <c r="E209" s="3">
        <v>1.75</v>
      </c>
      <c r="F209" s="3">
        <v>2.42</v>
      </c>
      <c r="G209" s="3">
        <v>14</v>
      </c>
      <c r="H209" s="3">
        <v>111</v>
      </c>
      <c r="I209" s="3">
        <v>3.88</v>
      </c>
      <c r="J209" s="3">
        <v>3.74</v>
      </c>
      <c r="K209" s="3">
        <v>0.32</v>
      </c>
      <c r="L209" s="3">
        <v>1.87</v>
      </c>
      <c r="M209" s="3">
        <v>7.05</v>
      </c>
      <c r="N209" s="3">
        <v>1.01</v>
      </c>
      <c r="O209" s="3">
        <v>3.26</v>
      </c>
      <c r="P209" s="3">
        <v>1190</v>
      </c>
    </row>
    <row r="210" spans="1:16" ht="15" customHeight="1" x14ac:dyDescent="0.3">
      <c r="A210" s="3">
        <v>209</v>
      </c>
      <c r="B210" s="3" t="s">
        <v>26</v>
      </c>
      <c r="C210" s="9" t="s">
        <v>13</v>
      </c>
      <c r="D210" s="3">
        <v>13.77</v>
      </c>
      <c r="E210" s="3">
        <v>1.9</v>
      </c>
      <c r="F210" s="3">
        <v>2.68</v>
      </c>
      <c r="G210" s="3">
        <v>17.100000000000001</v>
      </c>
      <c r="H210" s="3">
        <v>115</v>
      </c>
      <c r="I210" s="3">
        <v>3</v>
      </c>
      <c r="J210" s="3">
        <v>2.79</v>
      </c>
      <c r="K210" s="3">
        <v>0.39</v>
      </c>
      <c r="L210" s="3">
        <v>1.68</v>
      </c>
      <c r="M210" s="3">
        <v>6.3</v>
      </c>
      <c r="N210" s="3">
        <v>1.1299999999999999</v>
      </c>
      <c r="O210" s="3">
        <v>2.93</v>
      </c>
      <c r="P210" s="3">
        <v>1375</v>
      </c>
    </row>
    <row r="211" spans="1:16" ht="15" customHeight="1" x14ac:dyDescent="0.3">
      <c r="A211" s="3">
        <v>210</v>
      </c>
      <c r="B211" s="3" t="s">
        <v>26</v>
      </c>
      <c r="C211" s="9" t="s">
        <v>13</v>
      </c>
      <c r="D211" s="3">
        <v>13.74</v>
      </c>
      <c r="E211" s="3">
        <v>1.67</v>
      </c>
      <c r="F211" s="3">
        <v>2.25</v>
      </c>
      <c r="G211" s="3">
        <v>16.399999999999999</v>
      </c>
      <c r="H211" s="3">
        <v>118</v>
      </c>
      <c r="I211" s="3">
        <v>2.6</v>
      </c>
      <c r="J211" s="3">
        <v>2.9</v>
      </c>
      <c r="K211" s="3">
        <v>0.21</v>
      </c>
      <c r="L211" s="3">
        <v>1.62</v>
      </c>
      <c r="M211" s="3">
        <v>5.85</v>
      </c>
      <c r="N211" s="3">
        <v>0.92</v>
      </c>
      <c r="O211" s="3">
        <v>3.2</v>
      </c>
      <c r="P211" s="3">
        <v>1060</v>
      </c>
    </row>
    <row r="212" spans="1:16" ht="15" customHeight="1" x14ac:dyDescent="0.3">
      <c r="A212" s="3">
        <v>211</v>
      </c>
      <c r="B212" s="3" t="s">
        <v>26</v>
      </c>
      <c r="C212" s="9" t="s">
        <v>13</v>
      </c>
      <c r="D212" s="3">
        <v>13.56</v>
      </c>
      <c r="E212" s="3">
        <v>1.73</v>
      </c>
      <c r="F212" s="3">
        <v>2.46</v>
      </c>
      <c r="G212" s="3">
        <v>20.5</v>
      </c>
      <c r="H212" s="3">
        <v>116</v>
      </c>
      <c r="I212" s="3">
        <v>2.96</v>
      </c>
      <c r="J212" s="3">
        <v>2.78</v>
      </c>
      <c r="K212" s="3">
        <v>0.2</v>
      </c>
      <c r="L212" s="3">
        <v>2.4500000000000002</v>
      </c>
      <c r="M212" s="3">
        <v>6.25</v>
      </c>
      <c r="N212" s="3">
        <v>0.98</v>
      </c>
      <c r="O212" s="3">
        <v>3.03</v>
      </c>
      <c r="P212" s="3">
        <v>1120</v>
      </c>
    </row>
    <row r="213" spans="1:16" ht="15" customHeight="1" x14ac:dyDescent="0.3">
      <c r="A213" s="3">
        <v>212</v>
      </c>
      <c r="B213" s="3" t="s">
        <v>26</v>
      </c>
      <c r="C213" s="9" t="s">
        <v>13</v>
      </c>
      <c r="D213" s="3">
        <v>14.22</v>
      </c>
      <c r="E213" s="3">
        <v>1.7</v>
      </c>
      <c r="F213" s="3">
        <v>2.2999999999999998</v>
      </c>
      <c r="G213" s="3">
        <v>16.3</v>
      </c>
      <c r="H213" s="3">
        <v>118</v>
      </c>
      <c r="I213" s="3">
        <v>3.2</v>
      </c>
      <c r="J213" s="3">
        <v>3</v>
      </c>
      <c r="K213" s="3">
        <v>0.26</v>
      </c>
      <c r="L213" s="3">
        <v>2.0299999999999998</v>
      </c>
      <c r="M213" s="3">
        <v>6.38</v>
      </c>
      <c r="N213" s="3">
        <v>0.94</v>
      </c>
      <c r="O213" s="3">
        <v>3.31</v>
      </c>
      <c r="P213" s="3">
        <v>970</v>
      </c>
    </row>
    <row r="214" spans="1:16" ht="15" customHeight="1" x14ac:dyDescent="0.3">
      <c r="A214" s="3">
        <v>213</v>
      </c>
      <c r="B214" s="3" t="s">
        <v>26</v>
      </c>
      <c r="C214" s="9" t="s">
        <v>13</v>
      </c>
      <c r="D214" s="3">
        <v>13.29</v>
      </c>
      <c r="E214" s="3">
        <v>1.97</v>
      </c>
      <c r="F214" s="3">
        <v>2.68</v>
      </c>
      <c r="G214" s="3">
        <v>16.8</v>
      </c>
      <c r="H214" s="3">
        <v>102</v>
      </c>
      <c r="I214" s="3">
        <v>3</v>
      </c>
      <c r="J214" s="3">
        <v>3.23</v>
      </c>
      <c r="K214" s="3">
        <v>0.31</v>
      </c>
      <c r="L214" s="3">
        <v>1.66</v>
      </c>
      <c r="M214" s="3">
        <v>6</v>
      </c>
      <c r="N214" s="3">
        <v>1.07</v>
      </c>
      <c r="O214" s="3">
        <v>2.84</v>
      </c>
      <c r="P214" s="3">
        <v>1270</v>
      </c>
    </row>
    <row r="215" spans="1:16" ht="15" customHeight="1" x14ac:dyDescent="0.3">
      <c r="A215" s="3">
        <v>214</v>
      </c>
      <c r="B215" s="3" t="s">
        <v>26</v>
      </c>
      <c r="C215" s="9" t="s">
        <v>13</v>
      </c>
      <c r="D215" s="3">
        <v>13.72</v>
      </c>
      <c r="E215" s="3">
        <v>1.43</v>
      </c>
      <c r="F215" s="3">
        <v>2.5</v>
      </c>
      <c r="G215" s="3">
        <v>16.7</v>
      </c>
      <c r="H215" s="3">
        <v>108</v>
      </c>
      <c r="I215" s="3">
        <v>3.4</v>
      </c>
      <c r="J215" s="3">
        <v>3.67</v>
      </c>
      <c r="K215" s="3">
        <v>0.19</v>
      </c>
      <c r="L215" s="3">
        <v>2.04</v>
      </c>
      <c r="M215" s="3">
        <v>6.8</v>
      </c>
      <c r="N215" s="3">
        <v>0.89</v>
      </c>
      <c r="O215" s="3">
        <v>2.87</v>
      </c>
      <c r="P215" s="3">
        <v>1285</v>
      </c>
    </row>
    <row r="216" spans="1:16" ht="15" customHeight="1" x14ac:dyDescent="0.3">
      <c r="A216" s="3">
        <v>215</v>
      </c>
      <c r="B216" s="3" t="s">
        <v>26</v>
      </c>
      <c r="C216" s="9" t="s">
        <v>14</v>
      </c>
      <c r="D216" s="3">
        <v>12.37</v>
      </c>
      <c r="E216" s="3">
        <v>0.94</v>
      </c>
      <c r="F216" s="3">
        <v>1.36</v>
      </c>
      <c r="G216" s="3">
        <v>10.6</v>
      </c>
      <c r="H216" s="3">
        <v>88</v>
      </c>
      <c r="I216" s="3">
        <v>1.98</v>
      </c>
      <c r="J216" s="3">
        <v>0.56999999999999995</v>
      </c>
      <c r="K216" s="3">
        <v>0.28000000000000003</v>
      </c>
      <c r="L216" s="3">
        <v>0.42</v>
      </c>
      <c r="M216" s="3">
        <v>1.95</v>
      </c>
      <c r="N216" s="3">
        <v>1.05</v>
      </c>
      <c r="O216" s="3">
        <v>1.82</v>
      </c>
      <c r="P216" s="3">
        <v>520</v>
      </c>
    </row>
    <row r="217" spans="1:16" ht="15" customHeight="1" x14ac:dyDescent="0.3">
      <c r="A217" s="3">
        <v>216</v>
      </c>
      <c r="B217" s="3" t="s">
        <v>26</v>
      </c>
      <c r="C217" s="9" t="s">
        <v>14</v>
      </c>
      <c r="D217" s="3">
        <v>12.33</v>
      </c>
      <c r="E217" s="3">
        <v>1.1000000000000001</v>
      </c>
      <c r="F217" s="3">
        <v>2.2799999999999998</v>
      </c>
      <c r="G217" s="3">
        <v>16</v>
      </c>
      <c r="H217" s="3">
        <v>101</v>
      </c>
      <c r="I217" s="3">
        <v>2.0499999999999998</v>
      </c>
      <c r="J217" s="3">
        <v>1.0900000000000001</v>
      </c>
      <c r="K217" s="3">
        <v>0.63</v>
      </c>
      <c r="L217" s="3">
        <v>0.41</v>
      </c>
      <c r="M217" s="3">
        <v>3.27</v>
      </c>
      <c r="N217" s="3">
        <v>1.25</v>
      </c>
      <c r="O217" s="3">
        <v>1.67</v>
      </c>
      <c r="P217" s="3">
        <v>680</v>
      </c>
    </row>
    <row r="218" spans="1:16" ht="15" customHeight="1" x14ac:dyDescent="0.3">
      <c r="A218" s="3">
        <v>217</v>
      </c>
      <c r="B218" s="3" t="s">
        <v>26</v>
      </c>
      <c r="C218" s="9" t="s">
        <v>14</v>
      </c>
      <c r="D218" s="3">
        <v>12.64</v>
      </c>
      <c r="E218" s="3">
        <v>1.36</v>
      </c>
      <c r="F218" s="3">
        <v>2.02</v>
      </c>
      <c r="G218" s="3">
        <v>16.8</v>
      </c>
      <c r="H218" s="3">
        <v>100</v>
      </c>
      <c r="I218" s="3">
        <v>2.02</v>
      </c>
      <c r="J218" s="3">
        <v>1.41</v>
      </c>
      <c r="K218" s="3">
        <v>0.53</v>
      </c>
      <c r="L218" s="3">
        <v>0.62</v>
      </c>
      <c r="M218" s="3">
        <v>5.75</v>
      </c>
      <c r="N218" s="3">
        <v>0.98</v>
      </c>
      <c r="O218" s="3">
        <v>1.59</v>
      </c>
      <c r="P218" s="3">
        <v>450</v>
      </c>
    </row>
    <row r="219" spans="1:16" ht="15" customHeight="1" x14ac:dyDescent="0.3">
      <c r="A219" s="3">
        <v>218</v>
      </c>
      <c r="B219" s="3" t="s">
        <v>26</v>
      </c>
      <c r="C219" s="9" t="s">
        <v>14</v>
      </c>
      <c r="D219" s="3">
        <v>13.67</v>
      </c>
      <c r="E219" s="3">
        <v>1.25</v>
      </c>
      <c r="F219" s="3">
        <v>1.92</v>
      </c>
      <c r="G219" s="3">
        <v>18</v>
      </c>
      <c r="H219" s="3">
        <v>94</v>
      </c>
      <c r="I219" s="3">
        <v>2.1</v>
      </c>
      <c r="J219" s="3">
        <v>1.79</v>
      </c>
      <c r="K219" s="3">
        <v>0.32</v>
      </c>
      <c r="L219" s="3">
        <v>0.73</v>
      </c>
      <c r="M219" s="3">
        <v>3.8</v>
      </c>
      <c r="N219" s="3">
        <v>1.23</v>
      </c>
      <c r="O219" s="3">
        <v>2.46</v>
      </c>
      <c r="P219" s="3">
        <v>630</v>
      </c>
    </row>
    <row r="220" spans="1:16" ht="15" customHeight="1" x14ac:dyDescent="0.3">
      <c r="A220" s="3">
        <v>219</v>
      </c>
      <c r="B220" s="3" t="s">
        <v>26</v>
      </c>
      <c r="C220" s="9" t="s">
        <v>14</v>
      </c>
      <c r="D220" s="3">
        <v>12.37</v>
      </c>
      <c r="E220" s="3">
        <v>1.1299999999999999</v>
      </c>
      <c r="F220" s="3">
        <v>2.16</v>
      </c>
      <c r="G220" s="3">
        <v>19</v>
      </c>
      <c r="H220" s="3">
        <v>87</v>
      </c>
      <c r="I220" s="3">
        <v>3.5</v>
      </c>
      <c r="J220" s="3">
        <v>3.1</v>
      </c>
      <c r="K220" s="3">
        <v>0.19</v>
      </c>
      <c r="L220" s="3">
        <v>1.87</v>
      </c>
      <c r="M220" s="3">
        <v>4.45</v>
      </c>
      <c r="N220" s="3">
        <v>1.22</v>
      </c>
      <c r="O220" s="3">
        <v>2.87</v>
      </c>
      <c r="P220" s="3">
        <v>420</v>
      </c>
    </row>
    <row r="221" spans="1:16" ht="15" customHeight="1" x14ac:dyDescent="0.3">
      <c r="A221" s="3">
        <v>220</v>
      </c>
      <c r="B221" s="3" t="s">
        <v>26</v>
      </c>
      <c r="C221" s="9" t="s">
        <v>14</v>
      </c>
      <c r="D221" s="3">
        <v>12.17</v>
      </c>
      <c r="E221" s="3">
        <v>1.45</v>
      </c>
      <c r="F221" s="3">
        <v>2.5299999999999998</v>
      </c>
      <c r="G221" s="3">
        <v>19</v>
      </c>
      <c r="H221" s="3">
        <v>104</v>
      </c>
      <c r="I221" s="3">
        <v>1.89</v>
      </c>
      <c r="J221" s="3">
        <v>1.75</v>
      </c>
      <c r="K221" s="3">
        <v>0.45</v>
      </c>
      <c r="L221" s="3">
        <v>1.03</v>
      </c>
      <c r="M221" s="3">
        <v>2.95</v>
      </c>
      <c r="N221" s="3">
        <v>1.45</v>
      </c>
      <c r="O221" s="3">
        <v>2.23</v>
      </c>
      <c r="P221" s="3">
        <v>355</v>
      </c>
    </row>
    <row r="222" spans="1:16" ht="15" customHeight="1" x14ac:dyDescent="0.3">
      <c r="A222" s="3">
        <v>221</v>
      </c>
      <c r="B222" s="3" t="s">
        <v>26</v>
      </c>
      <c r="C222" s="9" t="s">
        <v>14</v>
      </c>
      <c r="D222" s="3">
        <v>12.37</v>
      </c>
      <c r="E222" s="3">
        <v>1.21</v>
      </c>
      <c r="F222" s="3">
        <v>2.56</v>
      </c>
      <c r="G222" s="3">
        <v>18.100000000000001</v>
      </c>
      <c r="H222" s="3">
        <v>98</v>
      </c>
      <c r="I222" s="3">
        <v>2.42</v>
      </c>
      <c r="J222" s="3">
        <v>2.65</v>
      </c>
      <c r="K222" s="3">
        <v>0.37</v>
      </c>
      <c r="L222" s="3">
        <v>2.08</v>
      </c>
      <c r="M222" s="3">
        <v>4.5999999999999996</v>
      </c>
      <c r="N222" s="3">
        <v>1.19</v>
      </c>
      <c r="O222" s="3">
        <v>2.2999999999999998</v>
      </c>
      <c r="P222" s="3">
        <v>678</v>
      </c>
    </row>
    <row r="223" spans="1:16" ht="15" customHeight="1" x14ac:dyDescent="0.3">
      <c r="A223" s="3">
        <v>222</v>
      </c>
      <c r="B223" s="3" t="s">
        <v>26</v>
      </c>
      <c r="C223" s="9" t="s">
        <v>14</v>
      </c>
      <c r="D223" s="3">
        <v>13.11</v>
      </c>
      <c r="E223" s="3">
        <v>1.01</v>
      </c>
      <c r="F223" s="3">
        <v>1.7</v>
      </c>
      <c r="G223" s="3">
        <v>15</v>
      </c>
      <c r="H223" s="3">
        <v>78</v>
      </c>
      <c r="I223" s="3">
        <v>2.98</v>
      </c>
      <c r="J223" s="3">
        <v>3.18</v>
      </c>
      <c r="K223" s="3">
        <v>0.26</v>
      </c>
      <c r="L223" s="3">
        <v>2.2799999999999998</v>
      </c>
      <c r="M223" s="3">
        <v>5.3</v>
      </c>
      <c r="N223" s="3">
        <v>1.1200000000000001</v>
      </c>
      <c r="O223" s="3">
        <v>3.18</v>
      </c>
      <c r="P223" s="3">
        <v>502</v>
      </c>
    </row>
    <row r="224" spans="1:16" ht="15" customHeight="1" x14ac:dyDescent="0.3">
      <c r="A224" s="3">
        <v>223</v>
      </c>
      <c r="B224" s="3" t="s">
        <v>26</v>
      </c>
      <c r="C224" s="9" t="s">
        <v>14</v>
      </c>
      <c r="D224" s="3">
        <v>12.37</v>
      </c>
      <c r="E224" s="3">
        <v>1.17</v>
      </c>
      <c r="F224" s="3">
        <v>1.92</v>
      </c>
      <c r="G224" s="3">
        <v>19.600000000000001</v>
      </c>
      <c r="H224" s="3">
        <v>78</v>
      </c>
      <c r="I224" s="3">
        <v>2.11</v>
      </c>
      <c r="J224" s="3">
        <v>2</v>
      </c>
      <c r="K224" s="3">
        <v>0.27</v>
      </c>
      <c r="L224" s="3">
        <v>1.04</v>
      </c>
      <c r="M224" s="3">
        <v>4.68</v>
      </c>
      <c r="N224" s="3">
        <v>1.1200000000000001</v>
      </c>
      <c r="O224" s="3">
        <v>3.48</v>
      </c>
      <c r="P224" s="3">
        <v>510</v>
      </c>
    </row>
    <row r="225" spans="1:16" ht="15" customHeight="1" x14ac:dyDescent="0.3">
      <c r="A225" s="3">
        <v>224</v>
      </c>
      <c r="B225" s="3" t="s">
        <v>26</v>
      </c>
      <c r="C225" s="9" t="s">
        <v>14</v>
      </c>
      <c r="D225" s="3">
        <v>13.34</v>
      </c>
      <c r="E225" s="3">
        <v>0.94</v>
      </c>
      <c r="F225" s="3">
        <v>2.36</v>
      </c>
      <c r="G225" s="3">
        <v>17</v>
      </c>
      <c r="H225" s="3">
        <v>110</v>
      </c>
      <c r="I225" s="3">
        <v>2.5299999999999998</v>
      </c>
      <c r="J225" s="3">
        <v>1.3</v>
      </c>
      <c r="K225" s="3">
        <v>0.55000000000000004</v>
      </c>
      <c r="L225" s="3">
        <v>0.42</v>
      </c>
      <c r="M225" s="3">
        <v>3.17</v>
      </c>
      <c r="N225" s="3">
        <v>1.02</v>
      </c>
      <c r="O225" s="3">
        <v>1.93</v>
      </c>
      <c r="P225" s="3">
        <v>750</v>
      </c>
    </row>
    <row r="226" spans="1:16" ht="15" customHeight="1" x14ac:dyDescent="0.3">
      <c r="A226" s="3">
        <v>225</v>
      </c>
      <c r="B226" s="3" t="s">
        <v>26</v>
      </c>
      <c r="C226" s="9" t="s">
        <v>14</v>
      </c>
      <c r="D226" s="3">
        <v>12.21</v>
      </c>
      <c r="E226" s="3">
        <v>1.19</v>
      </c>
      <c r="F226" s="3">
        <v>1.75</v>
      </c>
      <c r="G226" s="3">
        <v>16.8</v>
      </c>
      <c r="H226" s="3">
        <v>151</v>
      </c>
      <c r="I226" s="3">
        <v>1.85</v>
      </c>
      <c r="J226" s="3">
        <v>1.28</v>
      </c>
      <c r="K226" s="3">
        <v>0.14000000000000001</v>
      </c>
      <c r="L226" s="3">
        <v>2.5</v>
      </c>
      <c r="M226" s="3">
        <v>2.85</v>
      </c>
      <c r="N226" s="3">
        <v>1.28</v>
      </c>
      <c r="O226" s="3">
        <v>3.07</v>
      </c>
      <c r="P226" s="3">
        <v>718</v>
      </c>
    </row>
    <row r="227" spans="1:16" ht="15" customHeight="1" x14ac:dyDescent="0.3">
      <c r="A227" s="3">
        <v>226</v>
      </c>
      <c r="B227" s="3" t="s">
        <v>26</v>
      </c>
      <c r="C227" s="9" t="s">
        <v>14</v>
      </c>
      <c r="D227" s="3">
        <v>12.29</v>
      </c>
      <c r="E227" s="3">
        <v>1.61</v>
      </c>
      <c r="F227" s="3">
        <v>2.21</v>
      </c>
      <c r="G227" s="3">
        <v>20.399999999999999</v>
      </c>
      <c r="H227" s="3">
        <v>103</v>
      </c>
      <c r="I227" s="3">
        <v>1.1000000000000001</v>
      </c>
      <c r="J227" s="3">
        <v>1.02</v>
      </c>
      <c r="K227" s="3">
        <v>0.37</v>
      </c>
      <c r="L227" s="3">
        <v>1.46</v>
      </c>
      <c r="M227" s="3">
        <v>3.05</v>
      </c>
      <c r="N227" s="3">
        <v>0.90600000000000003</v>
      </c>
      <c r="O227" s="3">
        <v>1.82</v>
      </c>
      <c r="P227" s="3">
        <v>870</v>
      </c>
    </row>
    <row r="228" spans="1:16" ht="15" customHeight="1" x14ac:dyDescent="0.3">
      <c r="A228" s="3">
        <v>227</v>
      </c>
      <c r="B228" s="3" t="s">
        <v>26</v>
      </c>
      <c r="C228" s="9" t="s">
        <v>14</v>
      </c>
      <c r="D228" s="3">
        <v>13.86</v>
      </c>
      <c r="E228" s="3">
        <v>1.51</v>
      </c>
      <c r="F228" s="3">
        <v>2.67</v>
      </c>
      <c r="G228" s="3">
        <v>25</v>
      </c>
      <c r="H228" s="3">
        <v>86</v>
      </c>
      <c r="I228" s="3">
        <v>2.95</v>
      </c>
      <c r="J228" s="3">
        <v>2.86</v>
      </c>
      <c r="K228" s="3">
        <v>0.21</v>
      </c>
      <c r="L228" s="3">
        <v>1.87</v>
      </c>
      <c r="M228" s="3">
        <v>3.38</v>
      </c>
      <c r="N228" s="3">
        <v>1.36</v>
      </c>
      <c r="O228" s="3">
        <v>3.16</v>
      </c>
      <c r="P228" s="3">
        <v>410</v>
      </c>
    </row>
    <row r="229" spans="1:16" ht="15" customHeight="1" x14ac:dyDescent="0.3">
      <c r="A229" s="3">
        <v>228</v>
      </c>
      <c r="B229" s="3" t="s">
        <v>26</v>
      </c>
      <c r="C229" s="9" t="s">
        <v>14</v>
      </c>
      <c r="D229" s="3">
        <v>13.49</v>
      </c>
      <c r="E229" s="3">
        <v>1.66</v>
      </c>
      <c r="F229" s="3">
        <v>2.2400000000000002</v>
      </c>
      <c r="G229" s="3">
        <v>24</v>
      </c>
      <c r="H229" s="3">
        <v>87</v>
      </c>
      <c r="I229" s="3">
        <v>1.88</v>
      </c>
      <c r="J229" s="3">
        <v>1.84</v>
      </c>
      <c r="K229" s="3">
        <v>0.27</v>
      </c>
      <c r="L229" s="3">
        <v>1.03</v>
      </c>
      <c r="M229" s="3">
        <v>3.74</v>
      </c>
      <c r="N229" s="3">
        <v>0.98</v>
      </c>
      <c r="O229" s="3">
        <v>2.78</v>
      </c>
      <c r="P229" s="3">
        <v>472</v>
      </c>
    </row>
    <row r="230" spans="1:16" ht="15" customHeight="1" x14ac:dyDescent="0.3">
      <c r="A230" s="3">
        <v>229</v>
      </c>
      <c r="B230" s="3" t="s">
        <v>26</v>
      </c>
      <c r="C230" s="9" t="s">
        <v>14</v>
      </c>
      <c r="D230" s="3">
        <v>12.99</v>
      </c>
      <c r="E230" s="3">
        <v>1.67</v>
      </c>
      <c r="F230" s="3">
        <v>2.6</v>
      </c>
      <c r="G230" s="3">
        <v>30</v>
      </c>
      <c r="H230" s="3">
        <v>139</v>
      </c>
      <c r="I230" s="3">
        <v>3.3</v>
      </c>
      <c r="J230" s="3">
        <v>2.89</v>
      </c>
      <c r="K230" s="3">
        <v>0.21</v>
      </c>
      <c r="L230" s="3">
        <v>1.96</v>
      </c>
      <c r="M230" s="3">
        <v>3.35</v>
      </c>
      <c r="N230" s="3">
        <v>1.31</v>
      </c>
      <c r="O230" s="3">
        <v>3.5</v>
      </c>
      <c r="P230" s="3">
        <v>985</v>
      </c>
    </row>
    <row r="231" spans="1:16" ht="15" customHeight="1" x14ac:dyDescent="0.3">
      <c r="A231" s="3">
        <v>230</v>
      </c>
      <c r="B231" s="3" t="s">
        <v>26</v>
      </c>
      <c r="C231" s="9" t="s">
        <v>14</v>
      </c>
      <c r="D231" s="3">
        <v>11.96</v>
      </c>
      <c r="E231" s="3">
        <v>1.0900000000000001</v>
      </c>
      <c r="F231" s="3">
        <v>2.2999999999999998</v>
      </c>
      <c r="G231" s="3">
        <v>21</v>
      </c>
      <c r="H231" s="3">
        <v>101</v>
      </c>
      <c r="I231" s="3">
        <v>3.38</v>
      </c>
      <c r="J231" s="3">
        <v>2.14</v>
      </c>
      <c r="K231" s="3">
        <v>0.13</v>
      </c>
      <c r="L231" s="3">
        <v>1.65</v>
      </c>
      <c r="M231" s="3">
        <v>3.21</v>
      </c>
      <c r="N231" s="3">
        <v>0.99</v>
      </c>
      <c r="O231" s="3">
        <v>3.13</v>
      </c>
      <c r="P231" s="3">
        <v>886</v>
      </c>
    </row>
    <row r="232" spans="1:16" ht="15" customHeight="1" x14ac:dyDescent="0.3">
      <c r="A232" s="3">
        <v>231</v>
      </c>
      <c r="B232" s="3" t="s">
        <v>26</v>
      </c>
      <c r="C232" s="9" t="s">
        <v>14</v>
      </c>
      <c r="D232" s="3">
        <v>11.66</v>
      </c>
      <c r="E232" s="3">
        <v>1.88</v>
      </c>
      <c r="F232" s="3">
        <v>1.92</v>
      </c>
      <c r="G232" s="3">
        <v>16</v>
      </c>
      <c r="H232" s="3">
        <v>97</v>
      </c>
      <c r="I232" s="3">
        <v>1.61</v>
      </c>
      <c r="J232" s="3">
        <v>1.57</v>
      </c>
      <c r="K232" s="3">
        <v>0.34</v>
      </c>
      <c r="L232" s="3">
        <v>1.1499999999999999</v>
      </c>
      <c r="M232" s="3">
        <v>3.8</v>
      </c>
      <c r="N232" s="3">
        <v>1.23</v>
      </c>
      <c r="O232" s="3">
        <v>2.14</v>
      </c>
      <c r="P232" s="3">
        <v>428</v>
      </c>
    </row>
    <row r="233" spans="1:16" ht="15" customHeight="1" x14ac:dyDescent="0.3">
      <c r="A233" s="3">
        <v>232</v>
      </c>
      <c r="B233" s="3" t="s">
        <v>26</v>
      </c>
      <c r="C233" s="9" t="s">
        <v>14</v>
      </c>
      <c r="D233" s="3">
        <v>13.03</v>
      </c>
      <c r="E233" s="3">
        <v>0.9</v>
      </c>
      <c r="F233" s="3">
        <v>1.71</v>
      </c>
      <c r="G233" s="3">
        <v>16</v>
      </c>
      <c r="H233" s="3">
        <v>86</v>
      </c>
      <c r="I233" s="3">
        <v>1.95</v>
      </c>
      <c r="J233" s="3">
        <v>2.0299999999999998</v>
      </c>
      <c r="K233" s="3">
        <v>0.24</v>
      </c>
      <c r="L233" s="3">
        <v>1.46</v>
      </c>
      <c r="M233" s="3">
        <v>4.5999999999999996</v>
      </c>
      <c r="N233" s="3">
        <v>1.19</v>
      </c>
      <c r="O233" s="3">
        <v>2.48</v>
      </c>
      <c r="P233" s="3">
        <v>392</v>
      </c>
    </row>
    <row r="234" spans="1:16" ht="15" customHeight="1" x14ac:dyDescent="0.3">
      <c r="A234" s="3">
        <v>233</v>
      </c>
      <c r="B234" s="3" t="s">
        <v>26</v>
      </c>
      <c r="C234" s="9" t="s">
        <v>14</v>
      </c>
      <c r="D234" s="3">
        <v>11.84</v>
      </c>
      <c r="E234" s="3">
        <v>2.89</v>
      </c>
      <c r="F234" s="3">
        <v>2.23</v>
      </c>
      <c r="G234" s="3">
        <v>18</v>
      </c>
      <c r="H234" s="3">
        <v>112</v>
      </c>
      <c r="I234" s="3">
        <v>1.72</v>
      </c>
      <c r="J234" s="3">
        <v>1.32</v>
      </c>
      <c r="K234" s="3">
        <v>0.43</v>
      </c>
      <c r="L234" s="3">
        <v>0.95</v>
      </c>
      <c r="M234" s="3">
        <v>2.65</v>
      </c>
      <c r="N234" s="3">
        <v>0.96</v>
      </c>
      <c r="O234" s="3">
        <v>2.52</v>
      </c>
      <c r="P234" s="3">
        <v>500</v>
      </c>
    </row>
    <row r="235" spans="1:16" ht="15" customHeight="1" x14ac:dyDescent="0.3">
      <c r="A235" s="3">
        <v>234</v>
      </c>
      <c r="B235" s="3" t="s">
        <v>26</v>
      </c>
      <c r="C235" s="9" t="s">
        <v>14</v>
      </c>
      <c r="D235" s="3">
        <v>12.33</v>
      </c>
      <c r="E235" s="3">
        <v>0.99</v>
      </c>
      <c r="F235" s="3">
        <v>1.95</v>
      </c>
      <c r="G235" s="3">
        <v>14.8</v>
      </c>
      <c r="H235" s="3">
        <v>136</v>
      </c>
      <c r="I235" s="3">
        <v>1.9</v>
      </c>
      <c r="J235" s="3">
        <v>1.85</v>
      </c>
      <c r="K235" s="3">
        <v>0.35</v>
      </c>
      <c r="L235" s="3">
        <v>2.76</v>
      </c>
      <c r="M235" s="3">
        <v>3.4</v>
      </c>
      <c r="N235" s="3">
        <v>1.06</v>
      </c>
      <c r="O235" s="3">
        <v>2.31</v>
      </c>
      <c r="P235" s="3">
        <v>750</v>
      </c>
    </row>
    <row r="236" spans="1:16" ht="15" customHeight="1" x14ac:dyDescent="0.3">
      <c r="A236" s="3">
        <v>235</v>
      </c>
      <c r="B236" s="3" t="s">
        <v>26</v>
      </c>
      <c r="C236" s="9" t="s">
        <v>14</v>
      </c>
      <c r="D236" s="3">
        <v>12.7</v>
      </c>
      <c r="E236" s="3">
        <v>3.87</v>
      </c>
      <c r="F236" s="3">
        <v>2.4</v>
      </c>
      <c r="G236" s="3">
        <v>23</v>
      </c>
      <c r="H236" s="3">
        <v>101</v>
      </c>
      <c r="I236" s="3">
        <v>2.83</v>
      </c>
      <c r="J236" s="3">
        <v>2.5499999999999998</v>
      </c>
      <c r="K236" s="3">
        <v>0.43</v>
      </c>
      <c r="L236" s="3">
        <v>1.95</v>
      </c>
      <c r="M236" s="3">
        <v>2.57</v>
      </c>
      <c r="N236" s="3">
        <v>1.19</v>
      </c>
      <c r="O236" s="3">
        <v>3.13</v>
      </c>
      <c r="P236" s="3">
        <v>463</v>
      </c>
    </row>
    <row r="237" spans="1:16" ht="15" customHeight="1" x14ac:dyDescent="0.3">
      <c r="A237" s="3">
        <v>236</v>
      </c>
      <c r="B237" s="3" t="s">
        <v>26</v>
      </c>
      <c r="C237" s="9" t="s">
        <v>14</v>
      </c>
      <c r="D237" s="3">
        <v>12</v>
      </c>
      <c r="E237" s="3">
        <v>0.92</v>
      </c>
      <c r="F237" s="3">
        <v>2</v>
      </c>
      <c r="G237" s="3">
        <v>19</v>
      </c>
      <c r="H237" s="3">
        <v>86</v>
      </c>
      <c r="I237" s="3">
        <v>2.42</v>
      </c>
      <c r="J237" s="3">
        <v>2.2599999999999998</v>
      </c>
      <c r="K237" s="3">
        <v>0.3</v>
      </c>
      <c r="L237" s="3">
        <v>1.43</v>
      </c>
      <c r="M237" s="3">
        <v>2.5</v>
      </c>
      <c r="N237" s="3">
        <v>1.38</v>
      </c>
      <c r="O237" s="3">
        <v>3.12</v>
      </c>
      <c r="P237" s="3">
        <v>278</v>
      </c>
    </row>
    <row r="238" spans="1:16" ht="15" customHeight="1" x14ac:dyDescent="0.3">
      <c r="A238" s="3">
        <v>237</v>
      </c>
      <c r="B238" s="3" t="s">
        <v>26</v>
      </c>
      <c r="C238" s="9" t="s">
        <v>14</v>
      </c>
      <c r="D238" s="3">
        <v>12.72</v>
      </c>
      <c r="E238" s="3">
        <v>1.81</v>
      </c>
      <c r="F238" s="3">
        <v>2.2000000000000002</v>
      </c>
      <c r="G238" s="3">
        <v>18.8</v>
      </c>
      <c r="H238" s="3">
        <v>86</v>
      </c>
      <c r="I238" s="3">
        <v>2.2000000000000002</v>
      </c>
      <c r="J238" s="3">
        <v>2.5299999999999998</v>
      </c>
      <c r="K238" s="3">
        <v>0.26</v>
      </c>
      <c r="L238" s="3">
        <v>1.77</v>
      </c>
      <c r="M238" s="3">
        <v>3.9</v>
      </c>
      <c r="N238" s="3">
        <v>1.1599999999999999</v>
      </c>
      <c r="O238" s="3">
        <v>3.14</v>
      </c>
      <c r="P238" s="3">
        <v>714</v>
      </c>
    </row>
    <row r="239" spans="1:16" ht="15" customHeight="1" x14ac:dyDescent="0.3">
      <c r="A239" s="3">
        <v>238</v>
      </c>
      <c r="B239" s="3" t="s">
        <v>26</v>
      </c>
      <c r="C239" s="9" t="s">
        <v>14</v>
      </c>
      <c r="D239" s="3">
        <v>12.08</v>
      </c>
      <c r="E239" s="3">
        <v>1.1299999999999999</v>
      </c>
      <c r="F239" s="3">
        <v>2.5099999999999998</v>
      </c>
      <c r="G239" s="3">
        <v>24</v>
      </c>
      <c r="H239" s="3">
        <v>78</v>
      </c>
      <c r="I239" s="3">
        <v>2</v>
      </c>
      <c r="J239" s="3">
        <v>1.58</v>
      </c>
      <c r="K239" s="3">
        <v>0.4</v>
      </c>
      <c r="L239" s="3">
        <v>1.4</v>
      </c>
      <c r="M239" s="3">
        <v>2.2000000000000002</v>
      </c>
      <c r="N239" s="3">
        <v>1.31</v>
      </c>
      <c r="O239" s="3">
        <v>2.72</v>
      </c>
      <c r="P239" s="3">
        <v>630</v>
      </c>
    </row>
    <row r="240" spans="1:16" ht="15" customHeight="1" x14ac:dyDescent="0.3">
      <c r="A240" s="3">
        <v>239</v>
      </c>
      <c r="B240" s="3" t="s">
        <v>26</v>
      </c>
      <c r="C240" s="9" t="s">
        <v>14</v>
      </c>
      <c r="D240" s="3">
        <v>13.05</v>
      </c>
      <c r="E240" s="3">
        <v>3.86</v>
      </c>
      <c r="F240" s="3">
        <v>2.3199999999999998</v>
      </c>
      <c r="G240" s="3">
        <v>22.5</v>
      </c>
      <c r="H240" s="3">
        <v>85</v>
      </c>
      <c r="I240" s="3">
        <v>1.65</v>
      </c>
      <c r="J240" s="3">
        <v>1.59</v>
      </c>
      <c r="K240" s="3">
        <v>0.61</v>
      </c>
      <c r="L240" s="3">
        <v>1.62</v>
      </c>
      <c r="M240" s="3">
        <v>4.8</v>
      </c>
      <c r="N240" s="3">
        <v>0.84</v>
      </c>
      <c r="O240" s="3">
        <v>2.0099999999999998</v>
      </c>
      <c r="P240" s="3">
        <v>515</v>
      </c>
    </row>
    <row r="241" spans="1:16" ht="15" customHeight="1" x14ac:dyDescent="0.3">
      <c r="A241" s="3">
        <v>240</v>
      </c>
      <c r="B241" s="3" t="s">
        <v>26</v>
      </c>
      <c r="C241" s="9" t="s">
        <v>14</v>
      </c>
      <c r="D241" s="3">
        <v>11.84</v>
      </c>
      <c r="E241" s="3">
        <v>0.89</v>
      </c>
      <c r="F241" s="3">
        <v>2.58</v>
      </c>
      <c r="G241" s="3">
        <v>18</v>
      </c>
      <c r="H241" s="3">
        <v>94</v>
      </c>
      <c r="I241" s="3">
        <v>2.2000000000000002</v>
      </c>
      <c r="J241" s="3">
        <v>2.21</v>
      </c>
      <c r="K241" s="3">
        <v>0.22</v>
      </c>
      <c r="L241" s="3">
        <v>2.35</v>
      </c>
      <c r="M241" s="3">
        <v>3.05</v>
      </c>
      <c r="N241" s="3">
        <v>0.79</v>
      </c>
      <c r="O241" s="3">
        <v>3.08</v>
      </c>
      <c r="P241" s="3">
        <v>520</v>
      </c>
    </row>
    <row r="242" spans="1:16" ht="15" customHeight="1" x14ac:dyDescent="0.3">
      <c r="A242" s="3">
        <v>241</v>
      </c>
      <c r="B242" s="3" t="s">
        <v>26</v>
      </c>
      <c r="C242" s="9" t="s">
        <v>14</v>
      </c>
      <c r="D242" s="3">
        <v>12.67</v>
      </c>
      <c r="E242" s="3">
        <v>0.98</v>
      </c>
      <c r="F242" s="3">
        <v>2.2400000000000002</v>
      </c>
      <c r="G242" s="3">
        <v>18</v>
      </c>
      <c r="H242" s="3">
        <v>99</v>
      </c>
      <c r="I242" s="3">
        <v>2.2000000000000002</v>
      </c>
      <c r="J242" s="3">
        <v>1.94</v>
      </c>
      <c r="K242" s="3">
        <v>0.3</v>
      </c>
      <c r="L242" s="3">
        <v>1.46</v>
      </c>
      <c r="M242" s="3">
        <v>2.62</v>
      </c>
      <c r="N242" s="3">
        <v>1.23</v>
      </c>
      <c r="O242" s="3">
        <v>3.16</v>
      </c>
      <c r="P242" s="3">
        <v>450</v>
      </c>
    </row>
    <row r="243" spans="1:16" ht="15" customHeight="1" x14ac:dyDescent="0.3">
      <c r="A243" s="3">
        <v>242</v>
      </c>
      <c r="B243" s="3" t="s">
        <v>26</v>
      </c>
      <c r="C243" s="9" t="s">
        <v>14</v>
      </c>
      <c r="D243" s="3">
        <v>12.16</v>
      </c>
      <c r="E243" s="3">
        <v>1.61</v>
      </c>
      <c r="F243" s="3">
        <v>2.31</v>
      </c>
      <c r="G243" s="3">
        <v>22.8</v>
      </c>
      <c r="H243" s="3">
        <v>90</v>
      </c>
      <c r="I243" s="3">
        <v>1.78</v>
      </c>
      <c r="J243" s="3">
        <v>1.69</v>
      </c>
      <c r="K243" s="3">
        <v>0.43</v>
      </c>
      <c r="L243" s="3">
        <v>1.56</v>
      </c>
      <c r="M243" s="3">
        <v>2.4500000000000002</v>
      </c>
      <c r="N243" s="3">
        <v>1.33</v>
      </c>
      <c r="O243" s="3">
        <v>2.2599999999999998</v>
      </c>
      <c r="P243" s="3">
        <v>495</v>
      </c>
    </row>
    <row r="244" spans="1:16" ht="15" customHeight="1" x14ac:dyDescent="0.3">
      <c r="A244" s="3">
        <v>243</v>
      </c>
      <c r="B244" s="3" t="s">
        <v>26</v>
      </c>
      <c r="C244" s="9" t="s">
        <v>14</v>
      </c>
      <c r="D244" s="3">
        <v>11.65</v>
      </c>
      <c r="E244" s="3">
        <v>1.67</v>
      </c>
      <c r="F244" s="3">
        <v>2.62</v>
      </c>
      <c r="G244" s="3">
        <v>26</v>
      </c>
      <c r="H244" s="3">
        <v>88</v>
      </c>
      <c r="I244" s="3">
        <v>1.92</v>
      </c>
      <c r="J244" s="3">
        <v>1.61</v>
      </c>
      <c r="K244" s="3">
        <v>0.4</v>
      </c>
      <c r="L244" s="3">
        <v>1.34</v>
      </c>
      <c r="M244" s="3">
        <v>2.6</v>
      </c>
      <c r="N244" s="3">
        <v>1.36</v>
      </c>
      <c r="O244" s="3">
        <v>3.21</v>
      </c>
      <c r="P244" s="3">
        <v>562</v>
      </c>
    </row>
    <row r="245" spans="1:16" ht="15" customHeight="1" x14ac:dyDescent="0.3">
      <c r="A245" s="3">
        <v>244</v>
      </c>
      <c r="B245" s="3" t="s">
        <v>26</v>
      </c>
      <c r="C245" s="9" t="s">
        <v>14</v>
      </c>
      <c r="D245" s="3">
        <v>11.64</v>
      </c>
      <c r="E245" s="3">
        <v>2.06</v>
      </c>
      <c r="F245" s="3">
        <v>2.46</v>
      </c>
      <c r="G245" s="3">
        <v>21.6</v>
      </c>
      <c r="H245" s="3">
        <v>84</v>
      </c>
      <c r="I245" s="3">
        <v>1.95</v>
      </c>
      <c r="J245" s="3">
        <v>1.69</v>
      </c>
      <c r="K245" s="3">
        <v>0.48</v>
      </c>
      <c r="L245" s="3">
        <v>1.35</v>
      </c>
      <c r="M245" s="3">
        <v>2.8</v>
      </c>
      <c r="N245" s="3">
        <v>1</v>
      </c>
      <c r="O245" s="3">
        <v>2.75</v>
      </c>
      <c r="P245" s="3">
        <v>680</v>
      </c>
    </row>
    <row r="246" spans="1:16" ht="15" customHeight="1" x14ac:dyDescent="0.3">
      <c r="A246" s="3">
        <v>245</v>
      </c>
      <c r="B246" s="3" t="s">
        <v>26</v>
      </c>
      <c r="C246" s="9" t="s">
        <v>14</v>
      </c>
      <c r="D246" s="3">
        <v>12.08</v>
      </c>
      <c r="E246" s="3">
        <v>1.33</v>
      </c>
      <c r="F246" s="3">
        <v>2.2999999999999998</v>
      </c>
      <c r="G246" s="3">
        <v>23.6</v>
      </c>
      <c r="H246" s="3">
        <v>70</v>
      </c>
      <c r="I246" s="3">
        <v>2.2000000000000002</v>
      </c>
      <c r="J246" s="3">
        <v>1.59</v>
      </c>
      <c r="K246" s="3">
        <v>0.42</v>
      </c>
      <c r="L246" s="3">
        <v>1.38</v>
      </c>
      <c r="M246" s="3">
        <v>1.74</v>
      </c>
      <c r="N246" s="3">
        <v>1.07</v>
      </c>
      <c r="O246" s="3">
        <v>3.21</v>
      </c>
      <c r="P246" s="3">
        <v>625</v>
      </c>
    </row>
    <row r="247" spans="1:16" ht="15" customHeight="1" x14ac:dyDescent="0.3">
      <c r="A247" s="3">
        <v>246</v>
      </c>
      <c r="B247" s="3" t="s">
        <v>26</v>
      </c>
      <c r="C247" s="9" t="s">
        <v>14</v>
      </c>
      <c r="D247" s="3">
        <v>12.08</v>
      </c>
      <c r="E247" s="3">
        <v>1.83</v>
      </c>
      <c r="F247" s="3">
        <v>2.3199999999999998</v>
      </c>
      <c r="G247" s="3">
        <v>18.5</v>
      </c>
      <c r="H247" s="3">
        <v>81</v>
      </c>
      <c r="I247" s="3">
        <v>1.6</v>
      </c>
      <c r="J247" s="3">
        <v>1.5</v>
      </c>
      <c r="K247" s="3">
        <v>0.52</v>
      </c>
      <c r="L247" s="3">
        <v>1.64</v>
      </c>
      <c r="M247" s="3">
        <v>2.4</v>
      </c>
      <c r="N247" s="3">
        <v>1.08</v>
      </c>
      <c r="O247" s="3">
        <v>2.27</v>
      </c>
      <c r="P247" s="3">
        <v>480</v>
      </c>
    </row>
    <row r="248" spans="1:16" ht="15" customHeight="1" x14ac:dyDescent="0.3">
      <c r="A248" s="3">
        <v>247</v>
      </c>
      <c r="B248" s="3" t="s">
        <v>26</v>
      </c>
      <c r="C248" s="9" t="s">
        <v>14</v>
      </c>
      <c r="D248" s="3">
        <v>12</v>
      </c>
      <c r="E248" s="3">
        <v>1.51</v>
      </c>
      <c r="F248" s="3">
        <v>2.42</v>
      </c>
      <c r="G248" s="3">
        <v>22</v>
      </c>
      <c r="H248" s="3">
        <v>86</v>
      </c>
      <c r="I248" s="3">
        <v>1.45</v>
      </c>
      <c r="J248" s="3">
        <v>1.25</v>
      </c>
      <c r="K248" s="3">
        <v>0.5</v>
      </c>
      <c r="L248" s="3">
        <v>1.63</v>
      </c>
      <c r="M248" s="3">
        <v>3.6</v>
      </c>
      <c r="N248" s="3">
        <v>1.05</v>
      </c>
      <c r="O248" s="3">
        <v>2.65</v>
      </c>
      <c r="P248" s="3">
        <v>450</v>
      </c>
    </row>
    <row r="249" spans="1:16" ht="15" customHeight="1" x14ac:dyDescent="0.3">
      <c r="A249" s="3">
        <v>248</v>
      </c>
      <c r="B249" s="3" t="s">
        <v>26</v>
      </c>
      <c r="C249" s="9" t="s">
        <v>14</v>
      </c>
      <c r="D249" s="3">
        <v>12.69</v>
      </c>
      <c r="E249" s="3">
        <v>1.53</v>
      </c>
      <c r="F249" s="3">
        <v>2.2599999999999998</v>
      </c>
      <c r="G249" s="3">
        <v>20.7</v>
      </c>
      <c r="H249" s="3">
        <v>80</v>
      </c>
      <c r="I249" s="3">
        <v>1.38</v>
      </c>
      <c r="J249" s="3">
        <v>1.46</v>
      </c>
      <c r="K249" s="3">
        <v>0.57999999999999996</v>
      </c>
      <c r="L249" s="3">
        <v>1.62</v>
      </c>
      <c r="M249" s="3">
        <v>3.05</v>
      </c>
      <c r="N249" s="3">
        <v>0.96</v>
      </c>
      <c r="O249" s="3">
        <v>2.06</v>
      </c>
      <c r="P249" s="3">
        <v>495</v>
      </c>
    </row>
    <row r="250" spans="1:16" ht="15" customHeight="1" x14ac:dyDescent="0.3">
      <c r="A250" s="3">
        <v>249</v>
      </c>
      <c r="B250" s="3" t="s">
        <v>26</v>
      </c>
      <c r="C250" s="9" t="s">
        <v>14</v>
      </c>
      <c r="D250" s="3">
        <v>12.29</v>
      </c>
      <c r="E250" s="3">
        <v>2.83</v>
      </c>
      <c r="F250" s="3">
        <v>2.2200000000000002</v>
      </c>
      <c r="G250" s="3">
        <v>18</v>
      </c>
      <c r="H250" s="3">
        <v>88</v>
      </c>
      <c r="I250" s="3">
        <v>2.4500000000000002</v>
      </c>
      <c r="J250" s="3">
        <v>2.25</v>
      </c>
      <c r="K250" s="3">
        <v>0.25</v>
      </c>
      <c r="L250" s="3">
        <v>1.99</v>
      </c>
      <c r="M250" s="3">
        <v>2.15</v>
      </c>
      <c r="N250" s="3">
        <v>1.1499999999999999</v>
      </c>
      <c r="O250" s="3">
        <v>3.3</v>
      </c>
      <c r="P250" s="3">
        <v>290</v>
      </c>
    </row>
    <row r="251" spans="1:16" ht="15" customHeight="1" x14ac:dyDescent="0.3">
      <c r="A251" s="3">
        <v>250</v>
      </c>
      <c r="B251" s="3" t="s">
        <v>26</v>
      </c>
      <c r="C251" s="9" t="s">
        <v>14</v>
      </c>
      <c r="D251" s="3">
        <v>11.62</v>
      </c>
      <c r="E251" s="3">
        <v>1.99</v>
      </c>
      <c r="F251" s="3">
        <v>2.2799999999999998</v>
      </c>
      <c r="G251" s="3">
        <v>18</v>
      </c>
      <c r="H251" s="3">
        <v>98</v>
      </c>
      <c r="I251" s="3">
        <v>3.02</v>
      </c>
      <c r="J251" s="3">
        <v>2.2599999999999998</v>
      </c>
      <c r="K251" s="3">
        <v>0.17</v>
      </c>
      <c r="L251" s="3">
        <v>1.35</v>
      </c>
      <c r="M251" s="3">
        <v>3.25</v>
      </c>
      <c r="N251" s="3">
        <v>1.1599999999999999</v>
      </c>
      <c r="O251" s="3">
        <v>2.96</v>
      </c>
      <c r="P251" s="3">
        <v>345</v>
      </c>
    </row>
    <row r="252" spans="1:16" ht="15" customHeight="1" x14ac:dyDescent="0.3">
      <c r="A252" s="3">
        <v>251</v>
      </c>
      <c r="B252" s="3" t="s">
        <v>26</v>
      </c>
      <c r="C252" s="9" t="s">
        <v>14</v>
      </c>
      <c r="D252" s="3">
        <v>12.47</v>
      </c>
      <c r="E252" s="3">
        <v>1.52</v>
      </c>
      <c r="F252" s="3">
        <v>2.2000000000000002</v>
      </c>
      <c r="G252" s="3">
        <v>19</v>
      </c>
      <c r="H252" s="3">
        <v>162</v>
      </c>
      <c r="I252" s="3">
        <v>2.5</v>
      </c>
      <c r="J252" s="3">
        <v>2.27</v>
      </c>
      <c r="K252" s="3">
        <v>0.32</v>
      </c>
      <c r="L252" s="3">
        <v>3.28</v>
      </c>
      <c r="M252" s="3">
        <v>2.6</v>
      </c>
      <c r="N252" s="3">
        <v>1.1599999999999999</v>
      </c>
      <c r="O252" s="3">
        <v>2.63</v>
      </c>
      <c r="P252" s="3">
        <v>937</v>
      </c>
    </row>
    <row r="253" spans="1:16" ht="15" customHeight="1" x14ac:dyDescent="0.3">
      <c r="A253" s="3">
        <v>252</v>
      </c>
      <c r="B253" s="3" t="s">
        <v>26</v>
      </c>
      <c r="C253" s="9" t="s">
        <v>14</v>
      </c>
      <c r="D253" s="3">
        <v>11.81</v>
      </c>
      <c r="E253" s="3">
        <v>2.12</v>
      </c>
      <c r="F253" s="3">
        <v>2.74</v>
      </c>
      <c r="G253" s="3">
        <v>21.5</v>
      </c>
      <c r="H253" s="3">
        <v>134</v>
      </c>
      <c r="I253" s="3">
        <v>1.6</v>
      </c>
      <c r="J253" s="3">
        <v>0.99</v>
      </c>
      <c r="K253" s="3">
        <v>0.14000000000000001</v>
      </c>
      <c r="L253" s="3">
        <v>1.56</v>
      </c>
      <c r="M253" s="3">
        <v>2.5</v>
      </c>
      <c r="N253" s="3">
        <v>0.95</v>
      </c>
      <c r="O253" s="3">
        <v>2.2599999999999998</v>
      </c>
      <c r="P253" s="3">
        <v>625</v>
      </c>
    </row>
    <row r="254" spans="1:16" ht="15" customHeight="1" x14ac:dyDescent="0.3">
      <c r="A254" s="3">
        <v>253</v>
      </c>
      <c r="B254" s="3" t="s">
        <v>26</v>
      </c>
      <c r="C254" s="9" t="s">
        <v>14</v>
      </c>
      <c r="D254" s="3">
        <v>12.29</v>
      </c>
      <c r="E254" s="3">
        <v>1.41</v>
      </c>
      <c r="F254" s="3">
        <v>1.98</v>
      </c>
      <c r="G254" s="3">
        <v>16</v>
      </c>
      <c r="H254" s="3">
        <v>85</v>
      </c>
      <c r="I254" s="3">
        <v>2.5499999999999998</v>
      </c>
      <c r="J254" s="3">
        <v>2.5</v>
      </c>
      <c r="K254" s="3">
        <v>0.28999999999999998</v>
      </c>
      <c r="L254" s="3">
        <v>1.77</v>
      </c>
      <c r="M254" s="3">
        <v>2.9</v>
      </c>
      <c r="N254" s="3">
        <v>1.23</v>
      </c>
      <c r="O254" s="3">
        <v>2.74</v>
      </c>
      <c r="P254" s="3">
        <v>428</v>
      </c>
    </row>
    <row r="255" spans="1:16" ht="15" customHeight="1" x14ac:dyDescent="0.3">
      <c r="A255" s="3">
        <v>254</v>
      </c>
      <c r="B255" s="3" t="s">
        <v>26</v>
      </c>
      <c r="C255" s="9" t="s">
        <v>14</v>
      </c>
      <c r="D255" s="3">
        <v>12.37</v>
      </c>
      <c r="E255" s="3">
        <v>1.07</v>
      </c>
      <c r="F255" s="3">
        <v>2.1</v>
      </c>
      <c r="G255" s="3">
        <v>18.5</v>
      </c>
      <c r="H255" s="3">
        <v>88</v>
      </c>
      <c r="I255" s="3">
        <v>3.52</v>
      </c>
      <c r="J255" s="3">
        <v>3.75</v>
      </c>
      <c r="K255" s="3">
        <v>0.24</v>
      </c>
      <c r="L255" s="3">
        <v>1.95</v>
      </c>
      <c r="M255" s="3">
        <v>4.5</v>
      </c>
      <c r="N255" s="3">
        <v>1.04</v>
      </c>
      <c r="O255" s="3">
        <v>2.77</v>
      </c>
      <c r="P255" s="3">
        <v>660</v>
      </c>
    </row>
    <row r="256" spans="1:16" ht="15" customHeight="1" x14ac:dyDescent="0.3">
      <c r="A256" s="3">
        <v>255</v>
      </c>
      <c r="B256" s="3" t="s">
        <v>26</v>
      </c>
      <c r="C256" s="9" t="s">
        <v>14</v>
      </c>
      <c r="D256" s="3">
        <v>12.29</v>
      </c>
      <c r="E256" s="3">
        <v>3.17</v>
      </c>
      <c r="F256" s="3">
        <v>2.21</v>
      </c>
      <c r="G256" s="3">
        <v>18</v>
      </c>
      <c r="H256" s="3">
        <v>88</v>
      </c>
      <c r="I256" s="3">
        <v>2.85</v>
      </c>
      <c r="J256" s="3">
        <v>2.99</v>
      </c>
      <c r="K256" s="3">
        <v>0.45</v>
      </c>
      <c r="L256" s="3">
        <v>2.81</v>
      </c>
      <c r="M256" s="3">
        <v>2.2999999999999998</v>
      </c>
      <c r="N256" s="3">
        <v>1.42</v>
      </c>
      <c r="O256" s="3">
        <v>2.83</v>
      </c>
      <c r="P256" s="3">
        <v>406</v>
      </c>
    </row>
    <row r="257" spans="1:16" ht="15" customHeight="1" x14ac:dyDescent="0.3">
      <c r="A257" s="3">
        <v>256</v>
      </c>
      <c r="B257" s="3" t="s">
        <v>26</v>
      </c>
      <c r="C257" s="9" t="s">
        <v>14</v>
      </c>
      <c r="D257" s="3">
        <v>12.08</v>
      </c>
      <c r="E257" s="3">
        <v>2.08</v>
      </c>
      <c r="F257" s="3">
        <v>1.7</v>
      </c>
      <c r="G257" s="3">
        <v>17.5</v>
      </c>
      <c r="H257" s="3">
        <v>97</v>
      </c>
      <c r="I257" s="3">
        <v>2.23</v>
      </c>
      <c r="J257" s="3">
        <v>2.17</v>
      </c>
      <c r="K257" s="3">
        <v>0.26</v>
      </c>
      <c r="L257" s="3">
        <v>1.4</v>
      </c>
      <c r="M257" s="3">
        <v>3.3</v>
      </c>
      <c r="N257" s="3">
        <v>1.27</v>
      </c>
      <c r="O257" s="3">
        <v>2.96</v>
      </c>
      <c r="P257" s="3">
        <v>710</v>
      </c>
    </row>
    <row r="258" spans="1:16" ht="15" customHeight="1" x14ac:dyDescent="0.3">
      <c r="A258" s="3">
        <v>257</v>
      </c>
      <c r="B258" s="3" t="s">
        <v>26</v>
      </c>
      <c r="C258" s="9" t="s">
        <v>14</v>
      </c>
      <c r="D258" s="3">
        <v>12.6</v>
      </c>
      <c r="E258" s="3">
        <v>1.34</v>
      </c>
      <c r="F258" s="3">
        <v>1.9</v>
      </c>
      <c r="G258" s="3">
        <v>18.5</v>
      </c>
      <c r="H258" s="3">
        <v>88</v>
      </c>
      <c r="I258" s="3">
        <v>1.45</v>
      </c>
      <c r="J258" s="3">
        <v>1.36</v>
      </c>
      <c r="K258" s="3">
        <v>0.28999999999999998</v>
      </c>
      <c r="L258" s="3">
        <v>1.35</v>
      </c>
      <c r="M258" s="3">
        <v>2.4500000000000002</v>
      </c>
      <c r="N258" s="3">
        <v>1.04</v>
      </c>
      <c r="O258" s="3">
        <v>2.77</v>
      </c>
      <c r="P258" s="3">
        <v>562</v>
      </c>
    </row>
    <row r="259" spans="1:16" ht="15" customHeight="1" x14ac:dyDescent="0.3">
      <c r="A259" s="3">
        <v>258</v>
      </c>
      <c r="B259" s="3" t="s">
        <v>26</v>
      </c>
      <c r="C259" s="9" t="s">
        <v>14</v>
      </c>
      <c r="D259" s="3">
        <v>12.34</v>
      </c>
      <c r="E259" s="3">
        <v>2.4500000000000002</v>
      </c>
      <c r="F259" s="3">
        <v>2.46</v>
      </c>
      <c r="G259" s="3">
        <v>21</v>
      </c>
      <c r="H259" s="3">
        <v>98</v>
      </c>
      <c r="I259" s="3">
        <v>2.56</v>
      </c>
      <c r="J259" s="3">
        <v>2.11</v>
      </c>
      <c r="K259" s="3">
        <v>0.34</v>
      </c>
      <c r="L259" s="3">
        <v>1.31</v>
      </c>
      <c r="M259" s="3">
        <v>2.8</v>
      </c>
      <c r="N259" s="3">
        <v>0.8</v>
      </c>
      <c r="O259" s="3">
        <v>3.38</v>
      </c>
      <c r="P259" s="3">
        <v>438</v>
      </c>
    </row>
    <row r="260" spans="1:16" ht="15" customHeight="1" x14ac:dyDescent="0.3">
      <c r="A260" s="3">
        <v>259</v>
      </c>
      <c r="B260" s="3" t="s">
        <v>26</v>
      </c>
      <c r="C260" s="9" t="s">
        <v>14</v>
      </c>
      <c r="D260" s="3">
        <v>11.82</v>
      </c>
      <c r="E260" s="3">
        <v>1.72</v>
      </c>
      <c r="F260" s="3">
        <v>1.88</v>
      </c>
      <c r="G260" s="3">
        <v>19.5</v>
      </c>
      <c r="H260" s="3">
        <v>86</v>
      </c>
      <c r="I260" s="3">
        <v>2.5</v>
      </c>
      <c r="J260" s="3">
        <v>1.64</v>
      </c>
      <c r="K260" s="3">
        <v>0.37</v>
      </c>
      <c r="L260" s="3">
        <v>1.42</v>
      </c>
      <c r="M260" s="3">
        <v>2.06</v>
      </c>
      <c r="N260" s="3">
        <v>0.94</v>
      </c>
      <c r="O260" s="3">
        <v>2.44</v>
      </c>
      <c r="P260" s="3">
        <v>415</v>
      </c>
    </row>
    <row r="261" spans="1:16" ht="15" customHeight="1" x14ac:dyDescent="0.3">
      <c r="A261" s="3">
        <v>260</v>
      </c>
      <c r="B261" s="3" t="s">
        <v>26</v>
      </c>
      <c r="C261" s="9" t="s">
        <v>14</v>
      </c>
      <c r="D261" s="3">
        <v>12.51</v>
      </c>
      <c r="E261" s="3">
        <v>1.73</v>
      </c>
      <c r="F261" s="3">
        <v>1.98</v>
      </c>
      <c r="G261" s="3">
        <v>20.5</v>
      </c>
      <c r="H261" s="3">
        <v>85</v>
      </c>
      <c r="I261" s="3">
        <v>2.2000000000000002</v>
      </c>
      <c r="J261" s="3">
        <v>1.92</v>
      </c>
      <c r="K261" s="3">
        <v>0.32</v>
      </c>
      <c r="L261" s="3">
        <v>1.48</v>
      </c>
      <c r="M261" s="3">
        <v>2.94</v>
      </c>
      <c r="N261" s="3">
        <v>1.04</v>
      </c>
      <c r="O261" s="3">
        <v>3.57</v>
      </c>
      <c r="P261" s="3">
        <v>672</v>
      </c>
    </row>
    <row r="262" spans="1:16" ht="15" customHeight="1" x14ac:dyDescent="0.3">
      <c r="A262" s="3">
        <v>261</v>
      </c>
      <c r="B262" s="3" t="s">
        <v>26</v>
      </c>
      <c r="C262" s="9" t="s">
        <v>14</v>
      </c>
      <c r="D262" s="3">
        <v>12.42</v>
      </c>
      <c r="E262" s="3">
        <v>2.5499999999999998</v>
      </c>
      <c r="F262" s="3">
        <v>2.27</v>
      </c>
      <c r="G262" s="3">
        <v>22</v>
      </c>
      <c r="H262" s="3">
        <v>90</v>
      </c>
      <c r="I262" s="3">
        <v>1.68</v>
      </c>
      <c r="J262" s="3">
        <v>1.84</v>
      </c>
      <c r="K262" s="3">
        <v>0.66</v>
      </c>
      <c r="L262" s="3">
        <v>1.42</v>
      </c>
      <c r="M262" s="3">
        <v>2.7</v>
      </c>
      <c r="N262" s="3">
        <v>0.86</v>
      </c>
      <c r="O262" s="3">
        <v>3.3</v>
      </c>
      <c r="P262" s="3">
        <v>315</v>
      </c>
    </row>
    <row r="263" spans="1:16" ht="15" customHeight="1" x14ac:dyDescent="0.3">
      <c r="A263" s="3">
        <v>262</v>
      </c>
      <c r="B263" s="3" t="s">
        <v>26</v>
      </c>
      <c r="C263" s="9" t="s">
        <v>14</v>
      </c>
      <c r="D263" s="3">
        <v>12.25</v>
      </c>
      <c r="E263" s="3">
        <v>1.73</v>
      </c>
      <c r="F263" s="3">
        <v>2.12</v>
      </c>
      <c r="G263" s="3">
        <v>19</v>
      </c>
      <c r="H263" s="3">
        <v>80</v>
      </c>
      <c r="I263" s="3">
        <v>1.65</v>
      </c>
      <c r="J263" s="3">
        <v>2.0299999999999998</v>
      </c>
      <c r="K263" s="3">
        <v>0.37</v>
      </c>
      <c r="L263" s="3">
        <v>1.63</v>
      </c>
      <c r="M263" s="3">
        <v>3.4</v>
      </c>
      <c r="N263" s="3">
        <v>1</v>
      </c>
      <c r="O263" s="3">
        <v>3.17</v>
      </c>
      <c r="P263" s="3">
        <v>510</v>
      </c>
    </row>
    <row r="264" spans="1:16" ht="15" customHeight="1" x14ac:dyDescent="0.3">
      <c r="A264" s="3">
        <v>263</v>
      </c>
      <c r="B264" s="3" t="s">
        <v>26</v>
      </c>
      <c r="C264" s="9" t="s">
        <v>14</v>
      </c>
      <c r="D264" s="3">
        <v>12.72</v>
      </c>
      <c r="E264" s="3">
        <v>1.75</v>
      </c>
      <c r="F264" s="3">
        <v>2.2799999999999998</v>
      </c>
      <c r="G264" s="3">
        <v>22.5</v>
      </c>
      <c r="H264" s="3">
        <v>84</v>
      </c>
      <c r="I264" s="3">
        <v>1.38</v>
      </c>
      <c r="J264" s="3">
        <v>1.76</v>
      </c>
      <c r="K264" s="3">
        <v>0.48</v>
      </c>
      <c r="L264" s="3">
        <v>1.63</v>
      </c>
      <c r="M264" s="3">
        <v>3.3</v>
      </c>
      <c r="N264" s="3">
        <v>0.88</v>
      </c>
      <c r="O264" s="3">
        <v>2.42</v>
      </c>
      <c r="P264" s="3">
        <v>488</v>
      </c>
    </row>
    <row r="265" spans="1:16" ht="15" customHeight="1" x14ac:dyDescent="0.3">
      <c r="A265" s="3">
        <v>264</v>
      </c>
      <c r="B265" s="3" t="s">
        <v>26</v>
      </c>
      <c r="C265" s="9" t="s">
        <v>14</v>
      </c>
      <c r="D265" s="3">
        <v>12.22</v>
      </c>
      <c r="E265" s="3">
        <v>1.29</v>
      </c>
      <c r="F265" s="3">
        <v>1.94</v>
      </c>
      <c r="G265" s="3">
        <v>19</v>
      </c>
      <c r="H265" s="3">
        <v>92</v>
      </c>
      <c r="I265" s="3">
        <v>2.36</v>
      </c>
      <c r="J265" s="3">
        <v>2.04</v>
      </c>
      <c r="K265" s="3">
        <v>0.39</v>
      </c>
      <c r="L265" s="3">
        <v>2.08</v>
      </c>
      <c r="M265" s="3">
        <v>2.7</v>
      </c>
      <c r="N265" s="3">
        <v>0.86</v>
      </c>
      <c r="O265" s="3">
        <v>3.02</v>
      </c>
      <c r="P265" s="3">
        <v>312</v>
      </c>
    </row>
    <row r="266" spans="1:16" ht="15" customHeight="1" x14ac:dyDescent="0.3">
      <c r="A266" s="3">
        <v>265</v>
      </c>
      <c r="B266" s="3" t="s">
        <v>26</v>
      </c>
      <c r="C266" s="9" t="s">
        <v>14</v>
      </c>
      <c r="D266" s="3">
        <v>11.61</v>
      </c>
      <c r="E266" s="3">
        <v>1.35</v>
      </c>
      <c r="F266" s="3">
        <v>2.7</v>
      </c>
      <c r="G266" s="3">
        <v>20</v>
      </c>
      <c r="H266" s="3">
        <v>94</v>
      </c>
      <c r="I266" s="3">
        <v>2.74</v>
      </c>
      <c r="J266" s="3">
        <v>2.92</v>
      </c>
      <c r="K266" s="3">
        <v>0.28999999999999998</v>
      </c>
      <c r="L266" s="3">
        <v>2.4900000000000002</v>
      </c>
      <c r="M266" s="3">
        <v>2.65</v>
      </c>
      <c r="N266" s="3">
        <v>0.96</v>
      </c>
      <c r="O266" s="3">
        <v>3.26</v>
      </c>
      <c r="P266" s="3">
        <v>680</v>
      </c>
    </row>
    <row r="267" spans="1:16" ht="15" customHeight="1" x14ac:dyDescent="0.3">
      <c r="A267" s="3">
        <v>266</v>
      </c>
      <c r="B267" s="3" t="s">
        <v>26</v>
      </c>
      <c r="C267" s="9" t="s">
        <v>14</v>
      </c>
      <c r="D267" s="3">
        <v>11.46</v>
      </c>
      <c r="E267" s="3">
        <v>3.74</v>
      </c>
      <c r="F267" s="3">
        <v>1.82</v>
      </c>
      <c r="G267" s="3">
        <v>19.5</v>
      </c>
      <c r="H267" s="3">
        <v>107</v>
      </c>
      <c r="I267" s="3">
        <v>3.18</v>
      </c>
      <c r="J267" s="3">
        <v>2.58</v>
      </c>
      <c r="K267" s="3">
        <v>0.24</v>
      </c>
      <c r="L267" s="3">
        <v>3.58</v>
      </c>
      <c r="M267" s="3">
        <v>2.9</v>
      </c>
      <c r="N267" s="3">
        <v>0.75</v>
      </c>
      <c r="O267" s="3">
        <v>2.81</v>
      </c>
      <c r="P267" s="3">
        <v>562</v>
      </c>
    </row>
    <row r="268" spans="1:16" ht="15" customHeight="1" x14ac:dyDescent="0.3">
      <c r="A268" s="3">
        <v>267</v>
      </c>
      <c r="B268" s="3" t="s">
        <v>26</v>
      </c>
      <c r="C268" s="9" t="s">
        <v>14</v>
      </c>
      <c r="D268" s="3">
        <v>12.52</v>
      </c>
      <c r="E268" s="3">
        <v>2.4300000000000002</v>
      </c>
      <c r="F268" s="3">
        <v>2.17</v>
      </c>
      <c r="G268" s="3">
        <v>21</v>
      </c>
      <c r="H268" s="3">
        <v>88</v>
      </c>
      <c r="I268" s="3">
        <v>2.5499999999999998</v>
      </c>
      <c r="J268" s="3">
        <v>2.27</v>
      </c>
      <c r="K268" s="3">
        <v>0.26</v>
      </c>
      <c r="L268" s="3">
        <v>1.22</v>
      </c>
      <c r="M268" s="3">
        <v>2</v>
      </c>
      <c r="N268" s="3">
        <v>0.9</v>
      </c>
      <c r="O268" s="3">
        <v>2.78</v>
      </c>
      <c r="P268" s="3">
        <v>325</v>
      </c>
    </row>
    <row r="269" spans="1:16" ht="15" customHeight="1" x14ac:dyDescent="0.3">
      <c r="A269" s="3">
        <v>268</v>
      </c>
      <c r="B269" s="3" t="s">
        <v>26</v>
      </c>
      <c r="C269" s="9" t="s">
        <v>14</v>
      </c>
      <c r="D269" s="3">
        <v>11.76</v>
      </c>
      <c r="E269" s="3">
        <v>2.68</v>
      </c>
      <c r="F269" s="3">
        <v>2.92</v>
      </c>
      <c r="G269" s="3">
        <v>20</v>
      </c>
      <c r="H269" s="3">
        <v>103</v>
      </c>
      <c r="I269" s="3">
        <v>1.75</v>
      </c>
      <c r="J269" s="3">
        <v>2.0299999999999998</v>
      </c>
      <c r="K269" s="3">
        <v>0.6</v>
      </c>
      <c r="L269" s="3">
        <v>1.05</v>
      </c>
      <c r="M269" s="3">
        <v>3.8</v>
      </c>
      <c r="N269" s="3">
        <v>1.23</v>
      </c>
      <c r="O269" s="3">
        <v>2.5</v>
      </c>
      <c r="P269" s="3">
        <v>607</v>
      </c>
    </row>
    <row r="270" spans="1:16" ht="15" customHeight="1" x14ac:dyDescent="0.3">
      <c r="A270" s="3">
        <v>269</v>
      </c>
      <c r="B270" s="3" t="s">
        <v>26</v>
      </c>
      <c r="C270" s="9" t="s">
        <v>14</v>
      </c>
      <c r="D270" s="3">
        <v>11.41</v>
      </c>
      <c r="E270" s="3">
        <v>0.74</v>
      </c>
      <c r="F270" s="3">
        <v>2.5</v>
      </c>
      <c r="G270" s="3">
        <v>21</v>
      </c>
      <c r="H270" s="3">
        <v>88</v>
      </c>
      <c r="I270" s="3">
        <v>2.48</v>
      </c>
      <c r="J270" s="3">
        <v>2.0099999999999998</v>
      </c>
      <c r="K270" s="3">
        <v>0.42</v>
      </c>
      <c r="L270" s="3">
        <v>1.44</v>
      </c>
      <c r="M270" s="3">
        <v>3.08</v>
      </c>
      <c r="N270" s="3">
        <v>1.1000000000000001</v>
      </c>
      <c r="O270" s="3">
        <v>2.31</v>
      </c>
      <c r="P270" s="3">
        <v>434</v>
      </c>
    </row>
    <row r="271" spans="1:16" ht="15" customHeight="1" x14ac:dyDescent="0.3">
      <c r="A271" s="3">
        <v>270</v>
      </c>
      <c r="B271" s="3" t="s">
        <v>26</v>
      </c>
      <c r="C271" s="9" t="s">
        <v>14</v>
      </c>
      <c r="D271" s="3">
        <v>12.08</v>
      </c>
      <c r="E271" s="3">
        <v>1.39</v>
      </c>
      <c r="F271" s="3">
        <v>2.5</v>
      </c>
      <c r="G271" s="3">
        <v>22.5</v>
      </c>
      <c r="H271" s="3">
        <v>84</v>
      </c>
      <c r="I271" s="3">
        <v>2.56</v>
      </c>
      <c r="J271" s="3">
        <v>2.29</v>
      </c>
      <c r="K271" s="3">
        <v>0.43</v>
      </c>
      <c r="L271" s="3">
        <v>1.04</v>
      </c>
      <c r="M271" s="3">
        <v>2.9</v>
      </c>
      <c r="N271" s="3">
        <v>0.93</v>
      </c>
      <c r="O271" s="3">
        <v>3.19</v>
      </c>
      <c r="P271" s="3">
        <v>385</v>
      </c>
    </row>
    <row r="272" spans="1:16" ht="15" customHeight="1" x14ac:dyDescent="0.3">
      <c r="A272" s="3">
        <v>271</v>
      </c>
      <c r="B272" s="3" t="s">
        <v>26</v>
      </c>
      <c r="C272" s="9" t="s">
        <v>14</v>
      </c>
      <c r="D272" s="3">
        <v>11.03</v>
      </c>
      <c r="E272" s="3">
        <v>1.51</v>
      </c>
      <c r="F272" s="3">
        <v>2.2000000000000002</v>
      </c>
      <c r="G272" s="3">
        <v>21.5</v>
      </c>
      <c r="H272" s="3">
        <v>85</v>
      </c>
      <c r="I272" s="3">
        <v>2.46</v>
      </c>
      <c r="J272" s="3">
        <v>2.17</v>
      </c>
      <c r="K272" s="3">
        <v>0.52</v>
      </c>
      <c r="L272" s="3">
        <v>2.0099999999999998</v>
      </c>
      <c r="M272" s="3">
        <v>1.9</v>
      </c>
      <c r="N272" s="3">
        <v>1.71</v>
      </c>
      <c r="O272" s="3">
        <v>2.87</v>
      </c>
      <c r="P272" s="3">
        <v>407</v>
      </c>
    </row>
    <row r="273" spans="1:16" ht="15" customHeight="1" x14ac:dyDescent="0.3">
      <c r="A273" s="3">
        <v>272</v>
      </c>
      <c r="B273" s="3" t="s">
        <v>26</v>
      </c>
      <c r="C273" s="9" t="s">
        <v>14</v>
      </c>
      <c r="D273" s="3">
        <v>11.82</v>
      </c>
      <c r="E273" s="3">
        <v>1.47</v>
      </c>
      <c r="F273" s="3">
        <v>1.99</v>
      </c>
      <c r="G273" s="3">
        <v>20.8</v>
      </c>
      <c r="H273" s="3">
        <v>86</v>
      </c>
      <c r="I273" s="3">
        <v>1.98</v>
      </c>
      <c r="J273" s="3">
        <v>1.6</v>
      </c>
      <c r="K273" s="3">
        <v>0.3</v>
      </c>
      <c r="L273" s="3">
        <v>1.53</v>
      </c>
      <c r="M273" s="3">
        <v>1.95</v>
      </c>
      <c r="N273" s="3">
        <v>0.95</v>
      </c>
      <c r="O273" s="3">
        <v>3.33</v>
      </c>
      <c r="P273" s="3">
        <v>495</v>
      </c>
    </row>
    <row r="274" spans="1:16" ht="15" customHeight="1" x14ac:dyDescent="0.3">
      <c r="A274" s="3">
        <v>273</v>
      </c>
      <c r="B274" s="3" t="s">
        <v>26</v>
      </c>
      <c r="C274" s="9" t="s">
        <v>14</v>
      </c>
      <c r="D274" s="3">
        <v>12.42</v>
      </c>
      <c r="E274" s="3">
        <v>1.61</v>
      </c>
      <c r="F274" s="3">
        <v>2.19</v>
      </c>
      <c r="G274" s="3">
        <v>22.5</v>
      </c>
      <c r="H274" s="3">
        <v>108</v>
      </c>
      <c r="I274" s="3">
        <v>2</v>
      </c>
      <c r="J274" s="3">
        <v>2.09</v>
      </c>
      <c r="K274" s="3">
        <v>0.34</v>
      </c>
      <c r="L274" s="3">
        <v>1.61</v>
      </c>
      <c r="M274" s="3">
        <v>2.06</v>
      </c>
      <c r="N274" s="3">
        <v>1.06</v>
      </c>
      <c r="O274" s="3">
        <v>2.96</v>
      </c>
      <c r="P274" s="3">
        <v>345</v>
      </c>
    </row>
    <row r="275" spans="1:16" ht="15" customHeight="1" x14ac:dyDescent="0.3">
      <c r="A275" s="3">
        <v>274</v>
      </c>
      <c r="B275" s="3" t="s">
        <v>26</v>
      </c>
      <c r="C275" s="9" t="s">
        <v>14</v>
      </c>
      <c r="D275" s="3">
        <v>12.77</v>
      </c>
      <c r="E275" s="3">
        <v>3.43</v>
      </c>
      <c r="F275" s="3">
        <v>1.98</v>
      </c>
      <c r="G275" s="3">
        <v>16</v>
      </c>
      <c r="H275" s="3">
        <v>80</v>
      </c>
      <c r="I275" s="3">
        <v>1.63</v>
      </c>
      <c r="J275" s="3">
        <v>1.25</v>
      </c>
      <c r="K275" s="3">
        <v>0.43</v>
      </c>
      <c r="L275" s="3">
        <v>0.83</v>
      </c>
      <c r="M275" s="3">
        <v>3.4</v>
      </c>
      <c r="N275" s="3">
        <v>0.7</v>
      </c>
      <c r="O275" s="3">
        <v>2.12</v>
      </c>
      <c r="P275" s="3">
        <v>372</v>
      </c>
    </row>
    <row r="276" spans="1:16" ht="15" customHeight="1" x14ac:dyDescent="0.3">
      <c r="A276" s="3">
        <v>275</v>
      </c>
      <c r="B276" s="3" t="s">
        <v>26</v>
      </c>
      <c r="C276" s="9" t="s">
        <v>14</v>
      </c>
      <c r="D276" s="3">
        <v>12</v>
      </c>
      <c r="E276" s="3">
        <v>3.43</v>
      </c>
      <c r="F276" s="3">
        <v>2</v>
      </c>
      <c r="G276" s="3">
        <v>19</v>
      </c>
      <c r="H276" s="3">
        <v>87</v>
      </c>
      <c r="I276" s="3">
        <v>2</v>
      </c>
      <c r="J276" s="3">
        <v>1.64</v>
      </c>
      <c r="K276" s="3">
        <v>0.37</v>
      </c>
      <c r="L276" s="3">
        <v>1.87</v>
      </c>
      <c r="M276" s="3">
        <v>1.28</v>
      </c>
      <c r="N276" s="3">
        <v>0.93</v>
      </c>
      <c r="O276" s="3">
        <v>3.05</v>
      </c>
      <c r="P276" s="3">
        <v>564</v>
      </c>
    </row>
    <row r="277" spans="1:16" ht="15" customHeight="1" x14ac:dyDescent="0.3">
      <c r="A277" s="3">
        <v>276</v>
      </c>
      <c r="B277" s="3" t="s">
        <v>26</v>
      </c>
      <c r="C277" s="9" t="s">
        <v>14</v>
      </c>
      <c r="D277" s="3">
        <v>11.45</v>
      </c>
      <c r="E277" s="3">
        <v>2.4</v>
      </c>
      <c r="F277" s="3">
        <v>2.42</v>
      </c>
      <c r="G277" s="3">
        <v>20</v>
      </c>
      <c r="H277" s="3">
        <v>96</v>
      </c>
      <c r="I277" s="3">
        <v>2.9</v>
      </c>
      <c r="J277" s="3">
        <v>2.79</v>
      </c>
      <c r="K277" s="3">
        <v>0.32</v>
      </c>
      <c r="L277" s="3">
        <v>1.83</v>
      </c>
      <c r="M277" s="3">
        <v>3.25</v>
      </c>
      <c r="N277" s="3">
        <v>0.8</v>
      </c>
      <c r="O277" s="3">
        <v>3.39</v>
      </c>
      <c r="P277" s="3">
        <v>625</v>
      </c>
    </row>
    <row r="278" spans="1:16" ht="15" customHeight="1" x14ac:dyDescent="0.3">
      <c r="A278" s="3">
        <v>277</v>
      </c>
      <c r="B278" s="3" t="s">
        <v>26</v>
      </c>
      <c r="C278" s="9" t="s">
        <v>14</v>
      </c>
      <c r="D278" s="3">
        <v>11.56</v>
      </c>
      <c r="E278" s="3">
        <v>2.0499999999999998</v>
      </c>
      <c r="F278" s="3">
        <v>3.23</v>
      </c>
      <c r="G278" s="3">
        <v>28.5</v>
      </c>
      <c r="H278" s="3">
        <v>119</v>
      </c>
      <c r="I278" s="3">
        <v>3.18</v>
      </c>
      <c r="J278" s="3">
        <v>5.08</v>
      </c>
      <c r="K278" s="3">
        <v>0.47</v>
      </c>
      <c r="L278" s="3">
        <v>1.87</v>
      </c>
      <c r="M278" s="3">
        <v>6</v>
      </c>
      <c r="N278" s="3">
        <v>0.93</v>
      </c>
      <c r="O278" s="3">
        <v>3.69</v>
      </c>
      <c r="P278" s="3">
        <v>465</v>
      </c>
    </row>
    <row r="279" spans="1:16" ht="15" customHeight="1" x14ac:dyDescent="0.3">
      <c r="A279" s="3">
        <v>278</v>
      </c>
      <c r="B279" s="3" t="s">
        <v>26</v>
      </c>
      <c r="C279" s="9" t="s">
        <v>14</v>
      </c>
      <c r="D279" s="3">
        <v>12.42</v>
      </c>
      <c r="E279" s="3">
        <v>4.43</v>
      </c>
      <c r="F279" s="3">
        <v>2.73</v>
      </c>
      <c r="G279" s="3">
        <v>26.5</v>
      </c>
      <c r="H279" s="3">
        <v>102</v>
      </c>
      <c r="I279" s="3">
        <v>2.2000000000000002</v>
      </c>
      <c r="J279" s="3">
        <v>2.13</v>
      </c>
      <c r="K279" s="3">
        <v>0.43</v>
      </c>
      <c r="L279" s="3">
        <v>1.71</v>
      </c>
      <c r="M279" s="3">
        <v>2.08</v>
      </c>
      <c r="N279" s="3">
        <v>0.92</v>
      </c>
      <c r="O279" s="3">
        <v>3.12</v>
      </c>
      <c r="P279" s="3">
        <v>365</v>
      </c>
    </row>
    <row r="280" spans="1:16" ht="15" customHeight="1" x14ac:dyDescent="0.3">
      <c r="A280" s="3">
        <v>279</v>
      </c>
      <c r="B280" s="3" t="s">
        <v>26</v>
      </c>
      <c r="C280" s="9" t="s">
        <v>14</v>
      </c>
      <c r="D280" s="3">
        <v>13.05</v>
      </c>
      <c r="E280" s="3">
        <v>5.8</v>
      </c>
      <c r="F280" s="3">
        <v>2.13</v>
      </c>
      <c r="G280" s="3">
        <v>21.5</v>
      </c>
      <c r="H280" s="3">
        <v>86</v>
      </c>
      <c r="I280" s="3">
        <v>2.62</v>
      </c>
      <c r="J280" s="3">
        <v>2.65</v>
      </c>
      <c r="K280" s="3" t="s">
        <v>25</v>
      </c>
      <c r="L280" s="3">
        <v>2.0099999999999998</v>
      </c>
      <c r="M280" s="3">
        <v>2.6</v>
      </c>
      <c r="N280" s="3">
        <v>0.73</v>
      </c>
      <c r="O280" s="3">
        <v>3.1</v>
      </c>
      <c r="P280" s="3">
        <v>380</v>
      </c>
    </row>
    <row r="281" spans="1:16" ht="15" customHeight="1" x14ac:dyDescent="0.3">
      <c r="A281" s="3">
        <v>280</v>
      </c>
      <c r="B281" s="3" t="s">
        <v>26</v>
      </c>
      <c r="C281" s="9" t="s">
        <v>14</v>
      </c>
      <c r="D281" s="3">
        <v>11.87</v>
      </c>
      <c r="E281" s="3">
        <v>4.3099999999999996</v>
      </c>
      <c r="F281" s="3">
        <v>2.39</v>
      </c>
      <c r="G281" s="3">
        <v>21</v>
      </c>
      <c r="H281" s="3">
        <v>82</v>
      </c>
      <c r="I281" s="3">
        <v>2.86</v>
      </c>
      <c r="J281" s="3">
        <v>3.03</v>
      </c>
      <c r="K281" s="3">
        <v>0.21</v>
      </c>
      <c r="L281" s="3">
        <v>2.91</v>
      </c>
      <c r="M281" s="3">
        <v>2.8</v>
      </c>
      <c r="N281" s="3">
        <v>0.75</v>
      </c>
      <c r="O281" s="3">
        <v>3.64</v>
      </c>
      <c r="P281" s="3">
        <v>380</v>
      </c>
    </row>
    <row r="282" spans="1:16" ht="15" customHeight="1" x14ac:dyDescent="0.3">
      <c r="A282" s="3">
        <v>281</v>
      </c>
      <c r="B282" s="3" t="s">
        <v>26</v>
      </c>
      <c r="C282" s="9" t="s">
        <v>14</v>
      </c>
      <c r="D282" s="3">
        <v>12.07</v>
      </c>
      <c r="E282" s="3">
        <v>2.16</v>
      </c>
      <c r="F282" s="3">
        <v>2.17</v>
      </c>
      <c r="G282" s="3">
        <v>21</v>
      </c>
      <c r="H282" s="3">
        <v>85</v>
      </c>
      <c r="I282" s="3">
        <v>2.6</v>
      </c>
      <c r="J282" s="3">
        <v>2.65</v>
      </c>
      <c r="K282" s="3">
        <v>0.37</v>
      </c>
      <c r="L282" s="3">
        <v>1.35</v>
      </c>
      <c r="M282" s="3">
        <v>2.76</v>
      </c>
      <c r="N282" s="3">
        <v>0.86</v>
      </c>
      <c r="O282" s="3">
        <v>3.28</v>
      </c>
      <c r="P282" s="3">
        <v>378</v>
      </c>
    </row>
    <row r="283" spans="1:16" ht="15" customHeight="1" x14ac:dyDescent="0.3">
      <c r="A283" s="3">
        <v>282</v>
      </c>
      <c r="B283" s="3" t="s">
        <v>26</v>
      </c>
      <c r="C283" s="9" t="s">
        <v>14</v>
      </c>
      <c r="D283" s="3">
        <v>12.43</v>
      </c>
      <c r="E283" s="3">
        <v>1.53</v>
      </c>
      <c r="F283" s="3">
        <v>2.29</v>
      </c>
      <c r="G283" s="3">
        <v>21.5</v>
      </c>
      <c r="H283" s="3">
        <v>86</v>
      </c>
      <c r="I283" s="3">
        <v>2.74</v>
      </c>
      <c r="J283" s="3">
        <v>3.15</v>
      </c>
      <c r="K283" s="3">
        <v>0.39</v>
      </c>
      <c r="L283" s="3">
        <v>1.77</v>
      </c>
      <c r="M283" s="3">
        <v>3.94</v>
      </c>
      <c r="N283" s="3">
        <v>0.69</v>
      </c>
      <c r="O283" s="3">
        <v>2.84</v>
      </c>
      <c r="P283" s="3">
        <v>352</v>
      </c>
    </row>
    <row r="284" spans="1:16" ht="15" customHeight="1" x14ac:dyDescent="0.3">
      <c r="A284" s="3">
        <v>283</v>
      </c>
      <c r="B284" s="3" t="s">
        <v>26</v>
      </c>
      <c r="C284" s="9" t="s">
        <v>14</v>
      </c>
      <c r="D284" s="3">
        <v>11.79</v>
      </c>
      <c r="E284" s="3">
        <v>2.13</v>
      </c>
      <c r="F284" s="3">
        <v>2.78</v>
      </c>
      <c r="G284" s="3">
        <v>28.5</v>
      </c>
      <c r="H284" s="3">
        <v>92</v>
      </c>
      <c r="I284" s="3">
        <v>2.13</v>
      </c>
      <c r="J284" s="3">
        <v>2.2400000000000002</v>
      </c>
      <c r="K284" s="3">
        <v>0.57999999999999996</v>
      </c>
      <c r="L284" s="3">
        <v>1.76</v>
      </c>
      <c r="M284" s="3">
        <v>3</v>
      </c>
      <c r="N284" s="3">
        <v>0.97</v>
      </c>
      <c r="O284" s="3">
        <v>2.44</v>
      </c>
      <c r="P284" s="3">
        <v>466</v>
      </c>
    </row>
    <row r="285" spans="1:16" ht="15" customHeight="1" x14ac:dyDescent="0.3">
      <c r="A285" s="3">
        <v>284</v>
      </c>
      <c r="B285" s="3" t="s">
        <v>26</v>
      </c>
      <c r="C285" s="9" t="s">
        <v>14</v>
      </c>
      <c r="D285" s="3">
        <v>12.37</v>
      </c>
      <c r="E285" s="3">
        <v>1.63</v>
      </c>
      <c r="F285" s="3">
        <v>2.2999999999999998</v>
      </c>
      <c r="G285" s="3">
        <v>24.5</v>
      </c>
      <c r="H285" s="3">
        <v>88</v>
      </c>
      <c r="I285" s="3">
        <v>2.2200000000000002</v>
      </c>
      <c r="J285" s="3">
        <v>2.4500000000000002</v>
      </c>
      <c r="K285" s="3">
        <v>0.4</v>
      </c>
      <c r="L285" s="3">
        <v>1.9</v>
      </c>
      <c r="M285" s="3">
        <v>2.12</v>
      </c>
      <c r="N285" s="3">
        <v>0.89</v>
      </c>
      <c r="O285" s="3">
        <v>2.78</v>
      </c>
      <c r="P285" s="3">
        <v>342</v>
      </c>
    </row>
    <row r="286" spans="1:16" ht="15" customHeight="1" x14ac:dyDescent="0.3">
      <c r="A286" s="3">
        <v>285</v>
      </c>
      <c r="B286" s="3" t="s">
        <v>26</v>
      </c>
      <c r="C286" s="9" t="s">
        <v>14</v>
      </c>
      <c r="D286" s="3">
        <v>12.04</v>
      </c>
      <c r="E286" s="3">
        <v>4.3</v>
      </c>
      <c r="F286" s="3">
        <v>2.38</v>
      </c>
      <c r="G286" s="3">
        <v>22</v>
      </c>
      <c r="H286" s="3">
        <v>80</v>
      </c>
      <c r="I286" s="3">
        <v>2.1</v>
      </c>
      <c r="J286" s="3">
        <v>1.75</v>
      </c>
      <c r="K286" s="3">
        <v>0.42</v>
      </c>
      <c r="L286" s="3">
        <v>1.35</v>
      </c>
      <c r="M286" s="3">
        <v>2.6</v>
      </c>
      <c r="N286" s="3">
        <v>0.79</v>
      </c>
      <c r="O286" s="3">
        <v>2.57</v>
      </c>
      <c r="P286" s="3">
        <v>580</v>
      </c>
    </row>
    <row r="287" spans="1:16" ht="15" customHeight="1" x14ac:dyDescent="0.3">
      <c r="A287" s="3">
        <v>286</v>
      </c>
      <c r="B287" s="3" t="s">
        <v>26</v>
      </c>
      <c r="C287" s="9" t="s">
        <v>15</v>
      </c>
      <c r="D287" s="3">
        <v>12.86</v>
      </c>
      <c r="E287" s="3">
        <v>1.35</v>
      </c>
      <c r="F287" s="3">
        <v>2.3199999999999998</v>
      </c>
      <c r="G287" s="3">
        <v>18</v>
      </c>
      <c r="H287" s="3">
        <v>122</v>
      </c>
      <c r="I287" s="3">
        <v>1.51</v>
      </c>
      <c r="J287" s="3">
        <v>1.25</v>
      </c>
      <c r="K287" s="3">
        <v>0.21</v>
      </c>
      <c r="L287" s="3">
        <v>0.94</v>
      </c>
      <c r="M287" s="3">
        <v>4.0999999999999996</v>
      </c>
      <c r="N287" s="3">
        <v>0.76</v>
      </c>
      <c r="O287" s="3">
        <v>1.29</v>
      </c>
      <c r="P287" s="3">
        <v>630</v>
      </c>
    </row>
    <row r="288" spans="1:16" ht="15" customHeight="1" x14ac:dyDescent="0.3">
      <c r="A288" s="3">
        <v>287</v>
      </c>
      <c r="B288" s="3" t="s">
        <v>26</v>
      </c>
      <c r="C288" s="9" t="s">
        <v>15</v>
      </c>
      <c r="D288" s="3">
        <v>12.88</v>
      </c>
      <c r="E288" s="3">
        <v>2.99</v>
      </c>
      <c r="F288" s="3">
        <v>2.4</v>
      </c>
      <c r="G288" s="3">
        <v>20</v>
      </c>
      <c r="H288" s="3">
        <v>104</v>
      </c>
      <c r="I288" s="3">
        <v>1.3</v>
      </c>
      <c r="J288" s="3">
        <v>1.22</v>
      </c>
      <c r="K288" s="3">
        <v>0.24</v>
      </c>
      <c r="L288" s="3">
        <v>0.83</v>
      </c>
      <c r="M288" s="3">
        <v>5.4</v>
      </c>
      <c r="N288" s="3">
        <v>0.74</v>
      </c>
      <c r="O288" s="3">
        <v>1.42</v>
      </c>
      <c r="P288" s="3">
        <v>530</v>
      </c>
    </row>
    <row r="289" spans="1:16" ht="15" customHeight="1" x14ac:dyDescent="0.3">
      <c r="A289" s="3">
        <v>288</v>
      </c>
      <c r="B289" s="3" t="s">
        <v>26</v>
      </c>
      <c r="C289" s="9" t="s">
        <v>15</v>
      </c>
      <c r="D289" s="3">
        <v>12.81</v>
      </c>
      <c r="E289" s="3">
        <v>2.31</v>
      </c>
      <c r="F289" s="3">
        <v>2.4</v>
      </c>
      <c r="G289" s="3">
        <v>24</v>
      </c>
      <c r="H289" s="3">
        <v>98</v>
      </c>
      <c r="I289" s="3">
        <v>1.1499999999999999</v>
      </c>
      <c r="J289" s="3">
        <v>1.0900000000000001</v>
      </c>
      <c r="K289" s="3">
        <v>0.27</v>
      </c>
      <c r="L289" s="3">
        <v>0.83</v>
      </c>
      <c r="M289" s="3">
        <v>5.7</v>
      </c>
      <c r="N289" s="3">
        <v>0.66</v>
      </c>
      <c r="O289" s="3">
        <v>1.36</v>
      </c>
      <c r="P289" s="3">
        <v>560</v>
      </c>
    </row>
    <row r="290" spans="1:16" ht="15" customHeight="1" x14ac:dyDescent="0.3">
      <c r="A290" s="3">
        <v>289</v>
      </c>
      <c r="B290" s="3" t="s">
        <v>26</v>
      </c>
      <c r="C290" s="9" t="s">
        <v>15</v>
      </c>
      <c r="D290" s="3">
        <v>12.7</v>
      </c>
      <c r="E290" s="3">
        <v>3.55</v>
      </c>
      <c r="F290" s="3">
        <v>2.36</v>
      </c>
      <c r="G290" s="3">
        <v>21.5</v>
      </c>
      <c r="H290" s="3">
        <v>106</v>
      </c>
      <c r="I290" s="3">
        <v>1.7</v>
      </c>
      <c r="J290" s="3">
        <v>1.2</v>
      </c>
      <c r="K290" s="3">
        <v>0.17</v>
      </c>
      <c r="L290" s="3">
        <v>0.84</v>
      </c>
      <c r="M290" s="3">
        <v>5</v>
      </c>
      <c r="N290" s="3">
        <v>0.78</v>
      </c>
      <c r="O290" s="3">
        <v>1.29</v>
      </c>
      <c r="P290" s="3">
        <v>600</v>
      </c>
    </row>
    <row r="291" spans="1:16" ht="15" customHeight="1" x14ac:dyDescent="0.3">
      <c r="A291" s="3">
        <v>290</v>
      </c>
      <c r="B291" s="3" t="s">
        <v>26</v>
      </c>
      <c r="C291" s="9" t="s">
        <v>15</v>
      </c>
      <c r="D291" s="3">
        <v>12.51</v>
      </c>
      <c r="E291" s="3">
        <v>1.24</v>
      </c>
      <c r="F291" s="3">
        <v>2.25</v>
      </c>
      <c r="G291" s="3">
        <v>17.5</v>
      </c>
      <c r="H291" s="3">
        <v>85</v>
      </c>
      <c r="I291" s="3">
        <v>2</v>
      </c>
      <c r="J291" s="3">
        <v>0.57999999999999996</v>
      </c>
      <c r="K291" s="3">
        <v>0.6</v>
      </c>
      <c r="L291" s="3">
        <v>1.25</v>
      </c>
      <c r="M291" s="3">
        <v>5.45</v>
      </c>
      <c r="N291" s="3">
        <v>0.75</v>
      </c>
      <c r="O291" s="3">
        <v>1.51</v>
      </c>
      <c r="P291" s="3">
        <v>650</v>
      </c>
    </row>
    <row r="292" spans="1:16" ht="15" customHeight="1" x14ac:dyDescent="0.3">
      <c r="A292" s="3">
        <v>291</v>
      </c>
      <c r="B292" s="3" t="s">
        <v>26</v>
      </c>
      <c r="C292" s="9" t="s">
        <v>15</v>
      </c>
      <c r="D292" s="3">
        <v>12.6</v>
      </c>
      <c r="E292" s="3">
        <v>2.46</v>
      </c>
      <c r="F292" s="3">
        <v>2.2000000000000002</v>
      </c>
      <c r="G292" s="3">
        <v>18.5</v>
      </c>
      <c r="H292" s="3">
        <v>94</v>
      </c>
      <c r="I292" s="3">
        <v>1.62</v>
      </c>
      <c r="J292" s="3">
        <v>0.66</v>
      </c>
      <c r="K292" s="3">
        <v>0.63</v>
      </c>
      <c r="L292" s="3">
        <v>0.94</v>
      </c>
      <c r="M292" s="3">
        <v>7.1</v>
      </c>
      <c r="N292" s="3">
        <v>0.73</v>
      </c>
      <c r="O292" s="3">
        <v>1.58</v>
      </c>
      <c r="P292" s="3">
        <v>695</v>
      </c>
    </row>
    <row r="293" spans="1:16" ht="15" customHeight="1" x14ac:dyDescent="0.3">
      <c r="A293" s="3">
        <v>292</v>
      </c>
      <c r="B293" s="3" t="s">
        <v>26</v>
      </c>
      <c r="C293" s="9" t="s">
        <v>15</v>
      </c>
      <c r="D293" s="3">
        <v>12.25</v>
      </c>
      <c r="E293" s="3">
        <v>4.72</v>
      </c>
      <c r="F293" s="3">
        <v>2.54</v>
      </c>
      <c r="G293" s="3">
        <v>21</v>
      </c>
      <c r="H293" s="3">
        <v>89</v>
      </c>
      <c r="I293" s="3">
        <v>1.38</v>
      </c>
      <c r="J293" s="3">
        <v>0.47</v>
      </c>
      <c r="K293" s="3">
        <v>0.53</v>
      </c>
      <c r="L293" s="3">
        <v>0.8</v>
      </c>
      <c r="M293" s="3">
        <v>3.85</v>
      </c>
      <c r="N293" s="3">
        <v>0.75</v>
      </c>
      <c r="O293" s="3">
        <v>1.27</v>
      </c>
      <c r="P293" s="3">
        <v>720</v>
      </c>
    </row>
    <row r="294" spans="1:16" ht="15" customHeight="1" x14ac:dyDescent="0.3">
      <c r="A294" s="3">
        <v>293</v>
      </c>
      <c r="B294" s="3" t="s">
        <v>26</v>
      </c>
      <c r="C294" s="9" t="s">
        <v>15</v>
      </c>
      <c r="D294" s="3">
        <v>12.53</v>
      </c>
      <c r="E294" s="3">
        <v>5.51</v>
      </c>
      <c r="F294" s="3">
        <v>2.64</v>
      </c>
      <c r="G294" s="3">
        <v>25</v>
      </c>
      <c r="H294" s="3">
        <v>96</v>
      </c>
      <c r="I294" s="3">
        <v>1.79</v>
      </c>
      <c r="J294" s="3">
        <v>0.6</v>
      </c>
      <c r="K294" s="3">
        <v>0.63</v>
      </c>
      <c r="L294" s="3">
        <v>1.1000000000000001</v>
      </c>
      <c r="M294" s="3">
        <v>5</v>
      </c>
      <c r="N294" s="3">
        <v>0.82</v>
      </c>
      <c r="O294" s="3">
        <v>1.69</v>
      </c>
      <c r="P294" s="3">
        <v>515</v>
      </c>
    </row>
    <row r="295" spans="1:16" ht="15" customHeight="1" x14ac:dyDescent="0.3">
      <c r="A295" s="3">
        <v>294</v>
      </c>
      <c r="B295" s="3" t="s">
        <v>26</v>
      </c>
      <c r="C295" s="9" t="s">
        <v>15</v>
      </c>
      <c r="D295" s="3">
        <v>13.49</v>
      </c>
      <c r="E295" s="3">
        <v>3.59</v>
      </c>
      <c r="F295" s="3">
        <v>2.19</v>
      </c>
      <c r="G295" s="3">
        <v>19.5</v>
      </c>
      <c r="H295" s="3">
        <v>88</v>
      </c>
      <c r="I295" s="3">
        <v>1.62</v>
      </c>
      <c r="J295" s="3">
        <v>0.48</v>
      </c>
      <c r="K295" s="3">
        <v>0.57999999999999996</v>
      </c>
      <c r="L295" s="3">
        <v>0.88</v>
      </c>
      <c r="M295" s="3">
        <v>5.7</v>
      </c>
      <c r="N295" s="3">
        <v>0.81</v>
      </c>
      <c r="O295" s="3">
        <v>1.82</v>
      </c>
      <c r="P295" s="3">
        <v>580</v>
      </c>
    </row>
    <row r="296" spans="1:16" ht="15" customHeight="1" x14ac:dyDescent="0.3">
      <c r="A296" s="3">
        <v>295</v>
      </c>
      <c r="B296" s="3" t="s">
        <v>26</v>
      </c>
      <c r="C296" s="9" t="s">
        <v>15</v>
      </c>
      <c r="D296" s="3">
        <v>12.84</v>
      </c>
      <c r="E296" s="3">
        <v>2.96</v>
      </c>
      <c r="F296" s="3">
        <v>2.61</v>
      </c>
      <c r="G296" s="3">
        <v>24</v>
      </c>
      <c r="H296" s="3">
        <v>101</v>
      </c>
      <c r="I296" s="3">
        <v>2.3199999999999998</v>
      </c>
      <c r="J296" s="3">
        <v>0.6</v>
      </c>
      <c r="K296" s="3">
        <v>0.53</v>
      </c>
      <c r="L296" s="3">
        <v>0.81</v>
      </c>
      <c r="M296" s="3">
        <v>4.92</v>
      </c>
      <c r="N296" s="3">
        <v>0.89</v>
      </c>
      <c r="O296" s="3">
        <v>2.15</v>
      </c>
      <c r="P296" s="3">
        <v>590</v>
      </c>
    </row>
    <row r="297" spans="1:16" ht="15" customHeight="1" x14ac:dyDescent="0.3">
      <c r="A297" s="3">
        <v>296</v>
      </c>
      <c r="B297" s="3" t="s">
        <v>26</v>
      </c>
      <c r="C297" s="9" t="s">
        <v>15</v>
      </c>
      <c r="D297" s="3">
        <v>12.93</v>
      </c>
      <c r="E297" s="3">
        <v>2.81</v>
      </c>
      <c r="F297" s="3">
        <v>2.7</v>
      </c>
      <c r="G297" s="3">
        <v>21</v>
      </c>
      <c r="H297" s="3">
        <v>96</v>
      </c>
      <c r="I297" s="3">
        <v>1.54</v>
      </c>
      <c r="J297" s="3">
        <v>0.5</v>
      </c>
      <c r="K297" s="3">
        <v>0.53</v>
      </c>
      <c r="L297" s="3">
        <v>0.75</v>
      </c>
      <c r="M297" s="3">
        <v>4.5999999999999996</v>
      </c>
      <c r="N297" s="3">
        <v>0.77</v>
      </c>
      <c r="O297" s="3">
        <v>2.31</v>
      </c>
      <c r="P297" s="3">
        <v>600</v>
      </c>
    </row>
    <row r="298" spans="1:16" ht="15" customHeight="1" x14ac:dyDescent="0.3">
      <c r="A298" s="3">
        <v>297</v>
      </c>
      <c r="B298" s="3" t="s">
        <v>26</v>
      </c>
      <c r="C298" s="9" t="s">
        <v>15</v>
      </c>
      <c r="D298" s="3">
        <v>13.36</v>
      </c>
      <c r="E298" s="3">
        <v>2.56</v>
      </c>
      <c r="F298" s="3">
        <v>2.35</v>
      </c>
      <c r="G298" s="3">
        <v>20</v>
      </c>
      <c r="H298" s="3">
        <v>89</v>
      </c>
      <c r="I298" s="3">
        <v>1.4</v>
      </c>
      <c r="J298" s="3">
        <v>0.5</v>
      </c>
      <c r="K298" s="3">
        <v>0.37</v>
      </c>
      <c r="L298" s="3">
        <v>0.64</v>
      </c>
      <c r="M298" s="3">
        <v>5.6</v>
      </c>
      <c r="N298" s="3">
        <v>0.7</v>
      </c>
      <c r="O298" s="3">
        <v>2.4700000000000002</v>
      </c>
      <c r="P298" s="3">
        <v>780</v>
      </c>
    </row>
    <row r="299" spans="1:16" ht="15" customHeight="1" x14ac:dyDescent="0.3">
      <c r="A299" s="3">
        <v>298</v>
      </c>
      <c r="B299" s="3" t="s">
        <v>26</v>
      </c>
      <c r="C299" s="9" t="s">
        <v>15</v>
      </c>
      <c r="D299" s="3">
        <v>13.52</v>
      </c>
      <c r="E299" s="3">
        <v>3.17</v>
      </c>
      <c r="F299" s="3">
        <v>2.72</v>
      </c>
      <c r="G299" s="3">
        <v>23.5</v>
      </c>
      <c r="H299" s="3">
        <v>97</v>
      </c>
      <c r="I299" s="3">
        <v>1.55</v>
      </c>
      <c r="J299" s="3">
        <v>0.52</v>
      </c>
      <c r="K299" s="3">
        <v>0.5</v>
      </c>
      <c r="L299" s="3">
        <v>0.55000000000000004</v>
      </c>
      <c r="M299" s="3">
        <v>4.3499999999999996</v>
      </c>
      <c r="N299" s="3">
        <v>0.89</v>
      </c>
      <c r="O299" s="3">
        <v>2.06</v>
      </c>
      <c r="P299" s="3">
        <v>520</v>
      </c>
    </row>
    <row r="300" spans="1:16" ht="15" customHeight="1" x14ac:dyDescent="0.3">
      <c r="A300" s="3">
        <v>299</v>
      </c>
      <c r="B300" s="3" t="s">
        <v>26</v>
      </c>
      <c r="C300" s="9" t="s">
        <v>15</v>
      </c>
      <c r="D300" s="3">
        <v>13.62</v>
      </c>
      <c r="E300" s="3">
        <v>4.95</v>
      </c>
      <c r="F300" s="3">
        <v>2.35</v>
      </c>
      <c r="G300" s="3">
        <v>20</v>
      </c>
      <c r="H300" s="3">
        <v>92</v>
      </c>
      <c r="I300" s="3">
        <v>2</v>
      </c>
      <c r="J300" s="3">
        <v>0.8</v>
      </c>
      <c r="K300" s="3">
        <v>0.47</v>
      </c>
      <c r="L300" s="3">
        <v>1.02</v>
      </c>
      <c r="M300" s="3">
        <v>4.4000000000000004</v>
      </c>
      <c r="N300" s="3">
        <v>0.91</v>
      </c>
      <c r="O300" s="3">
        <v>2.0499999999999998</v>
      </c>
      <c r="P300" s="3">
        <v>550</v>
      </c>
    </row>
    <row r="301" spans="1:16" ht="15" customHeight="1" x14ac:dyDescent="0.3">
      <c r="A301" s="3">
        <v>300</v>
      </c>
      <c r="B301" s="3" t="s">
        <v>26</v>
      </c>
      <c r="C301" s="9" t="s">
        <v>15</v>
      </c>
      <c r="D301" s="3">
        <v>12.25</v>
      </c>
      <c r="E301" s="3">
        <v>3.88</v>
      </c>
      <c r="F301" s="3">
        <v>2.2000000000000002</v>
      </c>
      <c r="G301" s="3">
        <v>18.5</v>
      </c>
      <c r="H301" s="3">
        <v>112</v>
      </c>
      <c r="I301" s="3">
        <v>1.38</v>
      </c>
      <c r="J301" s="3">
        <v>0.78</v>
      </c>
      <c r="K301" s="3">
        <v>0.28999999999999998</v>
      </c>
      <c r="L301" s="3">
        <v>1.1399999999999999</v>
      </c>
      <c r="M301" s="3">
        <v>8.2100000000000009</v>
      </c>
      <c r="N301" s="3">
        <v>0.65</v>
      </c>
      <c r="O301" s="3">
        <v>2</v>
      </c>
      <c r="P301" s="3">
        <v>855</v>
      </c>
    </row>
    <row r="302" spans="1:16" ht="15" customHeight="1" x14ac:dyDescent="0.3">
      <c r="A302" s="3">
        <v>301</v>
      </c>
      <c r="B302" s="3" t="s">
        <v>26</v>
      </c>
      <c r="C302" s="9" t="s">
        <v>15</v>
      </c>
      <c r="D302" s="3">
        <v>13.16</v>
      </c>
      <c r="E302" s="3">
        <v>3.57</v>
      </c>
      <c r="F302" s="3">
        <v>2.15</v>
      </c>
      <c r="G302" s="3">
        <v>21</v>
      </c>
      <c r="H302" s="3">
        <v>102</v>
      </c>
      <c r="I302" s="3">
        <v>1.5</v>
      </c>
      <c r="J302" s="3">
        <v>0.55000000000000004</v>
      </c>
      <c r="K302" s="3">
        <v>0.43</v>
      </c>
      <c r="L302" s="3">
        <v>1.3</v>
      </c>
      <c r="M302" s="3">
        <v>4</v>
      </c>
      <c r="N302" s="3">
        <v>0.6</v>
      </c>
      <c r="O302" s="3">
        <v>1.68</v>
      </c>
      <c r="P302" s="3">
        <v>830</v>
      </c>
    </row>
    <row r="303" spans="1:16" ht="15" customHeight="1" x14ac:dyDescent="0.3">
      <c r="A303" s="3">
        <v>302</v>
      </c>
      <c r="B303" s="3" t="s">
        <v>26</v>
      </c>
      <c r="C303" s="9" t="s">
        <v>15</v>
      </c>
      <c r="D303" s="3">
        <v>13.88</v>
      </c>
      <c r="E303" s="3">
        <v>5.04</v>
      </c>
      <c r="F303" s="3">
        <v>2.23</v>
      </c>
      <c r="G303" s="3">
        <v>20</v>
      </c>
      <c r="H303" s="3">
        <v>80</v>
      </c>
      <c r="I303" s="3">
        <v>0.98</v>
      </c>
      <c r="J303" s="3">
        <v>0.34</v>
      </c>
      <c r="K303" s="3">
        <v>0.4</v>
      </c>
      <c r="L303" s="3">
        <v>0.68</v>
      </c>
      <c r="M303" s="3">
        <v>4.9000000000000004</v>
      </c>
      <c r="N303" s="3">
        <v>0.57999999999999996</v>
      </c>
      <c r="O303" s="3">
        <v>1.33</v>
      </c>
      <c r="P303" s="3">
        <v>415</v>
      </c>
    </row>
    <row r="304" spans="1:16" ht="15" customHeight="1" x14ac:dyDescent="0.3">
      <c r="A304" s="3">
        <v>303</v>
      </c>
      <c r="B304" s="3" t="s">
        <v>26</v>
      </c>
      <c r="C304" s="9" t="s">
        <v>15</v>
      </c>
      <c r="D304" s="3">
        <v>12.87</v>
      </c>
      <c r="E304" s="3">
        <v>4.6100000000000003</v>
      </c>
      <c r="F304" s="3">
        <v>2.48</v>
      </c>
      <c r="G304" s="3">
        <v>21.5</v>
      </c>
      <c r="H304" s="3">
        <v>86</v>
      </c>
      <c r="I304" s="3">
        <v>1.7</v>
      </c>
      <c r="J304" s="3">
        <v>0.65</v>
      </c>
      <c r="K304" s="3">
        <v>0.47</v>
      </c>
      <c r="L304" s="3">
        <v>0.86</v>
      </c>
      <c r="M304" s="3">
        <v>7.65</v>
      </c>
      <c r="N304" s="3">
        <v>0.54</v>
      </c>
      <c r="O304" s="3">
        <v>1.86</v>
      </c>
      <c r="P304" s="3">
        <v>625</v>
      </c>
    </row>
    <row r="305" spans="1:16" ht="15" customHeight="1" x14ac:dyDescent="0.3">
      <c r="A305" s="3">
        <v>304</v>
      </c>
      <c r="B305" s="3" t="s">
        <v>26</v>
      </c>
      <c r="C305" s="9" t="s">
        <v>15</v>
      </c>
      <c r="D305" s="3">
        <v>13.32</v>
      </c>
      <c r="E305" s="3">
        <v>3.24</v>
      </c>
      <c r="F305" s="3">
        <v>2.38</v>
      </c>
      <c r="G305" s="3">
        <v>21.5</v>
      </c>
      <c r="H305" s="3">
        <v>92</v>
      </c>
      <c r="I305" s="3">
        <v>1.93</v>
      </c>
      <c r="J305" s="3">
        <v>0.76</v>
      </c>
      <c r="K305" s="3">
        <v>0.45</v>
      </c>
      <c r="L305" s="3">
        <v>1.25</v>
      </c>
      <c r="M305" s="3">
        <v>8.42</v>
      </c>
      <c r="N305" s="3">
        <v>0.55000000000000004</v>
      </c>
      <c r="O305" s="3">
        <v>1.62</v>
      </c>
      <c r="P305" s="3">
        <v>650</v>
      </c>
    </row>
    <row r="306" spans="1:16" ht="15" customHeight="1" x14ac:dyDescent="0.3">
      <c r="A306" s="3">
        <v>305</v>
      </c>
      <c r="B306" s="3" t="s">
        <v>26</v>
      </c>
      <c r="C306" s="9" t="s">
        <v>15</v>
      </c>
      <c r="D306" s="3">
        <v>13.08</v>
      </c>
      <c r="E306" s="3">
        <v>3.9</v>
      </c>
      <c r="F306" s="3">
        <v>2.36</v>
      </c>
      <c r="G306" s="3">
        <v>21.5</v>
      </c>
      <c r="H306" s="3">
        <v>113</v>
      </c>
      <c r="I306" s="3">
        <v>1.41</v>
      </c>
      <c r="J306" s="3">
        <v>1.39</v>
      </c>
      <c r="K306" s="3">
        <v>0.34</v>
      </c>
      <c r="L306" s="3">
        <v>1.1399999999999999</v>
      </c>
      <c r="M306" s="3">
        <v>9.4</v>
      </c>
      <c r="N306" s="3">
        <v>0.56999999999999995</v>
      </c>
      <c r="O306" s="3">
        <v>1.33</v>
      </c>
      <c r="P306" s="3">
        <v>550</v>
      </c>
    </row>
    <row r="307" spans="1:16" ht="15" customHeight="1" x14ac:dyDescent="0.3">
      <c r="A307" s="3">
        <v>306</v>
      </c>
      <c r="B307" s="3" t="s">
        <v>26</v>
      </c>
      <c r="C307" s="9" t="s">
        <v>15</v>
      </c>
      <c r="D307" s="3">
        <v>13.5</v>
      </c>
      <c r="E307" s="3">
        <v>3.12</v>
      </c>
      <c r="F307" s="3">
        <v>2.62</v>
      </c>
      <c r="G307" s="3">
        <v>24</v>
      </c>
      <c r="H307" s="3">
        <v>123</v>
      </c>
      <c r="I307" s="3">
        <v>1.4</v>
      </c>
      <c r="J307" s="3">
        <v>1.57</v>
      </c>
      <c r="K307" s="3">
        <v>0.22</v>
      </c>
      <c r="L307" s="3">
        <v>1.25</v>
      </c>
      <c r="M307" s="3">
        <v>8.6</v>
      </c>
      <c r="N307" s="3">
        <v>0.59</v>
      </c>
      <c r="O307" s="3">
        <v>1.3</v>
      </c>
      <c r="P307" s="3">
        <v>500</v>
      </c>
    </row>
    <row r="308" spans="1:16" ht="15" customHeight="1" x14ac:dyDescent="0.3">
      <c r="A308" s="3">
        <v>307</v>
      </c>
      <c r="B308" s="3" t="s">
        <v>26</v>
      </c>
      <c r="C308" s="9" t="s">
        <v>15</v>
      </c>
      <c r="D308" s="3">
        <v>12.79</v>
      </c>
      <c r="E308" s="3">
        <v>2.67</v>
      </c>
      <c r="F308" s="3">
        <v>2.48</v>
      </c>
      <c r="G308" s="3">
        <v>22</v>
      </c>
      <c r="H308" s="3">
        <v>112</v>
      </c>
      <c r="I308" s="3">
        <v>1.48</v>
      </c>
      <c r="J308" s="3">
        <v>1.36</v>
      </c>
      <c r="K308" s="3">
        <v>0.24</v>
      </c>
      <c r="L308" s="3">
        <v>1.26</v>
      </c>
      <c r="M308" s="3">
        <v>10.8</v>
      </c>
      <c r="N308" s="3">
        <v>0.48</v>
      </c>
      <c r="O308" s="3">
        <v>1.47</v>
      </c>
      <c r="P308" s="3">
        <v>480</v>
      </c>
    </row>
    <row r="309" spans="1:16" ht="15" customHeight="1" x14ac:dyDescent="0.3">
      <c r="A309" s="3">
        <v>308</v>
      </c>
      <c r="B309" s="3" t="s">
        <v>26</v>
      </c>
      <c r="C309" s="9" t="s">
        <v>15</v>
      </c>
      <c r="D309" s="3">
        <v>13.11</v>
      </c>
      <c r="E309" s="3">
        <v>1.9</v>
      </c>
      <c r="F309" s="3">
        <v>2.75</v>
      </c>
      <c r="G309" s="3">
        <v>25.5</v>
      </c>
      <c r="H309" s="3">
        <v>116</v>
      </c>
      <c r="I309" s="3">
        <v>2.2000000000000002</v>
      </c>
      <c r="J309" s="3">
        <v>1.28</v>
      </c>
      <c r="K309" s="3">
        <v>0.26</v>
      </c>
      <c r="L309" s="3">
        <v>1.56</v>
      </c>
      <c r="M309" s="3">
        <v>7.1</v>
      </c>
      <c r="N309" s="3">
        <v>0.61</v>
      </c>
      <c r="O309" s="3">
        <v>1.33</v>
      </c>
      <c r="P309" s="3">
        <v>425</v>
      </c>
    </row>
    <row r="310" spans="1:16" ht="15" customHeight="1" x14ac:dyDescent="0.3">
      <c r="A310" s="3">
        <v>309</v>
      </c>
      <c r="B310" s="3" t="s">
        <v>26</v>
      </c>
      <c r="C310" s="9" t="s">
        <v>15</v>
      </c>
      <c r="D310" s="3">
        <v>13.23</v>
      </c>
      <c r="E310" s="3">
        <v>3.3</v>
      </c>
      <c r="F310" s="3">
        <v>2.2799999999999998</v>
      </c>
      <c r="G310" s="3">
        <v>18.5</v>
      </c>
      <c r="H310" s="3">
        <v>98</v>
      </c>
      <c r="I310" s="3">
        <v>1.8</v>
      </c>
      <c r="J310" s="3">
        <v>0.83</v>
      </c>
      <c r="K310" s="3">
        <v>0.61</v>
      </c>
      <c r="L310" s="3">
        <v>1.87</v>
      </c>
      <c r="M310" s="3">
        <v>10.52</v>
      </c>
      <c r="N310" s="3">
        <v>0.56000000000000005</v>
      </c>
      <c r="O310" s="3">
        <v>1.51</v>
      </c>
      <c r="P310" s="3">
        <v>675</v>
      </c>
    </row>
    <row r="311" spans="1:16" ht="15" customHeight="1" x14ac:dyDescent="0.3">
      <c r="A311" s="3">
        <v>310</v>
      </c>
      <c r="B311" s="3" t="s">
        <v>26</v>
      </c>
      <c r="C311" s="9" t="s">
        <v>15</v>
      </c>
      <c r="D311" s="3">
        <v>12.58</v>
      </c>
      <c r="E311" s="3">
        <v>1.29</v>
      </c>
      <c r="F311" s="3">
        <v>2.1</v>
      </c>
      <c r="G311" s="3">
        <v>20</v>
      </c>
      <c r="H311" s="3">
        <v>103</v>
      </c>
      <c r="I311" s="3">
        <v>1.48</v>
      </c>
      <c r="J311" s="3">
        <v>0.57999999999999996</v>
      </c>
      <c r="K311" s="3">
        <v>0.53</v>
      </c>
      <c r="L311" s="3">
        <v>1.4</v>
      </c>
      <c r="M311" s="3">
        <v>7.6</v>
      </c>
      <c r="N311" s="3">
        <v>0.57999999999999996</v>
      </c>
      <c r="O311" s="3">
        <v>1.55</v>
      </c>
      <c r="P311" s="3">
        <v>640</v>
      </c>
    </row>
    <row r="312" spans="1:16" ht="15" customHeight="1" x14ac:dyDescent="0.3">
      <c r="A312" s="3">
        <v>311</v>
      </c>
      <c r="B312" s="3" t="s">
        <v>26</v>
      </c>
      <c r="C312" s="9" t="s">
        <v>15</v>
      </c>
      <c r="D312" s="3">
        <v>13.17</v>
      </c>
      <c r="E312" s="3">
        <v>5.19</v>
      </c>
      <c r="F312" s="3">
        <v>2.3199999999999998</v>
      </c>
      <c r="G312" s="3">
        <v>22</v>
      </c>
      <c r="H312" s="3">
        <v>93</v>
      </c>
      <c r="I312" s="3">
        <v>1.74</v>
      </c>
      <c r="J312" s="3">
        <v>0.63</v>
      </c>
      <c r="K312" s="3">
        <v>0.61</v>
      </c>
      <c r="L312" s="3">
        <v>1.55</v>
      </c>
      <c r="M312" s="3">
        <v>7.9</v>
      </c>
      <c r="N312" s="3">
        <v>0.6</v>
      </c>
      <c r="O312" s="3">
        <v>1.48</v>
      </c>
      <c r="P312" s="3">
        <v>725</v>
      </c>
    </row>
    <row r="313" spans="1:16" ht="15" customHeight="1" x14ac:dyDescent="0.3">
      <c r="A313" s="3">
        <v>312</v>
      </c>
      <c r="B313" s="3" t="s">
        <v>26</v>
      </c>
      <c r="C313" s="9" t="s">
        <v>15</v>
      </c>
      <c r="D313" s="3">
        <v>13.84</v>
      </c>
      <c r="E313" s="3">
        <v>4.12</v>
      </c>
      <c r="F313" s="3">
        <v>2.38</v>
      </c>
      <c r="G313" s="3">
        <v>19.5</v>
      </c>
      <c r="H313" s="3">
        <v>89</v>
      </c>
      <c r="I313" s="3">
        <v>1.8</v>
      </c>
      <c r="J313" s="3">
        <v>0.83</v>
      </c>
      <c r="K313" s="3">
        <v>0.48</v>
      </c>
      <c r="L313" s="3">
        <v>1.56</v>
      </c>
      <c r="M313" s="3">
        <v>9.01</v>
      </c>
      <c r="N313" s="3">
        <v>0.56999999999999995</v>
      </c>
      <c r="O313" s="3">
        <v>1.64</v>
      </c>
      <c r="P313" s="3">
        <v>480</v>
      </c>
    </row>
    <row r="314" spans="1:16" ht="15" customHeight="1" x14ac:dyDescent="0.3">
      <c r="A314" s="3">
        <v>313</v>
      </c>
      <c r="B314" s="3" t="s">
        <v>26</v>
      </c>
      <c r="C314" s="9" t="s">
        <v>15</v>
      </c>
      <c r="D314" s="3">
        <v>12.45</v>
      </c>
      <c r="E314" s="3">
        <v>3.03</v>
      </c>
      <c r="F314" s="3">
        <v>2.64</v>
      </c>
      <c r="G314" s="3">
        <v>27</v>
      </c>
      <c r="H314" s="3">
        <v>97</v>
      </c>
      <c r="I314" s="3">
        <v>1.9</v>
      </c>
      <c r="J314" s="3">
        <v>0.57999999999999996</v>
      </c>
      <c r="K314" s="3">
        <v>0.63</v>
      </c>
      <c r="L314" s="3">
        <v>1.1399999999999999</v>
      </c>
      <c r="M314" s="3">
        <v>7.5</v>
      </c>
      <c r="N314" s="3">
        <v>0.67</v>
      </c>
      <c r="O314" s="3">
        <v>1.73</v>
      </c>
      <c r="P314" s="3">
        <v>880</v>
      </c>
    </row>
    <row r="315" spans="1:16" ht="15" customHeight="1" x14ac:dyDescent="0.3">
      <c r="A315" s="3">
        <v>314</v>
      </c>
      <c r="B315" s="3" t="s">
        <v>26</v>
      </c>
      <c r="C315" s="9" t="s">
        <v>15</v>
      </c>
      <c r="D315" s="3">
        <v>14.34</v>
      </c>
      <c r="E315" s="3">
        <v>1.68</v>
      </c>
      <c r="F315" s="3">
        <v>2.7</v>
      </c>
      <c r="G315" s="3">
        <v>25</v>
      </c>
      <c r="H315" s="3">
        <v>98</v>
      </c>
      <c r="I315" s="3">
        <v>2.8</v>
      </c>
      <c r="J315" s="3">
        <v>1.31</v>
      </c>
      <c r="K315" s="3">
        <v>0.53</v>
      </c>
      <c r="L315" s="3">
        <v>2.7</v>
      </c>
      <c r="M315" s="3">
        <v>13</v>
      </c>
      <c r="N315" s="3">
        <v>0.56999999999999995</v>
      </c>
      <c r="O315" s="3">
        <v>1.96</v>
      </c>
      <c r="P315" s="3">
        <v>660</v>
      </c>
    </row>
    <row r="316" spans="1:16" ht="15" customHeight="1" x14ac:dyDescent="0.3">
      <c r="A316" s="3">
        <v>315</v>
      </c>
      <c r="B316" s="3" t="s">
        <v>26</v>
      </c>
      <c r="C316" s="9" t="s">
        <v>15</v>
      </c>
      <c r="D316" s="3">
        <v>13.48</v>
      </c>
      <c r="E316" s="3">
        <v>1.67</v>
      </c>
      <c r="F316" s="3">
        <v>2.64</v>
      </c>
      <c r="G316" s="3">
        <v>22.5</v>
      </c>
      <c r="H316" s="3">
        <v>89</v>
      </c>
      <c r="I316" s="3">
        <v>2.6</v>
      </c>
      <c r="J316" s="3">
        <v>1.1000000000000001</v>
      </c>
      <c r="K316" s="3">
        <v>0.52</v>
      </c>
      <c r="L316" s="3">
        <v>2.29</v>
      </c>
      <c r="M316" s="3">
        <v>11.75</v>
      </c>
      <c r="N316" s="3">
        <v>0.56999999999999995</v>
      </c>
      <c r="O316" s="3">
        <v>1.78</v>
      </c>
      <c r="P316" s="3">
        <v>620</v>
      </c>
    </row>
    <row r="317" spans="1:16" ht="15" customHeight="1" x14ac:dyDescent="0.3">
      <c r="A317" s="3">
        <v>316</v>
      </c>
      <c r="B317" s="3" t="s">
        <v>26</v>
      </c>
      <c r="C317" s="9" t="s">
        <v>15</v>
      </c>
      <c r="D317" s="3">
        <v>12.36</v>
      </c>
      <c r="E317" s="3">
        <v>3.83</v>
      </c>
      <c r="F317" s="3">
        <v>2.38</v>
      </c>
      <c r="G317" s="3">
        <v>21</v>
      </c>
      <c r="H317" s="3">
        <v>88</v>
      </c>
      <c r="I317" s="3">
        <v>2.2999999999999998</v>
      </c>
      <c r="J317" s="3">
        <v>0.92</v>
      </c>
      <c r="K317" s="3">
        <v>0.5</v>
      </c>
      <c r="L317" s="3">
        <v>1.04</v>
      </c>
      <c r="M317" s="3">
        <v>7.65</v>
      </c>
      <c r="N317" s="3">
        <v>0.56000000000000005</v>
      </c>
      <c r="O317" s="3">
        <v>1.58</v>
      </c>
      <c r="P317" s="3">
        <v>520</v>
      </c>
    </row>
    <row r="318" spans="1:16" ht="15" customHeight="1" x14ac:dyDescent="0.3">
      <c r="A318" s="3">
        <v>317</v>
      </c>
      <c r="B318" s="3" t="s">
        <v>26</v>
      </c>
      <c r="C318" s="9" t="s">
        <v>15</v>
      </c>
      <c r="D318" s="3">
        <v>13.69</v>
      </c>
      <c r="E318" s="3">
        <v>3.26</v>
      </c>
      <c r="F318" s="3">
        <v>2.54</v>
      </c>
      <c r="G318" s="3">
        <v>20</v>
      </c>
      <c r="H318" s="3">
        <v>107</v>
      </c>
      <c r="I318" s="3">
        <v>1.83</v>
      </c>
      <c r="J318" s="3">
        <v>0.56000000000000005</v>
      </c>
      <c r="K318" s="3">
        <v>0.5</v>
      </c>
      <c r="L318" s="3">
        <v>0.8</v>
      </c>
      <c r="M318" s="3">
        <v>5.88</v>
      </c>
      <c r="N318" s="3">
        <v>0.96</v>
      </c>
      <c r="O318" s="3">
        <v>1.82</v>
      </c>
      <c r="P318" s="3">
        <v>680</v>
      </c>
    </row>
    <row r="319" spans="1:16" ht="15" customHeight="1" x14ac:dyDescent="0.3">
      <c r="A319" s="3">
        <v>318</v>
      </c>
      <c r="B319" s="3" t="s">
        <v>26</v>
      </c>
      <c r="C319" s="9" t="s">
        <v>15</v>
      </c>
      <c r="D319" s="3">
        <v>12.85</v>
      </c>
      <c r="E319" s="3">
        <v>3.27</v>
      </c>
      <c r="F319" s="3">
        <v>2.58</v>
      </c>
      <c r="G319" s="3">
        <v>22</v>
      </c>
      <c r="H319" s="3">
        <v>106</v>
      </c>
      <c r="I319" s="3">
        <v>1.65</v>
      </c>
      <c r="J319" s="3">
        <v>0.6</v>
      </c>
      <c r="K319" s="3">
        <v>0.6</v>
      </c>
      <c r="L319" s="3">
        <v>0.96</v>
      </c>
      <c r="M319" s="3">
        <v>5.58</v>
      </c>
      <c r="N319" s="3">
        <v>0.87</v>
      </c>
      <c r="O319" s="3">
        <v>2.11</v>
      </c>
      <c r="P319" s="3">
        <v>570</v>
      </c>
    </row>
    <row r="320" spans="1:16" ht="15" customHeight="1" x14ac:dyDescent="0.3">
      <c r="A320" s="3">
        <v>319</v>
      </c>
      <c r="B320" s="3" t="s">
        <v>26</v>
      </c>
      <c r="C320" s="9" t="s">
        <v>15</v>
      </c>
      <c r="D320" s="3">
        <v>12.96</v>
      </c>
      <c r="E320" s="3">
        <v>3.45</v>
      </c>
      <c r="F320" s="3">
        <v>2.35</v>
      </c>
      <c r="G320" s="3">
        <v>18.5</v>
      </c>
      <c r="H320" s="3">
        <v>106</v>
      </c>
      <c r="I320" s="3">
        <v>1.39</v>
      </c>
      <c r="J320" s="3">
        <v>0.7</v>
      </c>
      <c r="K320" s="3">
        <v>0.4</v>
      </c>
      <c r="L320" s="3">
        <v>0.94</v>
      </c>
      <c r="M320" s="3">
        <v>5.28</v>
      </c>
      <c r="N320" s="3">
        <v>0.68</v>
      </c>
      <c r="O320" s="3">
        <v>1.75</v>
      </c>
      <c r="P320" s="3">
        <v>675</v>
      </c>
    </row>
    <row r="321" spans="1:16" ht="15" customHeight="1" x14ac:dyDescent="0.3">
      <c r="A321" s="3">
        <v>320</v>
      </c>
      <c r="B321" s="3" t="s">
        <v>26</v>
      </c>
      <c r="C321" s="9" t="s">
        <v>15</v>
      </c>
      <c r="D321" s="3">
        <v>13.78</v>
      </c>
      <c r="E321" s="3">
        <v>2.76</v>
      </c>
      <c r="F321" s="3">
        <v>2.2999999999999998</v>
      </c>
      <c r="G321" s="3" t="s">
        <v>25</v>
      </c>
      <c r="H321" s="3">
        <v>90</v>
      </c>
      <c r="I321" s="3">
        <v>1.35</v>
      </c>
      <c r="J321" s="3">
        <v>0.68</v>
      </c>
      <c r="K321" s="3">
        <v>0.41</v>
      </c>
      <c r="L321" s="3">
        <v>1.03</v>
      </c>
      <c r="M321" s="3">
        <v>9.58</v>
      </c>
      <c r="N321" s="3">
        <v>0.7</v>
      </c>
      <c r="O321" s="3">
        <v>1.68</v>
      </c>
      <c r="P321" s="3">
        <v>615</v>
      </c>
    </row>
    <row r="322" spans="1:16" ht="15" customHeight="1" x14ac:dyDescent="0.3">
      <c r="A322" s="3">
        <v>321</v>
      </c>
      <c r="B322" s="3" t="s">
        <v>26</v>
      </c>
      <c r="C322" s="9" t="s">
        <v>15</v>
      </c>
      <c r="D322" s="3">
        <v>13.73</v>
      </c>
      <c r="E322" s="3">
        <v>4.3600000000000003</v>
      </c>
      <c r="F322" s="3">
        <v>2.2599999999999998</v>
      </c>
      <c r="G322" s="3">
        <v>22.5</v>
      </c>
      <c r="H322" s="3">
        <v>88</v>
      </c>
      <c r="I322" s="3">
        <v>1.28</v>
      </c>
      <c r="J322" s="3">
        <v>0.47</v>
      </c>
      <c r="K322" s="3">
        <v>0.52</v>
      </c>
      <c r="L322" s="3">
        <v>1.1499999999999999</v>
      </c>
      <c r="M322" s="3">
        <v>6.62</v>
      </c>
      <c r="N322" s="3">
        <v>0.78</v>
      </c>
      <c r="O322" s="3">
        <v>1.75</v>
      </c>
      <c r="P322" s="3">
        <v>520</v>
      </c>
    </row>
    <row r="323" spans="1:16" ht="15" customHeight="1" x14ac:dyDescent="0.3">
      <c r="A323" s="3">
        <v>322</v>
      </c>
      <c r="B323" s="3" t="s">
        <v>26</v>
      </c>
      <c r="C323" s="9" t="s">
        <v>15</v>
      </c>
      <c r="D323" s="3">
        <v>13.45</v>
      </c>
      <c r="E323" s="3">
        <v>3.7</v>
      </c>
      <c r="F323" s="3">
        <v>2.6</v>
      </c>
      <c r="G323" s="3">
        <v>23</v>
      </c>
      <c r="H323" s="3">
        <v>111</v>
      </c>
      <c r="I323" s="3">
        <v>1.7</v>
      </c>
      <c r="J323" s="3">
        <v>0.92</v>
      </c>
      <c r="K323" s="3">
        <v>0.43</v>
      </c>
      <c r="L323" s="3">
        <v>1.46</v>
      </c>
      <c r="M323" s="3">
        <v>10.68</v>
      </c>
      <c r="N323" s="3">
        <v>0.85</v>
      </c>
      <c r="O323" s="3">
        <v>1.56</v>
      </c>
      <c r="P323" s="3">
        <v>695</v>
      </c>
    </row>
    <row r="324" spans="1:16" ht="15" customHeight="1" x14ac:dyDescent="0.3">
      <c r="A324" s="3">
        <v>323</v>
      </c>
      <c r="B324" s="3" t="s">
        <v>26</v>
      </c>
      <c r="C324" s="9" t="s">
        <v>15</v>
      </c>
      <c r="D324" s="3">
        <v>12.82</v>
      </c>
      <c r="E324" s="3">
        <v>3.37</v>
      </c>
      <c r="F324" s="3">
        <v>2.2999999999999998</v>
      </c>
      <c r="G324" s="3">
        <v>19.5</v>
      </c>
      <c r="H324" s="3">
        <v>88</v>
      </c>
      <c r="I324" s="3">
        <v>1.48</v>
      </c>
      <c r="J324" s="3">
        <v>0.66</v>
      </c>
      <c r="K324" s="3">
        <v>0.4</v>
      </c>
      <c r="L324" s="3">
        <v>0.97</v>
      </c>
      <c r="M324" s="3">
        <v>10.26</v>
      </c>
      <c r="N324" s="3">
        <v>0.72</v>
      </c>
      <c r="O324" s="3">
        <v>1.75</v>
      </c>
      <c r="P324" s="3">
        <v>685</v>
      </c>
    </row>
    <row r="325" spans="1:16" ht="15" customHeight="1" x14ac:dyDescent="0.3">
      <c r="A325" s="3">
        <v>324</v>
      </c>
      <c r="B325" s="3" t="s">
        <v>26</v>
      </c>
      <c r="C325" s="9" t="s">
        <v>15</v>
      </c>
      <c r="D325" s="3">
        <v>13.58</v>
      </c>
      <c r="E325" s="3">
        <v>2.58</v>
      </c>
      <c r="F325" s="3">
        <v>2.69</v>
      </c>
      <c r="G325" s="3">
        <v>24.5</v>
      </c>
      <c r="H325" s="3">
        <v>105</v>
      </c>
      <c r="I325" s="3">
        <v>1.55</v>
      </c>
      <c r="J325" s="3">
        <v>0.84</v>
      </c>
      <c r="K325" s="3" t="s">
        <v>25</v>
      </c>
      <c r="L325" s="3">
        <v>1.54</v>
      </c>
      <c r="M325" s="3">
        <v>8.66</v>
      </c>
      <c r="N325" s="3">
        <v>0.74</v>
      </c>
      <c r="O325" s="3">
        <v>1.8</v>
      </c>
      <c r="P325" s="3">
        <v>750</v>
      </c>
    </row>
    <row r="326" spans="1:16" ht="15" customHeight="1" x14ac:dyDescent="0.3">
      <c r="A326" s="3">
        <v>325</v>
      </c>
      <c r="B326" s="3" t="s">
        <v>26</v>
      </c>
      <c r="C326" s="9" t="s">
        <v>15</v>
      </c>
      <c r="D326" s="3">
        <v>13.4</v>
      </c>
      <c r="E326" s="3">
        <v>4.5999999999999996</v>
      </c>
      <c r="F326" s="3">
        <v>2.86</v>
      </c>
      <c r="G326" s="3">
        <v>25</v>
      </c>
      <c r="H326" s="3">
        <v>112</v>
      </c>
      <c r="I326" s="3">
        <v>1.98</v>
      </c>
      <c r="J326" s="3">
        <v>0.96</v>
      </c>
      <c r="K326" s="3">
        <v>0.27</v>
      </c>
      <c r="L326" s="3">
        <v>1.1100000000000001</v>
      </c>
      <c r="M326" s="3">
        <v>8.5</v>
      </c>
      <c r="N326" s="3">
        <v>0.67</v>
      </c>
      <c r="O326" s="3">
        <v>1.92</v>
      </c>
      <c r="P326" s="3">
        <v>630</v>
      </c>
    </row>
    <row r="327" spans="1:16" ht="15" customHeight="1" x14ac:dyDescent="0.3">
      <c r="A327" s="3">
        <v>326</v>
      </c>
      <c r="B327" s="3" t="s">
        <v>26</v>
      </c>
      <c r="C327" s="9" t="s">
        <v>15</v>
      </c>
      <c r="D327" s="3">
        <v>12.2</v>
      </c>
      <c r="E327" s="3">
        <v>3.03</v>
      </c>
      <c r="F327" s="3">
        <v>2.3199999999999998</v>
      </c>
      <c r="G327" s="3">
        <v>19</v>
      </c>
      <c r="H327" s="3">
        <v>96</v>
      </c>
      <c r="I327" s="3">
        <v>1.25</v>
      </c>
      <c r="J327" s="3">
        <v>0.49</v>
      </c>
      <c r="K327" s="3">
        <v>0.4</v>
      </c>
      <c r="L327" s="3">
        <v>0.73</v>
      </c>
      <c r="M327" s="3">
        <v>5.5</v>
      </c>
      <c r="N327" s="3">
        <v>0.66</v>
      </c>
      <c r="O327" s="3">
        <v>1.83</v>
      </c>
      <c r="P327" s="3">
        <v>510</v>
      </c>
    </row>
    <row r="328" spans="1:16" ht="15" customHeight="1" x14ac:dyDescent="0.3">
      <c r="A328" s="3">
        <v>327</v>
      </c>
      <c r="B328" s="3" t="s">
        <v>26</v>
      </c>
      <c r="C328" s="9" t="s">
        <v>15</v>
      </c>
      <c r="D328" s="3">
        <v>12.77</v>
      </c>
      <c r="E328" s="3">
        <v>2.39</v>
      </c>
      <c r="F328" s="3">
        <v>2.2799999999999998</v>
      </c>
      <c r="G328" s="3">
        <v>19.5</v>
      </c>
      <c r="H328" s="3">
        <v>86</v>
      </c>
      <c r="I328" s="3">
        <v>1.39</v>
      </c>
      <c r="J328" s="3">
        <v>0.51</v>
      </c>
      <c r="K328" s="3">
        <v>0.48</v>
      </c>
      <c r="L328" s="3">
        <v>0.64</v>
      </c>
      <c r="M328" s="3">
        <v>9.8999989999999993</v>
      </c>
      <c r="N328" s="3">
        <v>0.56999999999999995</v>
      </c>
      <c r="O328" s="3">
        <v>1.63</v>
      </c>
      <c r="P328" s="3">
        <v>470</v>
      </c>
    </row>
    <row r="329" spans="1:16" ht="15" customHeight="1" x14ac:dyDescent="0.3">
      <c r="A329" s="3">
        <v>328</v>
      </c>
      <c r="B329" s="3" t="s">
        <v>26</v>
      </c>
      <c r="C329" s="9" t="s">
        <v>15</v>
      </c>
      <c r="D329" s="3">
        <v>14.16</v>
      </c>
      <c r="E329" s="3">
        <v>2.5099999999999998</v>
      </c>
      <c r="F329" s="3">
        <v>2.48</v>
      </c>
      <c r="G329" s="3">
        <v>20</v>
      </c>
      <c r="H329" s="3">
        <v>91</v>
      </c>
      <c r="I329" s="3">
        <v>1.68</v>
      </c>
      <c r="J329" s="3">
        <v>0.7</v>
      </c>
      <c r="K329" s="3">
        <v>0.44</v>
      </c>
      <c r="L329" s="3">
        <v>1.24</v>
      </c>
      <c r="M329" s="3">
        <v>9.6999999999999993</v>
      </c>
      <c r="N329" s="3">
        <v>0.62</v>
      </c>
      <c r="O329" s="3">
        <v>1.71</v>
      </c>
      <c r="P329" s="3">
        <v>660</v>
      </c>
    </row>
    <row r="330" spans="1:16" ht="15" customHeight="1" x14ac:dyDescent="0.3">
      <c r="A330" s="3">
        <v>329</v>
      </c>
      <c r="B330" s="3" t="s">
        <v>26</v>
      </c>
      <c r="C330" s="9" t="s">
        <v>15</v>
      </c>
      <c r="D330" s="3">
        <v>13.71</v>
      </c>
      <c r="E330" s="3">
        <v>5.65</v>
      </c>
      <c r="F330" s="3">
        <v>2.4500000000000002</v>
      </c>
      <c r="G330" s="3">
        <v>20.5</v>
      </c>
      <c r="H330" s="3">
        <v>95</v>
      </c>
      <c r="I330" s="3">
        <v>1.68</v>
      </c>
      <c r="J330" s="3">
        <v>0.61</v>
      </c>
      <c r="K330" s="3">
        <v>0.52</v>
      </c>
      <c r="L330" s="3">
        <v>1.06</v>
      </c>
      <c r="M330" s="3">
        <v>7.7</v>
      </c>
      <c r="N330" s="3">
        <v>0.64</v>
      </c>
      <c r="O330" s="3">
        <v>1.74</v>
      </c>
      <c r="P330" s="3">
        <v>740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510B-614F-4BAB-85FE-A46FE7B8AA84}">
  <dimension ref="B1:CV362"/>
  <sheetViews>
    <sheetView showGridLines="0" topLeftCell="A6" zoomScale="70" zoomScaleNormal="70" workbookViewId="0">
      <selection activeCell="J42" sqref="J42"/>
    </sheetView>
  </sheetViews>
  <sheetFormatPr defaultRowHeight="13.2" x14ac:dyDescent="0.25"/>
  <cols>
    <col min="3" max="3" width="11.5546875" customWidth="1"/>
    <col min="4" max="4" width="14.5546875" customWidth="1"/>
    <col min="5" max="5" width="10" customWidth="1"/>
    <col min="7" max="7" width="17" customWidth="1"/>
    <col min="8" max="8" width="19.6640625" customWidth="1"/>
    <col min="9" max="9" width="13.88671875" customWidth="1"/>
    <col min="10" max="10" width="29.109375" bestFit="1" customWidth="1"/>
    <col min="11" max="11" width="20.33203125" customWidth="1"/>
    <col min="12" max="12" width="22.88671875" customWidth="1"/>
    <col min="13" max="13" width="19.88671875" customWidth="1"/>
    <col min="14" max="14" width="29.88671875" customWidth="1"/>
    <col min="15" max="15" width="25.33203125" customWidth="1"/>
    <col min="16" max="16" width="23.77734375" customWidth="1"/>
    <col min="17" max="17" width="14" customWidth="1"/>
    <col min="18" max="18" width="23.109375" customWidth="1"/>
    <col min="19" max="19" width="16.6640625" customWidth="1"/>
  </cols>
  <sheetData>
    <row r="1" spans="2:100" ht="18" x14ac:dyDescent="0.35">
      <c r="B1" s="12" t="s">
        <v>29</v>
      </c>
      <c r="N1" t="s">
        <v>58</v>
      </c>
      <c r="CV1" s="19" t="s">
        <v>59</v>
      </c>
    </row>
    <row r="3" spans="2:100" ht="15.6" x14ac:dyDescent="0.3">
      <c r="B3" s="21" t="s">
        <v>30</v>
      </c>
      <c r="C3" s="22"/>
      <c r="D3" s="22"/>
      <c r="E3" s="23"/>
      <c r="J3" s="21" t="s">
        <v>53</v>
      </c>
      <c r="K3" s="22"/>
      <c r="L3" s="22"/>
      <c r="M3" s="23"/>
    </row>
    <row r="4" spans="2:100" ht="13.8" x14ac:dyDescent="0.3">
      <c r="B4" s="20" t="s">
        <v>31</v>
      </c>
      <c r="C4" s="20"/>
      <c r="D4" s="20" t="s">
        <v>32</v>
      </c>
      <c r="E4" s="20"/>
      <c r="J4" s="18" t="s">
        <v>54</v>
      </c>
      <c r="K4" s="18" t="s">
        <v>55</v>
      </c>
      <c r="L4" s="18" t="s">
        <v>56</v>
      </c>
      <c r="M4" s="18" t="s">
        <v>57</v>
      </c>
    </row>
    <row r="5" spans="2:100" ht="13.8" x14ac:dyDescent="0.3">
      <c r="J5" s="16">
        <v>26</v>
      </c>
      <c r="K5" s="16">
        <v>17</v>
      </c>
      <c r="L5" s="16">
        <v>0</v>
      </c>
      <c r="M5" s="16">
        <v>43</v>
      </c>
    </row>
    <row r="10" spans="2:100" ht="18" x14ac:dyDescent="0.35">
      <c r="B10" s="13" t="s">
        <v>31</v>
      </c>
    </row>
    <row r="12" spans="2:100" ht="15.6" x14ac:dyDescent="0.3">
      <c r="C12" s="28" t="s">
        <v>33</v>
      </c>
      <c r="D12" s="28"/>
      <c r="E12" s="28"/>
      <c r="F12" s="28"/>
      <c r="G12" s="28"/>
      <c r="H12" s="28"/>
      <c r="I12" s="28"/>
    </row>
    <row r="13" spans="2:100" ht="13.8" x14ac:dyDescent="0.3">
      <c r="C13" s="24" t="s">
        <v>34</v>
      </c>
      <c r="D13" s="24"/>
      <c r="E13" s="25"/>
      <c r="F13" s="29" t="s">
        <v>48</v>
      </c>
      <c r="G13" s="29"/>
      <c r="H13" s="29"/>
      <c r="I13" s="29"/>
    </row>
    <row r="14" spans="2:100" ht="13.8" x14ac:dyDescent="0.3">
      <c r="C14" s="24" t="s">
        <v>35</v>
      </c>
      <c r="D14" s="24"/>
      <c r="E14" s="25"/>
      <c r="F14" s="29" t="s">
        <v>33</v>
      </c>
      <c r="G14" s="29"/>
      <c r="H14" s="29"/>
      <c r="I14" s="29"/>
    </row>
    <row r="15" spans="2:100" ht="13.8" x14ac:dyDescent="0.3">
      <c r="C15" s="24" t="s">
        <v>36</v>
      </c>
      <c r="D15" s="24"/>
      <c r="E15" s="25"/>
      <c r="F15" s="29" t="s">
        <v>49</v>
      </c>
      <c r="G15" s="29"/>
      <c r="H15" s="29"/>
      <c r="I15" s="29"/>
    </row>
    <row r="16" spans="2:100" ht="13.8" x14ac:dyDescent="0.3">
      <c r="C16" s="24" t="s">
        <v>37</v>
      </c>
      <c r="D16" s="24"/>
      <c r="E16" s="25"/>
      <c r="F16" s="27">
        <v>329</v>
      </c>
      <c r="G16" s="27"/>
      <c r="H16" s="27"/>
      <c r="I16" s="27"/>
    </row>
    <row r="18" spans="2:21" ht="15.6" x14ac:dyDescent="0.3">
      <c r="C18" s="28" t="s">
        <v>38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</row>
    <row r="19" spans="2:21" ht="13.8" x14ac:dyDescent="0.3">
      <c r="C19" s="24" t="s">
        <v>39</v>
      </c>
      <c r="D19" s="24"/>
      <c r="E19" s="25"/>
      <c r="F19" s="27">
        <v>16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</row>
    <row r="20" spans="2:21" ht="13.8" x14ac:dyDescent="0.3">
      <c r="C20" s="24" t="s">
        <v>40</v>
      </c>
      <c r="D20" s="24"/>
      <c r="E20" s="25"/>
      <c r="F20" s="16" t="s">
        <v>28</v>
      </c>
      <c r="G20" s="16" t="s">
        <v>27</v>
      </c>
      <c r="H20" s="16" t="s">
        <v>0</v>
      </c>
      <c r="I20" s="16" t="s">
        <v>1</v>
      </c>
      <c r="J20" s="16" t="s">
        <v>2</v>
      </c>
      <c r="K20" s="16" t="s">
        <v>3</v>
      </c>
      <c r="L20" s="16" t="s">
        <v>4</v>
      </c>
      <c r="M20" s="16" t="s">
        <v>5</v>
      </c>
      <c r="N20" s="16" t="s">
        <v>6</v>
      </c>
      <c r="O20" s="16" t="s">
        <v>7</v>
      </c>
      <c r="P20" s="16" t="s">
        <v>8</v>
      </c>
      <c r="Q20" s="16" t="s">
        <v>9</v>
      </c>
      <c r="R20" s="16" t="s">
        <v>10</v>
      </c>
      <c r="S20" s="16" t="s">
        <v>11</v>
      </c>
      <c r="T20" s="16" t="s">
        <v>18</v>
      </c>
      <c r="U20" s="16" t="s">
        <v>12</v>
      </c>
    </row>
    <row r="22" spans="2:21" ht="15.6" x14ac:dyDescent="0.3">
      <c r="C22" s="28" t="s">
        <v>41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</row>
    <row r="23" spans="2:21" ht="13.8" x14ac:dyDescent="0.3">
      <c r="C23" s="24" t="s">
        <v>42</v>
      </c>
      <c r="D23" s="24"/>
      <c r="E23" s="25"/>
      <c r="F23" s="17" t="s">
        <v>28</v>
      </c>
      <c r="G23" s="17" t="s">
        <v>27</v>
      </c>
      <c r="H23" s="17" t="s">
        <v>0</v>
      </c>
      <c r="I23" s="17" t="s">
        <v>1</v>
      </c>
      <c r="J23" s="17" t="s">
        <v>2</v>
      </c>
      <c r="K23" s="17" t="s">
        <v>3</v>
      </c>
      <c r="L23" s="17" t="s">
        <v>4</v>
      </c>
      <c r="M23" s="17" t="s">
        <v>5</v>
      </c>
      <c r="N23" s="17" t="s">
        <v>6</v>
      </c>
      <c r="O23" s="17" t="s">
        <v>7</v>
      </c>
      <c r="P23" s="17" t="s">
        <v>8</v>
      </c>
      <c r="Q23" s="17" t="s">
        <v>9</v>
      </c>
      <c r="R23" s="17" t="s">
        <v>10</v>
      </c>
      <c r="S23" s="17" t="s">
        <v>11</v>
      </c>
      <c r="T23" s="17" t="s">
        <v>18</v>
      </c>
      <c r="U23" s="17" t="s">
        <v>12</v>
      </c>
    </row>
    <row r="24" spans="2:21" ht="13.8" x14ac:dyDescent="0.3">
      <c r="C24" s="24" t="s">
        <v>43</v>
      </c>
      <c r="D24" s="24"/>
      <c r="E24" s="25"/>
      <c r="F24" s="17" t="s">
        <v>50</v>
      </c>
      <c r="G24" s="17" t="s">
        <v>50</v>
      </c>
      <c r="H24" s="17" t="s">
        <v>51</v>
      </c>
      <c r="I24" s="17" t="s">
        <v>52</v>
      </c>
      <c r="J24" s="17" t="s">
        <v>52</v>
      </c>
      <c r="K24" s="17" t="s">
        <v>52</v>
      </c>
      <c r="L24" s="17" t="s">
        <v>52</v>
      </c>
      <c r="M24" s="17" t="s">
        <v>52</v>
      </c>
      <c r="N24" s="17" t="s">
        <v>52</v>
      </c>
      <c r="O24" s="17" t="s">
        <v>52</v>
      </c>
      <c r="P24" s="17" t="s">
        <v>52</v>
      </c>
      <c r="Q24" s="17" t="s">
        <v>52</v>
      </c>
      <c r="R24" s="17" t="s">
        <v>52</v>
      </c>
      <c r="S24" s="17" t="s">
        <v>52</v>
      </c>
      <c r="T24" s="17" t="s">
        <v>52</v>
      </c>
      <c r="U24" s="17" t="s">
        <v>52</v>
      </c>
    </row>
    <row r="25" spans="2:21" ht="13.8" x14ac:dyDescent="0.3">
      <c r="C25" s="24" t="s">
        <v>44</v>
      </c>
      <c r="D25" s="24"/>
      <c r="E25" s="25"/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1</v>
      </c>
      <c r="M25" s="17">
        <v>0</v>
      </c>
      <c r="N25" s="17">
        <v>0</v>
      </c>
      <c r="O25" s="17">
        <v>0</v>
      </c>
      <c r="P25" s="17">
        <v>2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</row>
    <row r="26" spans="2:21" ht="13.8" x14ac:dyDescent="0.3">
      <c r="C26" s="24" t="s">
        <v>45</v>
      </c>
      <c r="D26" s="24"/>
      <c r="E26" s="25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</row>
    <row r="27" spans="2:21" ht="13.8" x14ac:dyDescent="0.3">
      <c r="C27" s="24" t="s">
        <v>46</v>
      </c>
      <c r="D27" s="24"/>
      <c r="E27" s="25"/>
      <c r="F27" s="27">
        <v>329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</row>
    <row r="28" spans="2:21" ht="13.8" x14ac:dyDescent="0.3">
      <c r="C28" s="24" t="s">
        <v>47</v>
      </c>
      <c r="D28" s="24"/>
      <c r="E28" s="25"/>
      <c r="F28" s="27">
        <v>0</v>
      </c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</row>
    <row r="31" spans="2:21" ht="18" x14ac:dyDescent="0.35">
      <c r="B31" s="13" t="s">
        <v>32</v>
      </c>
    </row>
    <row r="33" spans="3:19" x14ac:dyDescent="0.25">
      <c r="C33" s="15" t="s">
        <v>60</v>
      </c>
      <c r="D33" t="s">
        <v>28</v>
      </c>
      <c r="E33" t="s">
        <v>27</v>
      </c>
      <c r="F33" t="s">
        <v>0</v>
      </c>
      <c r="G33" t="s">
        <v>61</v>
      </c>
      <c r="H33" t="s">
        <v>62</v>
      </c>
      <c r="I33" t="s">
        <v>63</v>
      </c>
      <c r="J33" t="s">
        <v>64</v>
      </c>
      <c r="K33" t="s">
        <v>65</v>
      </c>
      <c r="L33" t="s">
        <v>66</v>
      </c>
      <c r="M33" t="s">
        <v>67</v>
      </c>
      <c r="N33" t="s">
        <v>68</v>
      </c>
      <c r="O33" t="s">
        <v>69</v>
      </c>
      <c r="P33" t="s">
        <v>70</v>
      </c>
      <c r="Q33" t="s">
        <v>71</v>
      </c>
      <c r="R33" t="s">
        <v>72</v>
      </c>
      <c r="S33" t="s">
        <v>73</v>
      </c>
    </row>
    <row r="34" spans="3:19" x14ac:dyDescent="0.25">
      <c r="C34" s="15" t="s">
        <v>74</v>
      </c>
      <c r="D34" s="14">
        <v>1</v>
      </c>
      <c r="E34" s="14" t="s">
        <v>26</v>
      </c>
      <c r="F34" s="14" t="s">
        <v>13</v>
      </c>
      <c r="G34" s="14">
        <v>14.23</v>
      </c>
      <c r="H34" s="14">
        <v>1.71</v>
      </c>
      <c r="I34" s="14">
        <v>2.4300000000000002</v>
      </c>
      <c r="J34" s="14">
        <v>15.6</v>
      </c>
      <c r="K34" s="14">
        <v>127</v>
      </c>
      <c r="L34" s="14">
        <v>2.8</v>
      </c>
      <c r="M34" s="14">
        <v>3.06</v>
      </c>
      <c r="N34" s="14">
        <v>0.28000000000000003</v>
      </c>
      <c r="O34" s="14">
        <v>2.29</v>
      </c>
      <c r="P34" s="14">
        <v>5.64</v>
      </c>
      <c r="Q34" s="14">
        <v>1.04</v>
      </c>
      <c r="R34" s="14">
        <v>3.92</v>
      </c>
      <c r="S34">
        <v>1065</v>
      </c>
    </row>
    <row r="35" spans="3:19" x14ac:dyDescent="0.25">
      <c r="C35" s="15" t="s">
        <v>75</v>
      </c>
      <c r="D35" s="14">
        <v>2</v>
      </c>
      <c r="E35" s="14" t="s">
        <v>26</v>
      </c>
      <c r="F35" s="14" t="s">
        <v>13</v>
      </c>
      <c r="G35" s="14">
        <v>13.2</v>
      </c>
      <c r="H35" s="14">
        <v>1.78</v>
      </c>
      <c r="I35" s="14">
        <v>2.14</v>
      </c>
      <c r="J35" s="14">
        <v>11.2</v>
      </c>
      <c r="K35" s="14">
        <v>100</v>
      </c>
      <c r="L35" s="14">
        <v>2.65</v>
      </c>
      <c r="M35" s="14">
        <v>2.76</v>
      </c>
      <c r="N35" s="14">
        <v>0.26</v>
      </c>
      <c r="O35" s="14">
        <v>1.28</v>
      </c>
      <c r="P35" s="14">
        <v>4.38</v>
      </c>
      <c r="Q35" s="14">
        <v>1.05</v>
      </c>
      <c r="R35" s="14">
        <v>3.4</v>
      </c>
      <c r="S35">
        <v>1050</v>
      </c>
    </row>
    <row r="36" spans="3:19" x14ac:dyDescent="0.25">
      <c r="C36" s="15" t="s">
        <v>76</v>
      </c>
      <c r="D36" s="14">
        <v>3</v>
      </c>
      <c r="E36" s="14" t="s">
        <v>26</v>
      </c>
      <c r="F36" s="14" t="s">
        <v>13</v>
      </c>
      <c r="G36" s="14">
        <v>13.16</v>
      </c>
      <c r="H36" s="14">
        <v>2.36</v>
      </c>
      <c r="I36" s="14">
        <v>2.67</v>
      </c>
      <c r="J36" s="14">
        <v>18.600000000000001</v>
      </c>
      <c r="K36" s="14">
        <v>101</v>
      </c>
      <c r="L36" s="14">
        <v>2.8</v>
      </c>
      <c r="M36" s="14">
        <v>3.24</v>
      </c>
      <c r="N36" s="14">
        <v>0.3</v>
      </c>
      <c r="O36" s="14">
        <v>2.81</v>
      </c>
      <c r="P36" s="14">
        <v>5.68</v>
      </c>
      <c r="Q36" s="14">
        <v>1.03</v>
      </c>
      <c r="R36" s="14">
        <v>3.17</v>
      </c>
      <c r="S36">
        <v>1185</v>
      </c>
    </row>
    <row r="37" spans="3:19" x14ac:dyDescent="0.25">
      <c r="C37" s="15" t="s">
        <v>77</v>
      </c>
      <c r="D37" s="14">
        <v>4</v>
      </c>
      <c r="E37" s="14" t="s">
        <v>26</v>
      </c>
      <c r="F37" s="14" t="s">
        <v>13</v>
      </c>
      <c r="G37" s="14">
        <v>14.37</v>
      </c>
      <c r="H37" s="14">
        <v>1.95</v>
      </c>
      <c r="I37" s="14">
        <v>2.5</v>
      </c>
      <c r="J37" s="14">
        <v>16.8</v>
      </c>
      <c r="K37" s="14">
        <v>113</v>
      </c>
      <c r="L37" s="14">
        <v>3.85</v>
      </c>
      <c r="M37" s="14">
        <v>3.49</v>
      </c>
      <c r="N37" s="14">
        <v>0.24</v>
      </c>
      <c r="O37" s="14">
        <v>2.1800000000000002</v>
      </c>
      <c r="P37" s="14">
        <v>7.8</v>
      </c>
      <c r="Q37" s="14">
        <v>0.86</v>
      </c>
      <c r="R37" s="14">
        <v>3.45</v>
      </c>
      <c r="S37">
        <v>1480</v>
      </c>
    </row>
    <row r="38" spans="3:19" x14ac:dyDescent="0.25">
      <c r="C38" s="15" t="s">
        <v>78</v>
      </c>
      <c r="D38" s="14">
        <v>5</v>
      </c>
      <c r="E38" s="14" t="s">
        <v>26</v>
      </c>
      <c r="F38" s="14" t="s">
        <v>13</v>
      </c>
      <c r="G38" s="14">
        <v>13.24</v>
      </c>
      <c r="H38" s="14">
        <v>2.59</v>
      </c>
      <c r="I38" s="14">
        <v>2.87</v>
      </c>
      <c r="J38" s="14">
        <v>21</v>
      </c>
      <c r="K38" s="14">
        <v>118</v>
      </c>
      <c r="L38" s="14">
        <v>2.8</v>
      </c>
      <c r="M38" s="14">
        <v>2.69</v>
      </c>
      <c r="N38" s="14">
        <v>0.39</v>
      </c>
      <c r="O38" s="14">
        <v>1.82</v>
      </c>
      <c r="P38" s="14">
        <v>4.32</v>
      </c>
      <c r="Q38" s="14">
        <v>1.04</v>
      </c>
      <c r="R38" s="14">
        <v>2.93</v>
      </c>
      <c r="S38">
        <v>735</v>
      </c>
    </row>
    <row r="39" spans="3:19" x14ac:dyDescent="0.25">
      <c r="C39" s="15" t="s">
        <v>79</v>
      </c>
      <c r="D39" s="14">
        <v>6</v>
      </c>
      <c r="E39" s="14" t="s">
        <v>26</v>
      </c>
      <c r="F39" s="14" t="s">
        <v>13</v>
      </c>
      <c r="G39" s="14">
        <v>14.2</v>
      </c>
      <c r="H39" s="14">
        <v>1.76</v>
      </c>
      <c r="I39" s="14">
        <v>2.4500000000000002</v>
      </c>
      <c r="J39" s="14">
        <v>15.2</v>
      </c>
      <c r="K39" s="14">
        <v>112</v>
      </c>
      <c r="L39" s="14">
        <v>3.27</v>
      </c>
      <c r="M39" s="14">
        <v>3.39</v>
      </c>
      <c r="N39" s="14">
        <v>0.34</v>
      </c>
      <c r="O39" s="14">
        <v>1.97</v>
      </c>
      <c r="P39" s="14">
        <v>6.75</v>
      </c>
      <c r="Q39" s="14">
        <v>1.05</v>
      </c>
      <c r="R39" s="14">
        <v>2.85</v>
      </c>
      <c r="S39">
        <v>1450</v>
      </c>
    </row>
    <row r="40" spans="3:19" x14ac:dyDescent="0.25">
      <c r="C40" s="15" t="s">
        <v>80</v>
      </c>
      <c r="D40" s="14">
        <v>7</v>
      </c>
      <c r="E40" s="14" t="s">
        <v>26</v>
      </c>
      <c r="F40" s="14" t="s">
        <v>13</v>
      </c>
      <c r="G40" s="14">
        <v>14.39</v>
      </c>
      <c r="H40" s="14">
        <v>1.87</v>
      </c>
      <c r="I40" s="14">
        <v>2.4500000000000002</v>
      </c>
      <c r="J40" s="14">
        <v>14.6</v>
      </c>
      <c r="K40" s="14">
        <v>96</v>
      </c>
      <c r="L40" s="14">
        <v>2.5</v>
      </c>
      <c r="M40" s="14">
        <v>2.52</v>
      </c>
      <c r="N40" s="14">
        <v>0.3</v>
      </c>
      <c r="O40" s="14">
        <v>1.98</v>
      </c>
      <c r="P40" s="14">
        <v>5.25</v>
      </c>
      <c r="Q40" s="14">
        <v>1.02</v>
      </c>
      <c r="R40" s="14">
        <v>3.58</v>
      </c>
      <c r="S40">
        <v>1290</v>
      </c>
    </row>
    <row r="41" spans="3:19" x14ac:dyDescent="0.25">
      <c r="C41" s="15" t="s">
        <v>81</v>
      </c>
      <c r="D41" s="14">
        <v>8</v>
      </c>
      <c r="E41" s="14" t="s">
        <v>26</v>
      </c>
      <c r="F41" s="14" t="s">
        <v>13</v>
      </c>
      <c r="G41" s="14">
        <v>14.06</v>
      </c>
      <c r="H41" s="14">
        <v>2.15</v>
      </c>
      <c r="I41" s="14">
        <v>2.61</v>
      </c>
      <c r="J41" s="14">
        <v>17.600000000000001</v>
      </c>
      <c r="K41" s="14">
        <v>121</v>
      </c>
      <c r="L41" s="14">
        <v>2.6</v>
      </c>
      <c r="M41" s="14">
        <v>2.5099999999999998</v>
      </c>
      <c r="N41" s="14">
        <v>0.31</v>
      </c>
      <c r="O41" s="14">
        <v>1.25</v>
      </c>
      <c r="P41" s="14">
        <v>5.05</v>
      </c>
      <c r="Q41" s="14">
        <v>1.06</v>
      </c>
      <c r="R41" s="14">
        <v>3.58</v>
      </c>
      <c r="S41">
        <v>1295</v>
      </c>
    </row>
    <row r="42" spans="3:19" x14ac:dyDescent="0.25">
      <c r="C42" s="15" t="s">
        <v>82</v>
      </c>
      <c r="D42" s="14">
        <v>9</v>
      </c>
      <c r="E42" s="14" t="s">
        <v>26</v>
      </c>
      <c r="F42" s="14" t="s">
        <v>13</v>
      </c>
      <c r="G42" s="14">
        <v>14.83</v>
      </c>
      <c r="H42" s="14">
        <v>1.64</v>
      </c>
      <c r="I42" s="14">
        <v>2.17</v>
      </c>
      <c r="J42" s="14">
        <v>14</v>
      </c>
      <c r="K42" s="14">
        <v>97</v>
      </c>
      <c r="L42" s="14">
        <v>2.8</v>
      </c>
      <c r="M42" s="14">
        <v>2.98</v>
      </c>
      <c r="N42" s="14">
        <v>0.28999999999999998</v>
      </c>
      <c r="O42" s="14">
        <v>1.98</v>
      </c>
      <c r="P42" s="14">
        <v>5.2</v>
      </c>
      <c r="Q42" s="14">
        <v>1.08</v>
      </c>
      <c r="R42" s="14">
        <v>2.85</v>
      </c>
      <c r="S42">
        <v>1045</v>
      </c>
    </row>
    <row r="43" spans="3:19" x14ac:dyDescent="0.25">
      <c r="C43" s="15" t="s">
        <v>83</v>
      </c>
      <c r="D43" s="14">
        <v>10</v>
      </c>
      <c r="E43" s="14" t="s">
        <v>26</v>
      </c>
      <c r="F43" s="14" t="s">
        <v>13</v>
      </c>
      <c r="G43" s="14">
        <v>13.86</v>
      </c>
      <c r="H43" s="14">
        <v>1.35</v>
      </c>
      <c r="I43" s="14">
        <v>2.27</v>
      </c>
      <c r="J43" s="14">
        <v>16</v>
      </c>
      <c r="K43" s="14">
        <v>98</v>
      </c>
      <c r="L43" s="14">
        <v>2.98</v>
      </c>
      <c r="M43" s="14">
        <v>3.15</v>
      </c>
      <c r="N43" s="14">
        <v>0.22</v>
      </c>
      <c r="O43" s="14">
        <v>1.85</v>
      </c>
      <c r="P43" s="14">
        <v>7.22</v>
      </c>
      <c r="Q43" s="14">
        <v>1.01</v>
      </c>
      <c r="R43" s="14">
        <v>3.55</v>
      </c>
      <c r="S43">
        <v>1045</v>
      </c>
    </row>
    <row r="44" spans="3:19" x14ac:dyDescent="0.25">
      <c r="C44" s="15" t="s">
        <v>84</v>
      </c>
      <c r="D44" s="14">
        <v>11</v>
      </c>
      <c r="E44" s="14" t="s">
        <v>26</v>
      </c>
      <c r="F44" s="14" t="s">
        <v>13</v>
      </c>
      <c r="G44" s="14">
        <v>14.1</v>
      </c>
      <c r="H44" s="14">
        <v>2.16</v>
      </c>
      <c r="I44" s="14">
        <v>2.2999999999999998</v>
      </c>
      <c r="J44" s="14">
        <v>18</v>
      </c>
      <c r="K44" s="14">
        <v>105</v>
      </c>
      <c r="L44" s="14">
        <v>2.95</v>
      </c>
      <c r="M44" s="14">
        <v>3.32</v>
      </c>
      <c r="N44" s="14">
        <v>0.22</v>
      </c>
      <c r="O44" s="14">
        <v>2.38</v>
      </c>
      <c r="P44" s="14">
        <v>5.75</v>
      </c>
      <c r="Q44" s="14">
        <v>1.25</v>
      </c>
      <c r="R44" s="14">
        <v>3.17</v>
      </c>
      <c r="S44">
        <v>1510</v>
      </c>
    </row>
    <row r="45" spans="3:19" x14ac:dyDescent="0.25">
      <c r="C45" s="15" t="s">
        <v>85</v>
      </c>
      <c r="D45" s="14">
        <v>12</v>
      </c>
      <c r="E45" s="14" t="s">
        <v>26</v>
      </c>
      <c r="F45" s="14" t="s">
        <v>13</v>
      </c>
      <c r="G45" s="14">
        <v>14.12</v>
      </c>
      <c r="H45" s="14">
        <v>1.48</v>
      </c>
      <c r="I45" s="14">
        <v>2.3199999999999998</v>
      </c>
      <c r="J45" s="14">
        <v>16.8</v>
      </c>
      <c r="K45" s="14">
        <v>95</v>
      </c>
      <c r="L45" s="14">
        <v>2.2000000000000002</v>
      </c>
      <c r="M45" s="14">
        <v>2.4300000000000002</v>
      </c>
      <c r="N45" s="14">
        <v>0.26</v>
      </c>
      <c r="O45" s="14">
        <v>1.57</v>
      </c>
      <c r="P45" s="14">
        <v>5</v>
      </c>
      <c r="Q45" s="14">
        <v>1.17</v>
      </c>
      <c r="R45" s="14">
        <v>2.82</v>
      </c>
      <c r="S45">
        <v>1280</v>
      </c>
    </row>
    <row r="46" spans="3:19" x14ac:dyDescent="0.25">
      <c r="C46" s="15" t="s">
        <v>86</v>
      </c>
      <c r="D46" s="14">
        <v>13</v>
      </c>
      <c r="E46" s="14" t="s">
        <v>26</v>
      </c>
      <c r="F46" s="14" t="s">
        <v>13</v>
      </c>
      <c r="G46" s="14">
        <v>13.75</v>
      </c>
      <c r="H46" s="14">
        <v>1.73</v>
      </c>
      <c r="I46" s="14">
        <v>2.41</v>
      </c>
      <c r="J46" s="14">
        <v>16</v>
      </c>
      <c r="K46" s="14">
        <v>89</v>
      </c>
      <c r="L46" s="14">
        <v>2.6</v>
      </c>
      <c r="M46" s="14">
        <v>2.76</v>
      </c>
      <c r="N46" s="14">
        <v>0.28999999999999998</v>
      </c>
      <c r="O46" s="14">
        <v>1.81</v>
      </c>
      <c r="P46" s="14">
        <v>5.6</v>
      </c>
      <c r="Q46" s="14">
        <v>1.1499999999999999</v>
      </c>
      <c r="R46" s="14">
        <v>2.9</v>
      </c>
      <c r="S46">
        <v>1320</v>
      </c>
    </row>
    <row r="47" spans="3:19" x14ac:dyDescent="0.25">
      <c r="C47" s="15" t="s">
        <v>87</v>
      </c>
      <c r="D47" s="14">
        <v>14</v>
      </c>
      <c r="E47" s="14" t="s">
        <v>26</v>
      </c>
      <c r="F47" s="14" t="s">
        <v>13</v>
      </c>
      <c r="G47" s="14">
        <v>14.75</v>
      </c>
      <c r="H47" s="14">
        <v>1.73</v>
      </c>
      <c r="I47" s="14">
        <v>2.39</v>
      </c>
      <c r="J47" s="14">
        <v>11.4</v>
      </c>
      <c r="K47" s="14">
        <v>91</v>
      </c>
      <c r="L47" s="14">
        <v>3.1</v>
      </c>
      <c r="M47" s="14">
        <v>3.69</v>
      </c>
      <c r="N47" s="14">
        <v>0.43</v>
      </c>
      <c r="O47" s="14">
        <v>2.81</v>
      </c>
      <c r="P47" s="14">
        <v>5.4</v>
      </c>
      <c r="Q47" s="14">
        <v>1.25</v>
      </c>
      <c r="R47" s="14">
        <v>2.73</v>
      </c>
      <c r="S47">
        <v>1150</v>
      </c>
    </row>
    <row r="48" spans="3:19" x14ac:dyDescent="0.25">
      <c r="C48" s="15" t="s">
        <v>88</v>
      </c>
      <c r="D48" s="14">
        <v>15</v>
      </c>
      <c r="E48" s="14" t="s">
        <v>26</v>
      </c>
      <c r="F48" s="14" t="s">
        <v>13</v>
      </c>
      <c r="G48" s="14">
        <v>14.38</v>
      </c>
      <c r="H48" s="14">
        <v>1.87</v>
      </c>
      <c r="I48" s="14">
        <v>2.38</v>
      </c>
      <c r="J48" s="14">
        <v>12</v>
      </c>
      <c r="K48" s="14">
        <v>102</v>
      </c>
      <c r="L48" s="14">
        <v>3.3</v>
      </c>
      <c r="M48" s="14">
        <v>3.64</v>
      </c>
      <c r="N48" s="14">
        <v>0.28999999999999998</v>
      </c>
      <c r="O48" s="14">
        <v>2.96</v>
      </c>
      <c r="P48" s="14">
        <v>7.5</v>
      </c>
      <c r="Q48" s="14">
        <v>1.2</v>
      </c>
      <c r="R48" s="14">
        <v>3</v>
      </c>
      <c r="S48">
        <v>1547</v>
      </c>
    </row>
    <row r="49" spans="3:19" x14ac:dyDescent="0.25">
      <c r="C49" s="15" t="s">
        <v>89</v>
      </c>
      <c r="D49" s="14">
        <v>16</v>
      </c>
      <c r="E49" s="14" t="s">
        <v>26</v>
      </c>
      <c r="F49" s="14" t="s">
        <v>13</v>
      </c>
      <c r="G49" s="14">
        <v>13.63</v>
      </c>
      <c r="H49" s="14">
        <v>1.81</v>
      </c>
      <c r="I49" s="14">
        <v>2.7</v>
      </c>
      <c r="J49" s="14">
        <v>17.2</v>
      </c>
      <c r="K49" s="14">
        <v>112</v>
      </c>
      <c r="L49" s="14">
        <v>2.85</v>
      </c>
      <c r="M49" s="14">
        <v>2.91</v>
      </c>
      <c r="N49" s="14">
        <v>0.3</v>
      </c>
      <c r="O49" s="14">
        <v>1.46</v>
      </c>
      <c r="P49" s="14">
        <v>7.3</v>
      </c>
      <c r="Q49" s="14">
        <v>1.28</v>
      </c>
      <c r="R49" s="14">
        <v>2.88</v>
      </c>
      <c r="S49">
        <v>1310</v>
      </c>
    </row>
    <row r="50" spans="3:19" x14ac:dyDescent="0.25">
      <c r="C50" s="15" t="s">
        <v>90</v>
      </c>
      <c r="D50" s="14">
        <v>17</v>
      </c>
      <c r="E50" s="14" t="s">
        <v>26</v>
      </c>
      <c r="F50" s="14" t="s">
        <v>13</v>
      </c>
      <c r="G50" s="14">
        <v>14.3</v>
      </c>
      <c r="H50" s="14">
        <v>1.92</v>
      </c>
      <c r="I50" s="14">
        <v>2.72</v>
      </c>
      <c r="J50" s="14">
        <v>20</v>
      </c>
      <c r="K50" s="14">
        <v>120</v>
      </c>
      <c r="L50" s="14">
        <v>2.8</v>
      </c>
      <c r="M50" s="14">
        <v>3.14</v>
      </c>
      <c r="N50" s="14">
        <v>0.33</v>
      </c>
      <c r="O50" s="14">
        <v>1.97</v>
      </c>
      <c r="P50" s="14">
        <v>6.2</v>
      </c>
      <c r="Q50" s="14">
        <v>1.07</v>
      </c>
      <c r="R50" s="14">
        <v>2.65</v>
      </c>
      <c r="S50">
        <v>1280</v>
      </c>
    </row>
    <row r="51" spans="3:19" x14ac:dyDescent="0.25">
      <c r="C51" s="15" t="s">
        <v>91</v>
      </c>
      <c r="D51" s="14">
        <v>18</v>
      </c>
      <c r="E51" s="14" t="s">
        <v>26</v>
      </c>
      <c r="F51" s="14" t="s">
        <v>13</v>
      </c>
      <c r="G51" s="14">
        <v>13.83</v>
      </c>
      <c r="H51" s="14">
        <v>1.57</v>
      </c>
      <c r="I51" s="14">
        <v>2.62</v>
      </c>
      <c r="J51" s="14">
        <v>20</v>
      </c>
      <c r="K51" s="14">
        <v>115</v>
      </c>
      <c r="L51" s="14">
        <v>2.95</v>
      </c>
      <c r="M51" s="14">
        <v>3.4</v>
      </c>
      <c r="N51" s="14">
        <v>0.4</v>
      </c>
      <c r="O51" s="14">
        <v>1.72</v>
      </c>
      <c r="P51" s="14">
        <v>6.6</v>
      </c>
      <c r="Q51" s="14">
        <v>1.1299999999999999</v>
      </c>
      <c r="R51" s="14">
        <v>2.57</v>
      </c>
      <c r="S51">
        <v>1130</v>
      </c>
    </row>
    <row r="52" spans="3:19" x14ac:dyDescent="0.25">
      <c r="C52" s="15" t="s">
        <v>92</v>
      </c>
      <c r="D52" s="14">
        <v>19</v>
      </c>
      <c r="E52" s="14" t="s">
        <v>26</v>
      </c>
      <c r="F52" s="14" t="s">
        <v>13</v>
      </c>
      <c r="G52" s="14">
        <v>14.19</v>
      </c>
      <c r="H52" s="14">
        <v>1.59</v>
      </c>
      <c r="I52" s="14">
        <v>2.48</v>
      </c>
      <c r="J52" s="14">
        <v>16.5</v>
      </c>
      <c r="K52" s="14">
        <v>108</v>
      </c>
      <c r="L52" s="14">
        <v>3.3</v>
      </c>
      <c r="M52" s="14">
        <v>3.93</v>
      </c>
      <c r="N52" s="14">
        <v>0.32</v>
      </c>
      <c r="O52" s="14">
        <v>1.86</v>
      </c>
      <c r="P52" s="14">
        <v>8.6999999999999993</v>
      </c>
      <c r="Q52" s="14">
        <v>1.23</v>
      </c>
      <c r="R52" s="14">
        <v>2.82</v>
      </c>
      <c r="S52">
        <v>1680</v>
      </c>
    </row>
    <row r="53" spans="3:19" x14ac:dyDescent="0.25">
      <c r="C53" s="15" t="s">
        <v>93</v>
      </c>
      <c r="D53" s="14">
        <v>20</v>
      </c>
      <c r="E53" s="14" t="s">
        <v>26</v>
      </c>
      <c r="F53" s="14" t="s">
        <v>13</v>
      </c>
      <c r="G53" s="14">
        <v>13.64</v>
      </c>
      <c r="H53" s="14">
        <v>3.1</v>
      </c>
      <c r="I53" s="14">
        <v>2.56</v>
      </c>
      <c r="J53" s="14">
        <v>15.2</v>
      </c>
      <c r="K53" s="14">
        <v>116</v>
      </c>
      <c r="L53" s="14">
        <v>2.7</v>
      </c>
      <c r="M53" s="14">
        <v>3.03</v>
      </c>
      <c r="N53" s="14">
        <v>0.17</v>
      </c>
      <c r="O53" s="14">
        <v>1.66</v>
      </c>
      <c r="P53" s="14">
        <v>5.0999999999999996</v>
      </c>
      <c r="Q53" s="14">
        <v>0.96</v>
      </c>
      <c r="R53" s="14">
        <v>3.36</v>
      </c>
      <c r="S53">
        <v>845</v>
      </c>
    </row>
    <row r="54" spans="3:19" x14ac:dyDescent="0.25">
      <c r="C54" s="15" t="s">
        <v>94</v>
      </c>
      <c r="D54" s="14">
        <v>21</v>
      </c>
      <c r="E54" s="14" t="s">
        <v>26</v>
      </c>
      <c r="F54" s="14" t="s">
        <v>13</v>
      </c>
      <c r="G54" s="14">
        <v>14.06</v>
      </c>
      <c r="H54" s="14">
        <v>1.63</v>
      </c>
      <c r="I54" s="14">
        <v>2.2799999999999998</v>
      </c>
      <c r="J54" s="14">
        <v>16</v>
      </c>
      <c r="K54" s="14">
        <v>126</v>
      </c>
      <c r="L54" s="14">
        <v>3</v>
      </c>
      <c r="M54" s="14">
        <v>3.17</v>
      </c>
      <c r="N54" s="14">
        <v>0.24</v>
      </c>
      <c r="O54" s="14">
        <v>2.1</v>
      </c>
      <c r="P54" s="14">
        <v>5.65</v>
      </c>
      <c r="Q54" s="14">
        <v>1.0900000000000001</v>
      </c>
      <c r="R54" s="14">
        <v>3.71</v>
      </c>
      <c r="S54">
        <v>780</v>
      </c>
    </row>
    <row r="55" spans="3:19" x14ac:dyDescent="0.25">
      <c r="C55" s="15" t="s">
        <v>95</v>
      </c>
      <c r="D55" s="14">
        <v>22</v>
      </c>
      <c r="E55" s="14" t="s">
        <v>26</v>
      </c>
      <c r="F55" s="14" t="s">
        <v>13</v>
      </c>
      <c r="G55" s="14">
        <v>12.93</v>
      </c>
      <c r="H55" s="14">
        <v>3.8</v>
      </c>
      <c r="I55" s="14">
        <v>2.65</v>
      </c>
      <c r="J55" s="14">
        <v>18.600000000000001</v>
      </c>
      <c r="K55" s="14">
        <v>102</v>
      </c>
      <c r="L55" s="14">
        <v>2.41</v>
      </c>
      <c r="M55" s="14">
        <v>2.41</v>
      </c>
      <c r="N55" s="14">
        <v>0.25</v>
      </c>
      <c r="O55" s="14">
        <v>1.98</v>
      </c>
      <c r="P55" s="14">
        <v>4.5</v>
      </c>
      <c r="Q55" s="14">
        <v>1.03</v>
      </c>
      <c r="R55" s="14">
        <v>3.52</v>
      </c>
      <c r="S55">
        <v>770</v>
      </c>
    </row>
    <row r="56" spans="3:19" x14ac:dyDescent="0.25">
      <c r="C56" s="15" t="s">
        <v>96</v>
      </c>
      <c r="D56" s="14">
        <v>23</v>
      </c>
      <c r="E56" s="14" t="s">
        <v>26</v>
      </c>
      <c r="F56" s="14" t="s">
        <v>13</v>
      </c>
      <c r="G56" s="14">
        <v>13.71</v>
      </c>
      <c r="H56" s="14">
        <v>1.86</v>
      </c>
      <c r="I56" s="14">
        <v>2.36</v>
      </c>
      <c r="J56" s="14">
        <v>16.600000000000001</v>
      </c>
      <c r="K56" s="14">
        <v>101</v>
      </c>
      <c r="L56" s="14">
        <v>2.61</v>
      </c>
      <c r="M56" s="14">
        <v>2.88</v>
      </c>
      <c r="N56" s="14">
        <v>0.27</v>
      </c>
      <c r="O56" s="14">
        <v>1.69</v>
      </c>
      <c r="P56" s="14">
        <v>3.8</v>
      </c>
      <c r="Q56" s="14">
        <v>1.1100000000000001</v>
      </c>
      <c r="R56" s="14">
        <v>4</v>
      </c>
      <c r="S56">
        <v>1035</v>
      </c>
    </row>
    <row r="57" spans="3:19" x14ac:dyDescent="0.25">
      <c r="C57" s="15" t="s">
        <v>97</v>
      </c>
      <c r="D57" s="14">
        <v>24</v>
      </c>
      <c r="E57" s="14" t="s">
        <v>26</v>
      </c>
      <c r="F57" s="14" t="s">
        <v>13</v>
      </c>
      <c r="G57" s="14">
        <v>12.85</v>
      </c>
      <c r="H57" s="14">
        <v>1.6</v>
      </c>
      <c r="I57" s="14">
        <v>2.52</v>
      </c>
      <c r="J57" s="14">
        <v>17.8</v>
      </c>
      <c r="K57" s="14">
        <v>95</v>
      </c>
      <c r="L57" s="14">
        <v>2.48</v>
      </c>
      <c r="M57" s="14">
        <v>2.37</v>
      </c>
      <c r="N57" s="14">
        <v>0.26</v>
      </c>
      <c r="O57" s="14">
        <v>1.46</v>
      </c>
      <c r="P57" s="14">
        <v>3.93</v>
      </c>
      <c r="Q57" s="14">
        <v>1.0900000000000001</v>
      </c>
      <c r="R57" s="14">
        <v>3.63</v>
      </c>
      <c r="S57">
        <v>1015</v>
      </c>
    </row>
    <row r="58" spans="3:19" x14ac:dyDescent="0.25">
      <c r="C58" s="15" t="s">
        <v>98</v>
      </c>
      <c r="D58" s="14">
        <v>25</v>
      </c>
      <c r="E58" s="14" t="s">
        <v>26</v>
      </c>
      <c r="F58" s="14" t="s">
        <v>13</v>
      </c>
      <c r="G58" s="14">
        <v>13.5</v>
      </c>
      <c r="H58" s="14">
        <v>1.81</v>
      </c>
      <c r="I58" s="14">
        <v>2.61</v>
      </c>
      <c r="J58" s="14">
        <v>20</v>
      </c>
      <c r="K58" s="14">
        <v>96</v>
      </c>
      <c r="L58" s="14">
        <v>2.5299999999999998</v>
      </c>
      <c r="M58" s="14">
        <v>2.61</v>
      </c>
      <c r="N58" s="14">
        <v>0.28000000000000003</v>
      </c>
      <c r="O58" s="14">
        <v>1.66</v>
      </c>
      <c r="P58" s="14">
        <v>3.52</v>
      </c>
      <c r="Q58" s="14">
        <v>1.1200000000000001</v>
      </c>
      <c r="R58" s="14">
        <v>3.82</v>
      </c>
      <c r="S58">
        <v>845</v>
      </c>
    </row>
    <row r="59" spans="3:19" x14ac:dyDescent="0.25">
      <c r="C59" s="15" t="s">
        <v>99</v>
      </c>
      <c r="D59" s="14">
        <v>26</v>
      </c>
      <c r="E59" s="14" t="s">
        <v>26</v>
      </c>
      <c r="F59" s="14" t="s">
        <v>13</v>
      </c>
      <c r="G59" s="14">
        <v>13.05</v>
      </c>
      <c r="H59" s="14">
        <v>2.0499999999999998</v>
      </c>
      <c r="I59" s="14">
        <v>3.22</v>
      </c>
      <c r="J59" s="14">
        <v>25</v>
      </c>
      <c r="K59" s="14">
        <v>124</v>
      </c>
      <c r="L59" s="14">
        <v>2.63</v>
      </c>
      <c r="M59" s="14">
        <v>2.68</v>
      </c>
      <c r="N59" s="14">
        <v>0.47</v>
      </c>
      <c r="O59" s="14">
        <v>1.92</v>
      </c>
      <c r="P59" s="14">
        <v>3.58</v>
      </c>
      <c r="Q59" s="14">
        <v>1.1299999999999999</v>
      </c>
      <c r="R59" s="14">
        <v>3.2</v>
      </c>
      <c r="S59">
        <v>830</v>
      </c>
    </row>
    <row r="60" spans="3:19" x14ac:dyDescent="0.25">
      <c r="C60" s="15" t="s">
        <v>100</v>
      </c>
      <c r="D60" s="14">
        <v>27</v>
      </c>
      <c r="E60" s="14" t="s">
        <v>26</v>
      </c>
      <c r="F60" s="14" t="s">
        <v>13</v>
      </c>
      <c r="G60" s="14">
        <v>13.39</v>
      </c>
      <c r="H60" s="14">
        <v>1.77</v>
      </c>
      <c r="I60" s="14">
        <v>2.62</v>
      </c>
      <c r="J60" s="14">
        <v>16.100000000000001</v>
      </c>
      <c r="K60" s="14">
        <v>93</v>
      </c>
      <c r="L60" s="14">
        <v>2.85</v>
      </c>
      <c r="M60" s="14">
        <v>2.94</v>
      </c>
      <c r="N60" s="14">
        <v>0.34</v>
      </c>
      <c r="O60" s="14">
        <v>1.45</v>
      </c>
      <c r="P60" s="14">
        <v>4.8</v>
      </c>
      <c r="Q60" s="14">
        <v>0.92</v>
      </c>
      <c r="R60" s="14">
        <v>3.22</v>
      </c>
      <c r="S60">
        <v>1195</v>
      </c>
    </row>
    <row r="61" spans="3:19" x14ac:dyDescent="0.25">
      <c r="C61" s="15" t="s">
        <v>101</v>
      </c>
      <c r="D61" s="14">
        <v>28</v>
      </c>
      <c r="E61" s="14" t="s">
        <v>26</v>
      </c>
      <c r="F61" s="14" t="s">
        <v>13</v>
      </c>
      <c r="G61" s="14">
        <v>13.3</v>
      </c>
      <c r="H61" s="14">
        <v>1.72</v>
      </c>
      <c r="I61" s="14">
        <v>2.14</v>
      </c>
      <c r="J61" s="14">
        <v>17</v>
      </c>
      <c r="K61" s="14">
        <v>94</v>
      </c>
      <c r="L61" s="14">
        <v>2.4</v>
      </c>
      <c r="M61" s="14">
        <v>2.19</v>
      </c>
      <c r="N61" s="14">
        <v>0.27</v>
      </c>
      <c r="O61" s="14">
        <v>1.35</v>
      </c>
      <c r="P61" s="14">
        <v>3.95</v>
      </c>
      <c r="Q61" s="14">
        <v>1.02</v>
      </c>
      <c r="R61" s="14">
        <v>2.77</v>
      </c>
      <c r="S61">
        <v>1285</v>
      </c>
    </row>
    <row r="62" spans="3:19" x14ac:dyDescent="0.25">
      <c r="C62" s="15" t="s">
        <v>102</v>
      </c>
      <c r="D62" s="14">
        <v>29</v>
      </c>
      <c r="E62" s="14" t="s">
        <v>26</v>
      </c>
      <c r="F62" s="14" t="s">
        <v>13</v>
      </c>
      <c r="G62" s="14">
        <v>13.87</v>
      </c>
      <c r="H62" s="14">
        <v>1.9</v>
      </c>
      <c r="I62" s="14">
        <v>2.8</v>
      </c>
      <c r="J62" s="14">
        <v>19.399999999999999</v>
      </c>
      <c r="K62" s="14">
        <v>107</v>
      </c>
      <c r="L62" s="14">
        <v>2.95</v>
      </c>
      <c r="M62" s="14">
        <v>2.97</v>
      </c>
      <c r="N62" s="14">
        <v>0.37</v>
      </c>
      <c r="O62" s="14">
        <v>1.76</v>
      </c>
      <c r="P62" s="14">
        <v>4.5</v>
      </c>
      <c r="Q62" s="14">
        <v>1.25</v>
      </c>
      <c r="R62" s="14">
        <v>3.4</v>
      </c>
      <c r="S62">
        <v>915</v>
      </c>
    </row>
    <row r="63" spans="3:19" x14ac:dyDescent="0.25">
      <c r="C63" s="15" t="s">
        <v>103</v>
      </c>
      <c r="D63" s="14">
        <v>30</v>
      </c>
      <c r="E63" s="14" t="s">
        <v>26</v>
      </c>
      <c r="F63" s="14" t="s">
        <v>13</v>
      </c>
      <c r="G63" s="14">
        <v>14.02</v>
      </c>
      <c r="H63" s="14">
        <v>1.68</v>
      </c>
      <c r="I63" s="14">
        <v>2.21</v>
      </c>
      <c r="J63" s="14">
        <v>16</v>
      </c>
      <c r="K63" s="14">
        <v>96</v>
      </c>
      <c r="L63" s="14">
        <v>2.65</v>
      </c>
      <c r="M63" s="14">
        <v>2.33</v>
      </c>
      <c r="N63" s="14">
        <v>0.26</v>
      </c>
      <c r="O63" s="14">
        <v>1.98</v>
      </c>
      <c r="P63" s="14">
        <v>4.7</v>
      </c>
      <c r="Q63" s="14">
        <v>1.04</v>
      </c>
      <c r="R63" s="14">
        <v>3.59</v>
      </c>
      <c r="S63">
        <v>1035</v>
      </c>
    </row>
    <row r="64" spans="3:19" x14ac:dyDescent="0.25">
      <c r="C64" s="15" t="s">
        <v>104</v>
      </c>
      <c r="D64" s="14">
        <v>31</v>
      </c>
      <c r="E64" s="14" t="s">
        <v>26</v>
      </c>
      <c r="F64" s="14" t="s">
        <v>13</v>
      </c>
      <c r="G64" s="14">
        <v>13.73</v>
      </c>
      <c r="H64" s="14">
        <v>1.5</v>
      </c>
      <c r="I64" s="14">
        <v>2.7</v>
      </c>
      <c r="J64" s="14">
        <v>22.5</v>
      </c>
      <c r="K64" s="14">
        <v>101</v>
      </c>
      <c r="L64" s="14">
        <v>3</v>
      </c>
      <c r="M64" s="14">
        <v>3.25</v>
      </c>
      <c r="N64" s="14">
        <v>0.28999999999999998</v>
      </c>
      <c r="O64" s="14">
        <v>2.38</v>
      </c>
      <c r="P64" s="14">
        <v>5.7</v>
      </c>
      <c r="Q64" s="14">
        <v>1.19</v>
      </c>
      <c r="R64" s="14">
        <v>2.71</v>
      </c>
      <c r="S64">
        <v>1285</v>
      </c>
    </row>
    <row r="65" spans="3:19" x14ac:dyDescent="0.25">
      <c r="C65" s="15" t="s">
        <v>105</v>
      </c>
      <c r="D65" s="14">
        <v>32</v>
      </c>
      <c r="E65" s="14" t="s">
        <v>26</v>
      </c>
      <c r="F65" s="14" t="s">
        <v>13</v>
      </c>
      <c r="G65" s="14">
        <v>13.58</v>
      </c>
      <c r="H65" s="14">
        <v>1.66</v>
      </c>
      <c r="I65" s="14">
        <v>2.36</v>
      </c>
      <c r="J65" s="14">
        <v>19.100000000000001</v>
      </c>
      <c r="K65" s="14">
        <v>106</v>
      </c>
      <c r="L65" s="14">
        <v>2.86</v>
      </c>
      <c r="M65" s="14">
        <v>3.19</v>
      </c>
      <c r="N65" s="14">
        <v>0.22</v>
      </c>
      <c r="O65" s="14">
        <v>1.95</v>
      </c>
      <c r="P65" s="14">
        <v>6.9</v>
      </c>
      <c r="Q65" s="14">
        <v>1.0900000000000001</v>
      </c>
      <c r="R65" s="14">
        <v>2.88</v>
      </c>
      <c r="S65">
        <v>1515</v>
      </c>
    </row>
    <row r="66" spans="3:19" x14ac:dyDescent="0.25">
      <c r="C66" s="15" t="s">
        <v>106</v>
      </c>
      <c r="D66" s="14">
        <v>33</v>
      </c>
      <c r="E66" s="14" t="s">
        <v>26</v>
      </c>
      <c r="F66" s="14" t="s">
        <v>13</v>
      </c>
      <c r="G66" s="14">
        <v>13.68</v>
      </c>
      <c r="H66" s="14">
        <v>1.83</v>
      </c>
      <c r="I66" s="14">
        <v>2.36</v>
      </c>
      <c r="J66" s="14">
        <v>17.2</v>
      </c>
      <c r="K66" s="14">
        <v>104</v>
      </c>
      <c r="L66" s="14">
        <v>2.42</v>
      </c>
      <c r="M66" s="14">
        <v>2.69</v>
      </c>
      <c r="N66" s="14">
        <v>0.42</v>
      </c>
      <c r="O66" s="14">
        <v>1.97</v>
      </c>
      <c r="P66" s="14">
        <v>3.84</v>
      </c>
      <c r="Q66" s="14">
        <v>1.23</v>
      </c>
      <c r="R66" s="14">
        <v>2.87</v>
      </c>
      <c r="S66">
        <v>990</v>
      </c>
    </row>
    <row r="67" spans="3:19" x14ac:dyDescent="0.25">
      <c r="C67" s="15" t="s">
        <v>107</v>
      </c>
      <c r="D67" s="14">
        <v>34</v>
      </c>
      <c r="E67" s="14" t="s">
        <v>26</v>
      </c>
      <c r="F67" s="14" t="s">
        <v>13</v>
      </c>
      <c r="G67" s="14">
        <v>13.76</v>
      </c>
      <c r="H67" s="14">
        <v>1.53</v>
      </c>
      <c r="I67" s="14">
        <v>2.7</v>
      </c>
      <c r="J67" s="14">
        <v>19.5</v>
      </c>
      <c r="K67" s="14">
        <v>132</v>
      </c>
      <c r="L67" s="14">
        <v>2.95</v>
      </c>
      <c r="M67" s="14">
        <v>2.74</v>
      </c>
      <c r="N67" s="14">
        <v>0.5</v>
      </c>
      <c r="O67" s="14">
        <v>1.35</v>
      </c>
      <c r="P67" s="14">
        <v>5.4</v>
      </c>
      <c r="Q67" s="14">
        <v>1.25</v>
      </c>
      <c r="R67" s="14">
        <v>3</v>
      </c>
      <c r="S67">
        <v>1235</v>
      </c>
    </row>
    <row r="68" spans="3:19" x14ac:dyDescent="0.25">
      <c r="C68" s="15" t="s">
        <v>108</v>
      </c>
      <c r="D68" s="14">
        <v>35</v>
      </c>
      <c r="E68" s="14" t="s">
        <v>26</v>
      </c>
      <c r="F68" s="14" t="s">
        <v>13</v>
      </c>
      <c r="G68" s="14">
        <v>13.51</v>
      </c>
      <c r="H68" s="14">
        <v>1.8</v>
      </c>
      <c r="I68" s="14">
        <v>2.65</v>
      </c>
      <c r="J68" s="14">
        <v>19</v>
      </c>
      <c r="K68" s="14">
        <v>110</v>
      </c>
      <c r="L68" s="14">
        <v>2.35</v>
      </c>
      <c r="M68" s="14">
        <v>2.5299999999999998</v>
      </c>
      <c r="N68" s="14">
        <v>0.28999999999999998</v>
      </c>
      <c r="O68" s="14">
        <v>1.54</v>
      </c>
      <c r="P68" s="14">
        <v>4.2</v>
      </c>
      <c r="Q68" s="14">
        <v>1.1000000000000001</v>
      </c>
      <c r="R68" s="14">
        <v>2.87</v>
      </c>
      <c r="S68">
        <v>1095</v>
      </c>
    </row>
    <row r="69" spans="3:19" x14ac:dyDescent="0.25">
      <c r="C69" s="15" t="s">
        <v>109</v>
      </c>
      <c r="D69" s="14">
        <v>36</v>
      </c>
      <c r="E69" s="14" t="s">
        <v>26</v>
      </c>
      <c r="F69" s="14" t="s">
        <v>13</v>
      </c>
      <c r="G69" s="14">
        <v>13.48</v>
      </c>
      <c r="H69" s="14">
        <v>1.81</v>
      </c>
      <c r="I69" s="14">
        <v>2.41</v>
      </c>
      <c r="J69" s="14">
        <v>20.5</v>
      </c>
      <c r="K69" s="14">
        <v>100</v>
      </c>
      <c r="L69" s="14">
        <v>2.7</v>
      </c>
      <c r="M69" s="14">
        <v>2.98</v>
      </c>
      <c r="N69" s="14">
        <v>0.26</v>
      </c>
      <c r="O69" s="14">
        <v>1.86</v>
      </c>
      <c r="P69" s="14">
        <v>5.0999999999999996</v>
      </c>
      <c r="Q69" s="14">
        <v>1.04</v>
      </c>
      <c r="R69" s="14">
        <v>3.47</v>
      </c>
      <c r="S69">
        <v>920</v>
      </c>
    </row>
    <row r="70" spans="3:19" x14ac:dyDescent="0.25">
      <c r="C70" s="15" t="s">
        <v>110</v>
      </c>
      <c r="D70" s="14">
        <v>37</v>
      </c>
      <c r="E70" s="14" t="s">
        <v>26</v>
      </c>
      <c r="F70" s="14" t="s">
        <v>13</v>
      </c>
      <c r="G70" s="14">
        <v>13.28</v>
      </c>
      <c r="H70" s="14">
        <v>1.64</v>
      </c>
      <c r="I70" s="14">
        <v>2.84</v>
      </c>
      <c r="J70" s="14">
        <v>15.5</v>
      </c>
      <c r="K70" s="14">
        <v>110</v>
      </c>
      <c r="L70" s="14">
        <v>2.6</v>
      </c>
      <c r="M70" s="14">
        <v>2.68</v>
      </c>
      <c r="N70" s="14">
        <v>0.34</v>
      </c>
      <c r="O70" s="14">
        <v>1.36</v>
      </c>
      <c r="P70" s="14">
        <v>4.5999999999999996</v>
      </c>
      <c r="Q70" s="14">
        <v>1.0900000000000001</v>
      </c>
      <c r="R70" s="14">
        <v>2.78</v>
      </c>
      <c r="S70">
        <v>880</v>
      </c>
    </row>
    <row r="71" spans="3:19" x14ac:dyDescent="0.25">
      <c r="C71" s="15" t="s">
        <v>111</v>
      </c>
      <c r="D71" s="14">
        <v>38</v>
      </c>
      <c r="E71" s="14" t="s">
        <v>26</v>
      </c>
      <c r="F71" s="14" t="s">
        <v>13</v>
      </c>
      <c r="G71" s="14">
        <v>13.05</v>
      </c>
      <c r="H71" s="14">
        <v>1.65</v>
      </c>
      <c r="I71" s="14">
        <v>2.5499999999999998</v>
      </c>
      <c r="J71" s="14">
        <v>18</v>
      </c>
      <c r="K71" s="14">
        <v>98</v>
      </c>
      <c r="L71" s="14">
        <v>2.4500000000000002</v>
      </c>
      <c r="M71" s="14">
        <v>2.4300000000000002</v>
      </c>
      <c r="N71" s="14">
        <v>0.28999999999999998</v>
      </c>
      <c r="O71" s="14">
        <v>1.44</v>
      </c>
      <c r="P71" s="14">
        <v>4.25</v>
      </c>
      <c r="Q71" s="14">
        <v>1.1200000000000001</v>
      </c>
      <c r="R71" s="14">
        <v>2.5099999999999998</v>
      </c>
      <c r="S71">
        <v>1105</v>
      </c>
    </row>
    <row r="72" spans="3:19" x14ac:dyDescent="0.25">
      <c r="C72" s="15" t="s">
        <v>112</v>
      </c>
      <c r="D72" s="14">
        <v>39</v>
      </c>
      <c r="E72" s="14" t="s">
        <v>26</v>
      </c>
      <c r="F72" s="14" t="s">
        <v>13</v>
      </c>
      <c r="G72" s="14">
        <v>13.07</v>
      </c>
      <c r="H72" s="14">
        <v>1.5</v>
      </c>
      <c r="I72" s="14">
        <v>2.1</v>
      </c>
      <c r="J72" s="14">
        <v>15.5</v>
      </c>
      <c r="K72" s="14">
        <v>98</v>
      </c>
      <c r="L72" s="14">
        <v>2.4</v>
      </c>
      <c r="M72" s="14">
        <v>2.64</v>
      </c>
      <c r="N72" s="14">
        <v>0.28000000000000003</v>
      </c>
      <c r="O72" s="14">
        <v>1.37</v>
      </c>
      <c r="P72" s="14">
        <v>3.7</v>
      </c>
      <c r="Q72" s="14">
        <v>1.18</v>
      </c>
      <c r="R72" s="14">
        <v>2.69</v>
      </c>
      <c r="S72">
        <v>1020</v>
      </c>
    </row>
    <row r="73" spans="3:19" x14ac:dyDescent="0.25">
      <c r="C73" s="15" t="s">
        <v>113</v>
      </c>
      <c r="D73" s="14">
        <v>40</v>
      </c>
      <c r="E73" s="14" t="s">
        <v>26</v>
      </c>
      <c r="F73" s="14" t="s">
        <v>13</v>
      </c>
      <c r="G73" s="14">
        <v>14.22</v>
      </c>
      <c r="H73" s="14">
        <v>3.99</v>
      </c>
      <c r="I73" s="14">
        <v>2.5099999999999998</v>
      </c>
      <c r="J73" s="14">
        <v>13.2</v>
      </c>
      <c r="K73" s="14">
        <v>128</v>
      </c>
      <c r="L73" s="14">
        <v>3</v>
      </c>
      <c r="M73" s="14">
        <v>3.04</v>
      </c>
      <c r="N73" s="14">
        <v>0.2</v>
      </c>
      <c r="O73" s="14">
        <v>2.08</v>
      </c>
      <c r="P73" s="14">
        <v>5.0999999999999996</v>
      </c>
      <c r="Q73" s="14">
        <v>0.89</v>
      </c>
      <c r="R73" s="14">
        <v>3.53</v>
      </c>
      <c r="S73">
        <v>760</v>
      </c>
    </row>
    <row r="74" spans="3:19" x14ac:dyDescent="0.25">
      <c r="C74" s="15" t="s">
        <v>114</v>
      </c>
      <c r="D74" s="14">
        <v>41</v>
      </c>
      <c r="E74" s="14" t="s">
        <v>26</v>
      </c>
      <c r="F74" s="14" t="s">
        <v>13</v>
      </c>
      <c r="G74" s="14">
        <v>13.56</v>
      </c>
      <c r="H74" s="14">
        <v>1.71</v>
      </c>
      <c r="I74" s="14">
        <v>2.31</v>
      </c>
      <c r="J74" s="14">
        <v>16.2</v>
      </c>
      <c r="K74" s="14">
        <v>117</v>
      </c>
      <c r="L74" s="14">
        <v>3.15</v>
      </c>
      <c r="M74" s="14">
        <v>3.29</v>
      </c>
      <c r="N74" s="14">
        <v>0.34</v>
      </c>
      <c r="O74" s="14">
        <v>2.34</v>
      </c>
      <c r="P74" s="14">
        <v>6.13</v>
      </c>
      <c r="Q74" s="14">
        <v>0.95</v>
      </c>
      <c r="R74" s="14">
        <v>3.38</v>
      </c>
      <c r="S74">
        <v>795</v>
      </c>
    </row>
    <row r="75" spans="3:19" x14ac:dyDescent="0.25">
      <c r="C75" s="15" t="s">
        <v>115</v>
      </c>
      <c r="D75" s="14">
        <v>42</v>
      </c>
      <c r="E75" s="14" t="s">
        <v>26</v>
      </c>
      <c r="F75" s="14" t="s">
        <v>13</v>
      </c>
      <c r="G75" s="14">
        <v>13.41</v>
      </c>
      <c r="H75" s="14">
        <v>3.84</v>
      </c>
      <c r="I75" s="14">
        <v>2.12</v>
      </c>
      <c r="J75" s="14">
        <v>18.8</v>
      </c>
      <c r="K75" s="14">
        <v>90</v>
      </c>
      <c r="L75" s="14">
        <v>2.4500000000000002</v>
      </c>
      <c r="M75" s="14">
        <v>2.68</v>
      </c>
      <c r="N75" s="14">
        <v>0.27</v>
      </c>
      <c r="O75" s="14">
        <v>1.48</v>
      </c>
      <c r="P75" s="14">
        <v>4.28</v>
      </c>
      <c r="Q75" s="14">
        <v>0.91</v>
      </c>
      <c r="R75" s="14">
        <v>3</v>
      </c>
      <c r="S75">
        <v>1035</v>
      </c>
    </row>
    <row r="76" spans="3:19" x14ac:dyDescent="0.25">
      <c r="C76" s="15" t="s">
        <v>116</v>
      </c>
      <c r="D76" s="14">
        <v>43</v>
      </c>
      <c r="E76" s="14" t="s">
        <v>26</v>
      </c>
      <c r="F76" s="14" t="s">
        <v>13</v>
      </c>
      <c r="G76" s="14">
        <v>13.88</v>
      </c>
      <c r="H76" s="14">
        <v>1.89</v>
      </c>
      <c r="I76" s="14">
        <v>2.59</v>
      </c>
      <c r="J76" s="14">
        <v>15</v>
      </c>
      <c r="K76" s="14">
        <v>101</v>
      </c>
      <c r="L76" s="14">
        <v>3.25</v>
      </c>
      <c r="M76" s="14">
        <v>3.56</v>
      </c>
      <c r="N76" s="14">
        <v>0.17</v>
      </c>
      <c r="O76" s="14">
        <v>1.7</v>
      </c>
      <c r="P76" s="14">
        <v>5.43</v>
      </c>
      <c r="Q76" s="14">
        <v>0.88</v>
      </c>
      <c r="R76" s="14">
        <v>3.56</v>
      </c>
      <c r="S76">
        <v>1095</v>
      </c>
    </row>
    <row r="77" spans="3:19" x14ac:dyDescent="0.25">
      <c r="C77" s="15" t="s">
        <v>117</v>
      </c>
      <c r="D77" s="14">
        <v>44</v>
      </c>
      <c r="E77" s="14" t="s">
        <v>26</v>
      </c>
      <c r="F77" s="14" t="s">
        <v>13</v>
      </c>
      <c r="G77" s="14">
        <v>13.24</v>
      </c>
      <c r="H77" s="14">
        <v>3.98</v>
      </c>
      <c r="I77" s="14">
        <v>2.29</v>
      </c>
      <c r="J77" s="14">
        <v>17.5</v>
      </c>
      <c r="K77" s="14">
        <v>103</v>
      </c>
      <c r="L77" s="14">
        <v>2.64</v>
      </c>
      <c r="M77" s="14">
        <v>2.63</v>
      </c>
      <c r="N77" s="14">
        <v>0.32</v>
      </c>
      <c r="O77" s="14">
        <v>1.66</v>
      </c>
      <c r="P77" s="14">
        <v>4.3600000000000003</v>
      </c>
      <c r="Q77" s="14">
        <v>0.82</v>
      </c>
      <c r="R77" s="14">
        <v>3</v>
      </c>
      <c r="S77">
        <v>680</v>
      </c>
    </row>
    <row r="78" spans="3:19" x14ac:dyDescent="0.25">
      <c r="C78" s="15" t="s">
        <v>118</v>
      </c>
      <c r="D78" s="14">
        <v>45</v>
      </c>
      <c r="E78" s="14" t="s">
        <v>26</v>
      </c>
      <c r="F78" s="14" t="s">
        <v>13</v>
      </c>
      <c r="G78" s="14">
        <v>13.05</v>
      </c>
      <c r="H78" s="14">
        <v>1.77</v>
      </c>
      <c r="I78" s="14">
        <v>2.1</v>
      </c>
      <c r="J78" s="14">
        <v>17</v>
      </c>
      <c r="K78" s="14">
        <v>107</v>
      </c>
      <c r="L78" s="14">
        <v>3</v>
      </c>
      <c r="M78" s="14">
        <v>3</v>
      </c>
      <c r="N78" s="14">
        <v>0.28000000000000003</v>
      </c>
      <c r="O78" s="14">
        <v>2.0299999999999998</v>
      </c>
      <c r="P78" s="14">
        <v>5.04</v>
      </c>
      <c r="Q78" s="14">
        <v>0.88</v>
      </c>
      <c r="R78" s="14">
        <v>3.35</v>
      </c>
      <c r="S78">
        <v>885</v>
      </c>
    </row>
    <row r="79" spans="3:19" x14ac:dyDescent="0.25">
      <c r="C79" s="15" t="s">
        <v>119</v>
      </c>
      <c r="D79" s="14">
        <v>46</v>
      </c>
      <c r="E79" s="14" t="s">
        <v>26</v>
      </c>
      <c r="F79" s="14" t="s">
        <v>13</v>
      </c>
      <c r="G79" s="14">
        <v>14.21</v>
      </c>
      <c r="H79" s="14">
        <v>4.04</v>
      </c>
      <c r="I79" s="14">
        <v>2.44</v>
      </c>
      <c r="J79" s="14">
        <v>18.899999999999999</v>
      </c>
      <c r="K79" s="14">
        <v>111</v>
      </c>
      <c r="L79" s="14">
        <v>2.85</v>
      </c>
      <c r="M79" s="14">
        <v>2.65</v>
      </c>
      <c r="N79" s="14">
        <v>0.3</v>
      </c>
      <c r="O79" s="14">
        <v>1.25</v>
      </c>
      <c r="P79" s="14">
        <v>5.24</v>
      </c>
      <c r="Q79" s="14">
        <v>0.87</v>
      </c>
      <c r="R79" s="14">
        <v>3.33</v>
      </c>
      <c r="S79">
        <v>1080</v>
      </c>
    </row>
    <row r="80" spans="3:19" x14ac:dyDescent="0.25">
      <c r="C80" s="15" t="s">
        <v>120</v>
      </c>
      <c r="D80" s="14">
        <v>47</v>
      </c>
      <c r="E80" s="14" t="s">
        <v>26</v>
      </c>
      <c r="F80" s="14" t="s">
        <v>13</v>
      </c>
      <c r="G80" s="14">
        <v>14.38</v>
      </c>
      <c r="H80" s="14">
        <v>3.59</v>
      </c>
      <c r="I80" s="14">
        <v>2.2799999999999998</v>
      </c>
      <c r="J80" s="14">
        <v>16</v>
      </c>
      <c r="K80" s="14">
        <v>102</v>
      </c>
      <c r="L80" s="14">
        <v>3.25</v>
      </c>
      <c r="M80" s="14">
        <v>3.17</v>
      </c>
      <c r="N80" s="14">
        <v>0.27</v>
      </c>
      <c r="O80" s="14">
        <v>2.19</v>
      </c>
      <c r="P80" s="14">
        <v>4.9000000000000004</v>
      </c>
      <c r="Q80" s="14">
        <v>1.04</v>
      </c>
      <c r="R80" s="14">
        <v>3.44</v>
      </c>
      <c r="S80">
        <v>1065</v>
      </c>
    </row>
    <row r="81" spans="3:19" x14ac:dyDescent="0.25">
      <c r="C81" s="15" t="s">
        <v>121</v>
      </c>
      <c r="D81" s="14">
        <v>48</v>
      </c>
      <c r="E81" s="14" t="s">
        <v>26</v>
      </c>
      <c r="F81" s="14" t="s">
        <v>13</v>
      </c>
      <c r="G81" s="14">
        <v>13.9</v>
      </c>
      <c r="H81" s="14">
        <v>1.68</v>
      </c>
      <c r="I81" s="14">
        <v>2.12</v>
      </c>
      <c r="J81" s="14">
        <v>16</v>
      </c>
      <c r="K81" s="14">
        <v>101</v>
      </c>
      <c r="L81" s="14">
        <v>3.1</v>
      </c>
      <c r="M81" s="14">
        <v>3.39</v>
      </c>
      <c r="N81" s="14">
        <v>0.21</v>
      </c>
      <c r="O81" s="14">
        <v>2.14</v>
      </c>
      <c r="P81" s="14">
        <v>6.1</v>
      </c>
      <c r="Q81" s="14">
        <v>0.91</v>
      </c>
      <c r="R81" s="14">
        <v>3.33</v>
      </c>
      <c r="S81">
        <v>985</v>
      </c>
    </row>
    <row r="82" spans="3:19" x14ac:dyDescent="0.25">
      <c r="C82" s="15" t="s">
        <v>122</v>
      </c>
      <c r="D82" s="14">
        <v>49</v>
      </c>
      <c r="E82" s="14" t="s">
        <v>26</v>
      </c>
      <c r="F82" s="14" t="s">
        <v>13</v>
      </c>
      <c r="G82" s="14">
        <v>14.1</v>
      </c>
      <c r="H82" s="14">
        <v>2.02</v>
      </c>
      <c r="I82" s="14">
        <v>2.4</v>
      </c>
      <c r="J82" s="14">
        <v>18.8</v>
      </c>
      <c r="K82" s="14">
        <v>103</v>
      </c>
      <c r="L82" s="14">
        <v>2.75</v>
      </c>
      <c r="M82" s="14">
        <v>2.92</v>
      </c>
      <c r="N82" s="14">
        <v>0.32</v>
      </c>
      <c r="O82" s="14">
        <v>2.38</v>
      </c>
      <c r="P82" s="14">
        <v>6.2</v>
      </c>
      <c r="Q82" s="14">
        <v>1.07</v>
      </c>
      <c r="R82" s="14">
        <v>2.75</v>
      </c>
      <c r="S82">
        <v>1060</v>
      </c>
    </row>
    <row r="83" spans="3:19" x14ac:dyDescent="0.25">
      <c r="C83" s="15" t="s">
        <v>123</v>
      </c>
      <c r="D83" s="14">
        <v>50</v>
      </c>
      <c r="E83" s="14" t="s">
        <v>26</v>
      </c>
      <c r="F83" s="14" t="s">
        <v>13</v>
      </c>
      <c r="G83" s="14">
        <v>13.94</v>
      </c>
      <c r="H83" s="14">
        <v>1.73</v>
      </c>
      <c r="I83" s="14">
        <v>2.27</v>
      </c>
      <c r="J83" s="14">
        <v>17.399999999999999</v>
      </c>
      <c r="K83" s="14">
        <v>108</v>
      </c>
      <c r="L83" s="14">
        <v>2.88</v>
      </c>
      <c r="M83" s="14">
        <v>3.54</v>
      </c>
      <c r="N83" s="14">
        <v>0.32</v>
      </c>
      <c r="O83" s="14">
        <v>2.08</v>
      </c>
      <c r="P83" s="14">
        <v>8.9</v>
      </c>
      <c r="Q83" s="14">
        <v>1.1200000000000001</v>
      </c>
      <c r="R83" s="14">
        <v>3.1</v>
      </c>
      <c r="S83">
        <v>1260</v>
      </c>
    </row>
    <row r="84" spans="3:19" x14ac:dyDescent="0.25">
      <c r="C84" s="15" t="s">
        <v>124</v>
      </c>
      <c r="D84" s="14">
        <v>51</v>
      </c>
      <c r="E84" s="14" t="s">
        <v>26</v>
      </c>
      <c r="F84" s="14" t="s">
        <v>13</v>
      </c>
      <c r="G84" s="14">
        <v>13.05</v>
      </c>
      <c r="H84" s="14">
        <v>1.73</v>
      </c>
      <c r="I84" s="14">
        <v>2.04</v>
      </c>
      <c r="J84" s="14">
        <v>12.4</v>
      </c>
      <c r="K84" s="14">
        <v>92</v>
      </c>
      <c r="L84" s="14">
        <v>2.72</v>
      </c>
      <c r="M84" s="14">
        <v>3.27</v>
      </c>
      <c r="N84" s="14">
        <v>0.17</v>
      </c>
      <c r="O84" s="14">
        <v>2.91</v>
      </c>
      <c r="P84" s="14">
        <v>7.2</v>
      </c>
      <c r="Q84" s="14">
        <v>1.1200000000000001</v>
      </c>
      <c r="R84" s="14">
        <v>2.91</v>
      </c>
      <c r="S84">
        <v>1150</v>
      </c>
    </row>
    <row r="85" spans="3:19" x14ac:dyDescent="0.25">
      <c r="C85" s="15" t="s">
        <v>125</v>
      </c>
      <c r="D85" s="14">
        <v>52</v>
      </c>
      <c r="E85" s="14" t="s">
        <v>26</v>
      </c>
      <c r="F85" s="14" t="s">
        <v>13</v>
      </c>
      <c r="G85" s="14">
        <v>13.83</v>
      </c>
      <c r="H85" s="14">
        <v>1.65</v>
      </c>
      <c r="I85" s="14">
        <v>2.6</v>
      </c>
      <c r="J85" s="14">
        <v>17.2</v>
      </c>
      <c r="K85" s="14">
        <v>94</v>
      </c>
      <c r="L85" s="14">
        <v>2.4500000000000002</v>
      </c>
      <c r="M85" s="14">
        <v>2.99</v>
      </c>
      <c r="N85" s="14">
        <v>0.22</v>
      </c>
      <c r="O85" s="14">
        <v>2.29</v>
      </c>
      <c r="P85" s="14">
        <v>5.6</v>
      </c>
      <c r="Q85" s="14">
        <v>1.24</v>
      </c>
      <c r="R85" s="14">
        <v>3.37</v>
      </c>
      <c r="S85">
        <v>1265</v>
      </c>
    </row>
    <row r="86" spans="3:19" x14ac:dyDescent="0.25">
      <c r="C86" s="15" t="s">
        <v>126</v>
      </c>
      <c r="D86" s="14">
        <v>53</v>
      </c>
      <c r="E86" s="14" t="s">
        <v>26</v>
      </c>
      <c r="F86" s="14" t="s">
        <v>13</v>
      </c>
      <c r="G86" s="14">
        <v>13.82</v>
      </c>
      <c r="H86" s="14">
        <v>1.75</v>
      </c>
      <c r="I86" s="14">
        <v>2.42</v>
      </c>
      <c r="J86" s="14">
        <v>14</v>
      </c>
      <c r="K86" s="14">
        <v>111</v>
      </c>
      <c r="L86" s="14">
        <v>3.88</v>
      </c>
      <c r="M86" s="14">
        <v>3.74</v>
      </c>
      <c r="N86" s="14">
        <v>0.32</v>
      </c>
      <c r="O86" s="14">
        <v>1.87</v>
      </c>
      <c r="P86" s="14">
        <v>7.05</v>
      </c>
      <c r="Q86" s="14">
        <v>1.01</v>
      </c>
      <c r="R86" s="14">
        <v>3.26</v>
      </c>
      <c r="S86">
        <v>1190</v>
      </c>
    </row>
    <row r="87" spans="3:19" x14ac:dyDescent="0.25">
      <c r="C87" s="15" t="s">
        <v>127</v>
      </c>
      <c r="D87" s="14">
        <v>54</v>
      </c>
      <c r="E87" s="14" t="s">
        <v>26</v>
      </c>
      <c r="F87" s="14" t="s">
        <v>13</v>
      </c>
      <c r="G87" s="14">
        <v>13.77</v>
      </c>
      <c r="H87" s="14">
        <v>1.9</v>
      </c>
      <c r="I87" s="14">
        <v>2.68</v>
      </c>
      <c r="J87" s="14">
        <v>17.100000000000001</v>
      </c>
      <c r="K87" s="14">
        <v>115</v>
      </c>
      <c r="L87" s="14">
        <v>3</v>
      </c>
      <c r="M87" s="14">
        <v>2.79</v>
      </c>
      <c r="N87" s="14">
        <v>0.39</v>
      </c>
      <c r="O87" s="14">
        <v>1.68</v>
      </c>
      <c r="P87" s="14">
        <v>6.3</v>
      </c>
      <c r="Q87" s="14">
        <v>1.1299999999999999</v>
      </c>
      <c r="R87" s="14">
        <v>2.93</v>
      </c>
      <c r="S87">
        <v>1375</v>
      </c>
    </row>
    <row r="88" spans="3:19" x14ac:dyDescent="0.25">
      <c r="C88" s="15" t="s">
        <v>128</v>
      </c>
      <c r="D88" s="14">
        <v>55</v>
      </c>
      <c r="E88" s="14" t="s">
        <v>26</v>
      </c>
      <c r="F88" s="14" t="s">
        <v>13</v>
      </c>
      <c r="G88" s="14">
        <v>13.74</v>
      </c>
      <c r="H88" s="14">
        <v>1.67</v>
      </c>
      <c r="I88" s="14">
        <v>2.25</v>
      </c>
      <c r="J88" s="14">
        <v>16.399999999999999</v>
      </c>
      <c r="K88" s="14">
        <v>118</v>
      </c>
      <c r="L88" s="14">
        <v>2.6</v>
      </c>
      <c r="M88" s="14">
        <v>2.9</v>
      </c>
      <c r="N88" s="14">
        <v>0.21</v>
      </c>
      <c r="O88" s="14">
        <v>1.62</v>
      </c>
      <c r="P88" s="14">
        <v>5.85</v>
      </c>
      <c r="Q88" s="14">
        <v>0.92</v>
      </c>
      <c r="R88" s="14">
        <v>3.2</v>
      </c>
      <c r="S88">
        <v>1060</v>
      </c>
    </row>
    <row r="89" spans="3:19" x14ac:dyDescent="0.25">
      <c r="C89" s="15" t="s">
        <v>129</v>
      </c>
      <c r="D89" s="14">
        <v>56</v>
      </c>
      <c r="E89" s="14" t="s">
        <v>26</v>
      </c>
      <c r="F89" s="14" t="s">
        <v>13</v>
      </c>
      <c r="G89" s="14">
        <v>13.56</v>
      </c>
      <c r="H89" s="14">
        <v>1.73</v>
      </c>
      <c r="I89" s="14">
        <v>2.46</v>
      </c>
      <c r="J89" s="14">
        <v>20.5</v>
      </c>
      <c r="K89" s="14">
        <v>116</v>
      </c>
      <c r="L89" s="14">
        <v>2.96</v>
      </c>
      <c r="M89" s="14">
        <v>2.78</v>
      </c>
      <c r="N89" s="14">
        <v>0.2</v>
      </c>
      <c r="O89" s="14">
        <v>2.4500000000000002</v>
      </c>
      <c r="P89" s="14">
        <v>6.25</v>
      </c>
      <c r="Q89" s="14">
        <v>0.98</v>
      </c>
      <c r="R89" s="14">
        <v>3.03</v>
      </c>
      <c r="S89">
        <v>1120</v>
      </c>
    </row>
    <row r="90" spans="3:19" x14ac:dyDescent="0.25">
      <c r="C90" s="15" t="s">
        <v>130</v>
      </c>
      <c r="D90" s="14">
        <v>57</v>
      </c>
      <c r="E90" s="14" t="s">
        <v>26</v>
      </c>
      <c r="F90" s="14" t="s">
        <v>13</v>
      </c>
      <c r="G90" s="14">
        <v>14.22</v>
      </c>
      <c r="H90" s="14">
        <v>1.7</v>
      </c>
      <c r="I90" s="14">
        <v>2.2999999999999998</v>
      </c>
      <c r="J90" s="14">
        <v>16.3</v>
      </c>
      <c r="K90" s="14">
        <v>118</v>
      </c>
      <c r="L90" s="14">
        <v>3.2</v>
      </c>
      <c r="M90" s="14">
        <v>3</v>
      </c>
      <c r="N90" s="14">
        <v>0.26</v>
      </c>
      <c r="O90" s="14">
        <v>2.0299999999999998</v>
      </c>
      <c r="P90" s="14">
        <v>6.38</v>
      </c>
      <c r="Q90" s="14">
        <v>0.94</v>
      </c>
      <c r="R90" s="14">
        <v>3.31</v>
      </c>
      <c r="S90">
        <v>970</v>
      </c>
    </row>
    <row r="91" spans="3:19" x14ac:dyDescent="0.25">
      <c r="C91" s="15" t="s">
        <v>131</v>
      </c>
      <c r="D91" s="14">
        <v>58</v>
      </c>
      <c r="E91" s="14" t="s">
        <v>26</v>
      </c>
      <c r="F91" s="14" t="s">
        <v>13</v>
      </c>
      <c r="G91" s="14">
        <v>13.29</v>
      </c>
      <c r="H91" s="14">
        <v>1.97</v>
      </c>
      <c r="I91" s="14">
        <v>2.68</v>
      </c>
      <c r="J91" s="14">
        <v>16.8</v>
      </c>
      <c r="K91" s="14">
        <v>102</v>
      </c>
      <c r="L91" s="14">
        <v>3</v>
      </c>
      <c r="M91" s="14">
        <v>3.23</v>
      </c>
      <c r="N91" s="14">
        <v>0.31</v>
      </c>
      <c r="O91" s="14">
        <v>1.66</v>
      </c>
      <c r="P91" s="14">
        <v>6</v>
      </c>
      <c r="Q91" s="14">
        <v>1.07</v>
      </c>
      <c r="R91" s="14">
        <v>2.84</v>
      </c>
      <c r="S91">
        <v>1270</v>
      </c>
    </row>
    <row r="92" spans="3:19" x14ac:dyDescent="0.25">
      <c r="C92" s="15" t="s">
        <v>132</v>
      </c>
      <c r="D92" s="14">
        <v>59</v>
      </c>
      <c r="E92" s="14" t="s">
        <v>26</v>
      </c>
      <c r="F92" s="14" t="s">
        <v>13</v>
      </c>
      <c r="G92" s="14">
        <v>13.72</v>
      </c>
      <c r="H92" s="14">
        <v>1.43</v>
      </c>
      <c r="I92" s="14">
        <v>2.5</v>
      </c>
      <c r="J92" s="14">
        <v>16.7</v>
      </c>
      <c r="K92" s="14">
        <v>108</v>
      </c>
      <c r="L92" s="14">
        <v>3.4</v>
      </c>
      <c r="M92" s="14">
        <v>3.67</v>
      </c>
      <c r="N92" s="14">
        <v>0.19</v>
      </c>
      <c r="O92" s="14">
        <v>2.04</v>
      </c>
      <c r="P92" s="14">
        <v>6.8</v>
      </c>
      <c r="Q92" s="14">
        <v>0.89</v>
      </c>
      <c r="R92" s="14">
        <v>2.87</v>
      </c>
      <c r="S92">
        <v>1285</v>
      </c>
    </row>
    <row r="93" spans="3:19" x14ac:dyDescent="0.25">
      <c r="C93" s="15" t="s">
        <v>133</v>
      </c>
      <c r="D93" s="14">
        <v>60</v>
      </c>
      <c r="E93" s="14" t="s">
        <v>26</v>
      </c>
      <c r="F93" s="14" t="s">
        <v>14</v>
      </c>
      <c r="G93" s="14">
        <v>12.37</v>
      </c>
      <c r="H93" s="14">
        <v>0.94</v>
      </c>
      <c r="I93" s="14">
        <v>1.36</v>
      </c>
      <c r="J93" s="14">
        <v>10.6</v>
      </c>
      <c r="K93" s="14">
        <v>88</v>
      </c>
      <c r="L93" s="14">
        <v>1.98</v>
      </c>
      <c r="M93" s="14">
        <v>0.56999999999999995</v>
      </c>
      <c r="N93" s="14">
        <v>0.28000000000000003</v>
      </c>
      <c r="O93" s="14">
        <v>0.42</v>
      </c>
      <c r="P93" s="14">
        <v>1.95</v>
      </c>
      <c r="Q93" s="14">
        <v>1.05</v>
      </c>
      <c r="R93" s="14">
        <v>1.82</v>
      </c>
      <c r="S93">
        <v>520</v>
      </c>
    </row>
    <row r="94" spans="3:19" x14ac:dyDescent="0.25">
      <c r="C94" s="15" t="s">
        <v>134</v>
      </c>
      <c r="D94" s="14">
        <v>61</v>
      </c>
      <c r="E94" s="14" t="s">
        <v>26</v>
      </c>
      <c r="F94" s="14" t="s">
        <v>14</v>
      </c>
      <c r="G94" s="14">
        <v>12.33</v>
      </c>
      <c r="H94" s="14">
        <v>1.1000000000000001</v>
      </c>
      <c r="I94" s="14">
        <v>2.2799999999999998</v>
      </c>
      <c r="J94" s="14">
        <v>16</v>
      </c>
      <c r="K94" s="14">
        <v>101</v>
      </c>
      <c r="L94" s="14">
        <v>2.0499999999999998</v>
      </c>
      <c r="M94" s="14">
        <v>1.0900000000000001</v>
      </c>
      <c r="N94" s="14">
        <v>0.63</v>
      </c>
      <c r="O94" s="14">
        <v>0.41</v>
      </c>
      <c r="P94" s="14">
        <v>3.27</v>
      </c>
      <c r="Q94" s="14">
        <v>1.25</v>
      </c>
      <c r="R94" s="14">
        <v>1.67</v>
      </c>
      <c r="S94">
        <v>680</v>
      </c>
    </row>
    <row r="95" spans="3:19" x14ac:dyDescent="0.25">
      <c r="C95" s="15" t="s">
        <v>135</v>
      </c>
      <c r="D95" s="14">
        <v>62</v>
      </c>
      <c r="E95" s="14" t="s">
        <v>26</v>
      </c>
      <c r="F95" s="14" t="s">
        <v>14</v>
      </c>
      <c r="G95" s="14">
        <v>12.64</v>
      </c>
      <c r="H95" s="14">
        <v>1.36</v>
      </c>
      <c r="I95" s="14">
        <v>2.02</v>
      </c>
      <c r="J95" s="14">
        <v>16.8</v>
      </c>
      <c r="K95" s="14">
        <v>100</v>
      </c>
      <c r="L95" s="14">
        <v>2.02</v>
      </c>
      <c r="M95" s="14">
        <v>1.41</v>
      </c>
      <c r="N95" s="14">
        <v>0.53</v>
      </c>
      <c r="O95" s="14">
        <v>0.62</v>
      </c>
      <c r="P95" s="14">
        <v>5.75</v>
      </c>
      <c r="Q95" s="14">
        <v>0.98</v>
      </c>
      <c r="R95" s="14">
        <v>1.59</v>
      </c>
      <c r="S95">
        <v>450</v>
      </c>
    </row>
    <row r="96" spans="3:19" x14ac:dyDescent="0.25">
      <c r="C96" s="15" t="s">
        <v>136</v>
      </c>
      <c r="D96" s="14">
        <v>63</v>
      </c>
      <c r="E96" s="14" t="s">
        <v>26</v>
      </c>
      <c r="F96" s="14" t="s">
        <v>14</v>
      </c>
      <c r="G96" s="14">
        <v>13.67</v>
      </c>
      <c r="H96" s="14">
        <v>1.25</v>
      </c>
      <c r="I96" s="14">
        <v>1.92</v>
      </c>
      <c r="J96" s="14">
        <v>18</v>
      </c>
      <c r="K96" s="14">
        <v>94</v>
      </c>
      <c r="L96" s="14">
        <v>2.1</v>
      </c>
      <c r="M96" s="14">
        <v>1.79</v>
      </c>
      <c r="N96" s="14">
        <v>0.32</v>
      </c>
      <c r="O96" s="14">
        <v>0.73</v>
      </c>
      <c r="P96" s="14">
        <v>3.8</v>
      </c>
      <c r="Q96" s="14">
        <v>1.23</v>
      </c>
      <c r="R96" s="14">
        <v>2.46</v>
      </c>
      <c r="S96">
        <v>630</v>
      </c>
    </row>
    <row r="97" spans="3:19" x14ac:dyDescent="0.25">
      <c r="C97" s="15" t="s">
        <v>137</v>
      </c>
      <c r="D97" s="14">
        <v>64</v>
      </c>
      <c r="E97" s="14" t="s">
        <v>26</v>
      </c>
      <c r="F97" s="14" t="s">
        <v>14</v>
      </c>
      <c r="G97" s="14">
        <v>12.37</v>
      </c>
      <c r="H97" s="14">
        <v>1.1299999999999999</v>
      </c>
      <c r="I97" s="14">
        <v>2.16</v>
      </c>
      <c r="J97" s="14">
        <v>19</v>
      </c>
      <c r="K97" s="14">
        <v>87</v>
      </c>
      <c r="L97" s="14">
        <v>3.5</v>
      </c>
      <c r="M97" s="14">
        <v>3.1</v>
      </c>
      <c r="N97" s="14">
        <v>0.19</v>
      </c>
      <c r="O97" s="14">
        <v>1.87</v>
      </c>
      <c r="P97" s="14">
        <v>4.45</v>
      </c>
      <c r="Q97" s="14">
        <v>1.22</v>
      </c>
      <c r="R97" s="14">
        <v>2.87</v>
      </c>
      <c r="S97">
        <v>420</v>
      </c>
    </row>
    <row r="98" spans="3:19" x14ac:dyDescent="0.25">
      <c r="C98" s="15" t="s">
        <v>138</v>
      </c>
      <c r="D98" s="14">
        <v>65</v>
      </c>
      <c r="E98" s="14" t="s">
        <v>26</v>
      </c>
      <c r="F98" s="14" t="s">
        <v>14</v>
      </c>
      <c r="G98" s="14">
        <v>12.17</v>
      </c>
      <c r="H98" s="14">
        <v>1.45</v>
      </c>
      <c r="I98" s="14">
        <v>2.5299999999999998</v>
      </c>
      <c r="J98" s="14">
        <v>19</v>
      </c>
      <c r="K98" s="14">
        <v>104</v>
      </c>
      <c r="L98" s="14">
        <v>1.89</v>
      </c>
      <c r="M98" s="14">
        <v>1.75</v>
      </c>
      <c r="N98" s="14">
        <v>0.45</v>
      </c>
      <c r="O98" s="14">
        <v>1.03</v>
      </c>
      <c r="P98" s="14">
        <v>2.95</v>
      </c>
      <c r="Q98" s="14">
        <v>1.45</v>
      </c>
      <c r="R98" s="14">
        <v>2.23</v>
      </c>
      <c r="S98">
        <v>355</v>
      </c>
    </row>
    <row r="99" spans="3:19" x14ac:dyDescent="0.25">
      <c r="C99" s="15" t="s">
        <v>139</v>
      </c>
      <c r="D99" s="14">
        <v>66</v>
      </c>
      <c r="E99" s="14" t="s">
        <v>26</v>
      </c>
      <c r="F99" s="14" t="s">
        <v>14</v>
      </c>
      <c r="G99" s="14">
        <v>12.37</v>
      </c>
      <c r="H99" s="14">
        <v>1.21</v>
      </c>
      <c r="I99" s="14">
        <v>2.56</v>
      </c>
      <c r="J99" s="14">
        <v>18.100000000000001</v>
      </c>
      <c r="K99" s="14">
        <v>98</v>
      </c>
      <c r="L99" s="14">
        <v>2.42</v>
      </c>
      <c r="M99" s="14">
        <v>2.65</v>
      </c>
      <c r="N99" s="14">
        <v>0.37</v>
      </c>
      <c r="O99" s="14">
        <v>2.08</v>
      </c>
      <c r="P99" s="14">
        <v>4.5999999999999996</v>
      </c>
      <c r="Q99" s="14">
        <v>1.19</v>
      </c>
      <c r="R99" s="14">
        <v>2.2999999999999998</v>
      </c>
      <c r="S99">
        <v>678</v>
      </c>
    </row>
    <row r="100" spans="3:19" x14ac:dyDescent="0.25">
      <c r="C100" s="15" t="s">
        <v>140</v>
      </c>
      <c r="D100" s="14">
        <v>67</v>
      </c>
      <c r="E100" s="14" t="s">
        <v>26</v>
      </c>
      <c r="F100" s="14" t="s">
        <v>14</v>
      </c>
      <c r="G100" s="14">
        <v>13.11</v>
      </c>
      <c r="H100" s="14">
        <v>1.01</v>
      </c>
      <c r="I100" s="14">
        <v>1.7</v>
      </c>
      <c r="J100" s="14">
        <v>15</v>
      </c>
      <c r="K100" s="14">
        <v>78</v>
      </c>
      <c r="L100" s="14">
        <v>2.98</v>
      </c>
      <c r="M100" s="14">
        <v>3.18</v>
      </c>
      <c r="N100" s="14">
        <v>0.26</v>
      </c>
      <c r="O100" s="14">
        <v>2.2799999999999998</v>
      </c>
      <c r="P100" s="14">
        <v>5.3</v>
      </c>
      <c r="Q100" s="14">
        <v>1.1200000000000001</v>
      </c>
      <c r="R100" s="14">
        <v>3.18</v>
      </c>
      <c r="S100">
        <v>502</v>
      </c>
    </row>
    <row r="101" spans="3:19" x14ac:dyDescent="0.25">
      <c r="C101" s="15" t="s">
        <v>141</v>
      </c>
      <c r="D101" s="14">
        <v>68</v>
      </c>
      <c r="E101" s="14" t="s">
        <v>26</v>
      </c>
      <c r="F101" s="14" t="s">
        <v>14</v>
      </c>
      <c r="G101" s="14">
        <v>12.37</v>
      </c>
      <c r="H101" s="14">
        <v>1.17</v>
      </c>
      <c r="I101" s="14">
        <v>1.92</v>
      </c>
      <c r="J101" s="14">
        <v>19.600000000000001</v>
      </c>
      <c r="K101" s="14">
        <v>78</v>
      </c>
      <c r="L101" s="14">
        <v>2.11</v>
      </c>
      <c r="M101" s="14">
        <v>2</v>
      </c>
      <c r="N101" s="14">
        <v>0.27</v>
      </c>
      <c r="O101" s="14">
        <v>1.04</v>
      </c>
      <c r="P101" s="14">
        <v>4.68</v>
      </c>
      <c r="Q101" s="14">
        <v>1.1200000000000001</v>
      </c>
      <c r="R101" s="14">
        <v>3.48</v>
      </c>
      <c r="S101">
        <v>510</v>
      </c>
    </row>
    <row r="102" spans="3:19" x14ac:dyDescent="0.25">
      <c r="C102" s="15" t="s">
        <v>142</v>
      </c>
      <c r="D102" s="14">
        <v>69</v>
      </c>
      <c r="E102" s="14" t="s">
        <v>26</v>
      </c>
      <c r="F102" s="14" t="s">
        <v>14</v>
      </c>
      <c r="G102" s="14">
        <v>13.34</v>
      </c>
      <c r="H102" s="14">
        <v>0.94</v>
      </c>
      <c r="I102" s="14">
        <v>2.36</v>
      </c>
      <c r="J102" s="14">
        <v>17</v>
      </c>
      <c r="K102" s="14">
        <v>110</v>
      </c>
      <c r="L102" s="14">
        <v>2.5299999999999998</v>
      </c>
      <c r="M102" s="14">
        <v>1.3</v>
      </c>
      <c r="N102" s="14">
        <v>0.55000000000000004</v>
      </c>
      <c r="O102" s="14">
        <v>0.42</v>
      </c>
      <c r="P102" s="14">
        <v>3.17</v>
      </c>
      <c r="Q102" s="14">
        <v>1.02</v>
      </c>
      <c r="R102" s="14">
        <v>1.93</v>
      </c>
      <c r="S102">
        <v>750</v>
      </c>
    </row>
    <row r="103" spans="3:19" x14ac:dyDescent="0.25">
      <c r="C103" s="15" t="s">
        <v>143</v>
      </c>
      <c r="D103" s="14">
        <v>70</v>
      </c>
      <c r="E103" s="14" t="s">
        <v>26</v>
      </c>
      <c r="F103" s="14" t="s">
        <v>14</v>
      </c>
      <c r="G103" s="14">
        <v>12.21</v>
      </c>
      <c r="H103" s="14">
        <v>1.19</v>
      </c>
      <c r="I103" s="14">
        <v>1.75</v>
      </c>
      <c r="J103" s="14">
        <v>16.8</v>
      </c>
      <c r="K103" s="14">
        <v>151</v>
      </c>
      <c r="L103" s="14">
        <v>1.85</v>
      </c>
      <c r="M103" s="14">
        <v>1.28</v>
      </c>
      <c r="N103" s="14">
        <v>0.14000000000000001</v>
      </c>
      <c r="O103" s="14">
        <v>2.5</v>
      </c>
      <c r="P103" s="14">
        <v>2.85</v>
      </c>
      <c r="Q103" s="14">
        <v>1.28</v>
      </c>
      <c r="R103" s="14">
        <v>3.07</v>
      </c>
      <c r="S103">
        <v>718</v>
      </c>
    </row>
    <row r="104" spans="3:19" x14ac:dyDescent="0.25">
      <c r="C104" s="15" t="s">
        <v>144</v>
      </c>
      <c r="D104" s="14">
        <v>71</v>
      </c>
      <c r="E104" s="14" t="s">
        <v>26</v>
      </c>
      <c r="F104" s="14" t="s">
        <v>14</v>
      </c>
      <c r="G104" s="14">
        <v>12.29</v>
      </c>
      <c r="H104" s="14">
        <v>1.61</v>
      </c>
      <c r="I104" s="14">
        <v>2.21</v>
      </c>
      <c r="J104" s="14">
        <v>20.399999999999999</v>
      </c>
      <c r="K104" s="14">
        <v>103</v>
      </c>
      <c r="L104" s="14">
        <v>1.1000000000000001</v>
      </c>
      <c r="M104" s="14">
        <v>1.02</v>
      </c>
      <c r="N104" s="14">
        <v>0.37</v>
      </c>
      <c r="O104" s="14">
        <v>1.46</v>
      </c>
      <c r="P104" s="14">
        <v>3.05</v>
      </c>
      <c r="Q104" s="14">
        <v>0.90600000000000003</v>
      </c>
      <c r="R104" s="14">
        <v>1.82</v>
      </c>
      <c r="S104">
        <v>870</v>
      </c>
    </row>
    <row r="105" spans="3:19" x14ac:dyDescent="0.25">
      <c r="C105" s="15" t="s">
        <v>145</v>
      </c>
      <c r="D105" s="14">
        <v>72</v>
      </c>
      <c r="E105" s="14" t="s">
        <v>26</v>
      </c>
      <c r="F105" s="14" t="s">
        <v>14</v>
      </c>
      <c r="G105" s="14">
        <v>13.86</v>
      </c>
      <c r="H105" s="14">
        <v>1.51</v>
      </c>
      <c r="I105" s="14">
        <v>2.67</v>
      </c>
      <c r="J105" s="14">
        <v>25</v>
      </c>
      <c r="K105" s="14">
        <v>86</v>
      </c>
      <c r="L105" s="14">
        <v>2.95</v>
      </c>
      <c r="M105" s="14">
        <v>2.86</v>
      </c>
      <c r="N105" s="14">
        <v>0.21</v>
      </c>
      <c r="O105" s="14">
        <v>1.87</v>
      </c>
      <c r="P105" s="14">
        <v>3.38</v>
      </c>
      <c r="Q105" s="14">
        <v>1.36</v>
      </c>
      <c r="R105" s="14">
        <v>3.16</v>
      </c>
      <c r="S105">
        <v>410</v>
      </c>
    </row>
    <row r="106" spans="3:19" x14ac:dyDescent="0.25">
      <c r="C106" s="15" t="s">
        <v>146</v>
      </c>
      <c r="D106" s="14">
        <v>73</v>
      </c>
      <c r="E106" s="14" t="s">
        <v>26</v>
      </c>
      <c r="F106" s="14" t="s">
        <v>14</v>
      </c>
      <c r="G106" s="14">
        <v>13.49</v>
      </c>
      <c r="H106" s="14">
        <v>1.66</v>
      </c>
      <c r="I106" s="14">
        <v>2.2400000000000002</v>
      </c>
      <c r="J106" s="14">
        <v>24</v>
      </c>
      <c r="K106" s="14">
        <v>87</v>
      </c>
      <c r="L106" s="14">
        <v>1.88</v>
      </c>
      <c r="M106" s="14">
        <v>1.84</v>
      </c>
      <c r="N106" s="14">
        <v>0.27</v>
      </c>
      <c r="O106" s="14">
        <v>1.03</v>
      </c>
      <c r="P106" s="14">
        <v>3.74</v>
      </c>
      <c r="Q106" s="14">
        <v>0.98</v>
      </c>
      <c r="R106" s="14">
        <v>2.78</v>
      </c>
      <c r="S106">
        <v>472</v>
      </c>
    </row>
    <row r="107" spans="3:19" x14ac:dyDescent="0.25">
      <c r="C107" s="15" t="s">
        <v>147</v>
      </c>
      <c r="D107" s="14">
        <v>74</v>
      </c>
      <c r="E107" s="14" t="s">
        <v>26</v>
      </c>
      <c r="F107" s="14" t="s">
        <v>14</v>
      </c>
      <c r="G107" s="14">
        <v>12.99</v>
      </c>
      <c r="H107" s="14">
        <v>1.67</v>
      </c>
      <c r="I107" s="14">
        <v>2.6</v>
      </c>
      <c r="J107" s="14">
        <v>30</v>
      </c>
      <c r="K107" s="14">
        <v>139</v>
      </c>
      <c r="L107" s="14">
        <v>3.3</v>
      </c>
      <c r="M107" s="14">
        <v>2.89</v>
      </c>
      <c r="N107" s="14">
        <v>0.21</v>
      </c>
      <c r="O107" s="14">
        <v>1.96</v>
      </c>
      <c r="P107" s="14">
        <v>3.35</v>
      </c>
      <c r="Q107" s="14">
        <v>1.31</v>
      </c>
      <c r="R107" s="14">
        <v>3.5</v>
      </c>
      <c r="S107">
        <v>985</v>
      </c>
    </row>
    <row r="108" spans="3:19" x14ac:dyDescent="0.25">
      <c r="C108" s="15" t="s">
        <v>148</v>
      </c>
      <c r="D108" s="14">
        <v>75</v>
      </c>
      <c r="E108" s="14" t="s">
        <v>26</v>
      </c>
      <c r="F108" s="14" t="s">
        <v>14</v>
      </c>
      <c r="G108" s="14">
        <v>11.96</v>
      </c>
      <c r="H108" s="14">
        <v>1.0900000000000001</v>
      </c>
      <c r="I108" s="14">
        <v>2.2999999999999998</v>
      </c>
      <c r="J108" s="14">
        <v>21</v>
      </c>
      <c r="K108" s="14">
        <v>101</v>
      </c>
      <c r="L108" s="14">
        <v>3.38</v>
      </c>
      <c r="M108" s="14">
        <v>2.14</v>
      </c>
      <c r="N108" s="14">
        <v>0.13</v>
      </c>
      <c r="O108" s="14">
        <v>1.65</v>
      </c>
      <c r="P108" s="14">
        <v>3.21</v>
      </c>
      <c r="Q108" s="14">
        <v>0.99</v>
      </c>
      <c r="R108" s="14">
        <v>3.13</v>
      </c>
      <c r="S108">
        <v>886</v>
      </c>
    </row>
    <row r="109" spans="3:19" x14ac:dyDescent="0.25">
      <c r="C109" s="15" t="s">
        <v>149</v>
      </c>
      <c r="D109" s="14">
        <v>76</v>
      </c>
      <c r="E109" s="14" t="s">
        <v>26</v>
      </c>
      <c r="F109" s="14" t="s">
        <v>14</v>
      </c>
      <c r="G109" s="14">
        <v>11.66</v>
      </c>
      <c r="H109" s="14">
        <v>1.88</v>
      </c>
      <c r="I109" s="14">
        <v>1.92</v>
      </c>
      <c r="J109" s="14">
        <v>16</v>
      </c>
      <c r="K109" s="14">
        <v>97</v>
      </c>
      <c r="L109" s="14">
        <v>1.61</v>
      </c>
      <c r="M109" s="14">
        <v>1.57</v>
      </c>
      <c r="N109" s="14">
        <v>0.34</v>
      </c>
      <c r="O109" s="14">
        <v>1.1499999999999999</v>
      </c>
      <c r="P109" s="14">
        <v>3.8</v>
      </c>
      <c r="Q109" s="14">
        <v>1.23</v>
      </c>
      <c r="R109" s="14">
        <v>2.14</v>
      </c>
      <c r="S109">
        <v>428</v>
      </c>
    </row>
    <row r="110" spans="3:19" x14ac:dyDescent="0.25">
      <c r="C110" s="15" t="s">
        <v>150</v>
      </c>
      <c r="D110" s="14">
        <v>77</v>
      </c>
      <c r="E110" s="14" t="s">
        <v>26</v>
      </c>
      <c r="F110" s="14" t="s">
        <v>14</v>
      </c>
      <c r="G110" s="14">
        <v>13.03</v>
      </c>
      <c r="H110" s="14">
        <v>0.9</v>
      </c>
      <c r="I110" s="14">
        <v>1.71</v>
      </c>
      <c r="J110" s="14">
        <v>16</v>
      </c>
      <c r="K110" s="14">
        <v>86</v>
      </c>
      <c r="L110" s="14">
        <v>1.95</v>
      </c>
      <c r="M110" s="14">
        <v>2.0299999999999998</v>
      </c>
      <c r="N110" s="14">
        <v>0.24</v>
      </c>
      <c r="O110" s="14">
        <v>1.46</v>
      </c>
      <c r="P110" s="14">
        <v>4.5999999999999996</v>
      </c>
      <c r="Q110" s="14">
        <v>1.19</v>
      </c>
      <c r="R110" s="14">
        <v>2.48</v>
      </c>
      <c r="S110">
        <v>392</v>
      </c>
    </row>
    <row r="111" spans="3:19" x14ac:dyDescent="0.25">
      <c r="C111" s="15" t="s">
        <v>151</v>
      </c>
      <c r="D111" s="14">
        <v>78</v>
      </c>
      <c r="E111" s="14" t="s">
        <v>26</v>
      </c>
      <c r="F111" s="14" t="s">
        <v>14</v>
      </c>
      <c r="G111" s="14">
        <v>11.84</v>
      </c>
      <c r="H111" s="14">
        <v>2.89</v>
      </c>
      <c r="I111" s="14">
        <v>2.23</v>
      </c>
      <c r="J111" s="14">
        <v>18</v>
      </c>
      <c r="K111" s="14">
        <v>112</v>
      </c>
      <c r="L111" s="14">
        <v>1.72</v>
      </c>
      <c r="M111" s="14">
        <v>1.32</v>
      </c>
      <c r="N111" s="14">
        <v>0.43</v>
      </c>
      <c r="O111" s="14">
        <v>0.95</v>
      </c>
      <c r="P111" s="14">
        <v>2.65</v>
      </c>
      <c r="Q111" s="14">
        <v>0.96</v>
      </c>
      <c r="R111" s="14">
        <v>2.52</v>
      </c>
      <c r="S111">
        <v>500</v>
      </c>
    </row>
    <row r="112" spans="3:19" x14ac:dyDescent="0.25">
      <c r="C112" s="15" t="s">
        <v>152</v>
      </c>
      <c r="D112" s="14">
        <v>79</v>
      </c>
      <c r="E112" s="14" t="s">
        <v>26</v>
      </c>
      <c r="F112" s="14" t="s">
        <v>14</v>
      </c>
      <c r="G112" s="14">
        <v>12.33</v>
      </c>
      <c r="H112" s="14">
        <v>0.99</v>
      </c>
      <c r="I112" s="14">
        <v>1.95</v>
      </c>
      <c r="J112" s="14">
        <v>14.8</v>
      </c>
      <c r="K112" s="14">
        <v>136</v>
      </c>
      <c r="L112" s="14">
        <v>1.9</v>
      </c>
      <c r="M112" s="14">
        <v>1.85</v>
      </c>
      <c r="N112" s="14">
        <v>0.35</v>
      </c>
      <c r="O112" s="14">
        <v>2.76</v>
      </c>
      <c r="P112" s="14">
        <v>3.4</v>
      </c>
      <c r="Q112" s="14">
        <v>1.06</v>
      </c>
      <c r="R112" s="14">
        <v>2.31</v>
      </c>
      <c r="S112">
        <v>750</v>
      </c>
    </row>
    <row r="113" spans="3:19" x14ac:dyDescent="0.25">
      <c r="C113" s="15" t="s">
        <v>153</v>
      </c>
      <c r="D113" s="14">
        <v>80</v>
      </c>
      <c r="E113" s="14" t="s">
        <v>26</v>
      </c>
      <c r="F113" s="14" t="s">
        <v>14</v>
      </c>
      <c r="G113" s="14">
        <v>12.7</v>
      </c>
      <c r="H113" s="14">
        <v>3.87</v>
      </c>
      <c r="I113" s="14">
        <v>2.4</v>
      </c>
      <c r="J113" s="14">
        <v>23</v>
      </c>
      <c r="K113" s="14">
        <v>101</v>
      </c>
      <c r="L113" s="14">
        <v>2.83</v>
      </c>
      <c r="M113" s="14">
        <v>2.5499999999999998</v>
      </c>
      <c r="N113" s="14">
        <v>0.43</v>
      </c>
      <c r="O113" s="14">
        <v>1.95</v>
      </c>
      <c r="P113" s="14">
        <v>2.57</v>
      </c>
      <c r="Q113" s="14">
        <v>1.19</v>
      </c>
      <c r="R113" s="14">
        <v>3.13</v>
      </c>
      <c r="S113">
        <v>463</v>
      </c>
    </row>
    <row r="114" spans="3:19" x14ac:dyDescent="0.25">
      <c r="C114" s="15" t="s">
        <v>154</v>
      </c>
      <c r="D114" s="14">
        <v>81</v>
      </c>
      <c r="E114" s="14" t="s">
        <v>26</v>
      </c>
      <c r="F114" s="14" t="s">
        <v>14</v>
      </c>
      <c r="G114" s="14">
        <v>12</v>
      </c>
      <c r="H114" s="14">
        <v>0.92</v>
      </c>
      <c r="I114" s="14">
        <v>2</v>
      </c>
      <c r="J114" s="14">
        <v>19</v>
      </c>
      <c r="K114" s="14">
        <v>86</v>
      </c>
      <c r="L114" s="14">
        <v>2.42</v>
      </c>
      <c r="M114" s="14">
        <v>2.2599999999999998</v>
      </c>
      <c r="N114" s="14">
        <v>0.3</v>
      </c>
      <c r="O114" s="14">
        <v>1.43</v>
      </c>
      <c r="P114" s="14">
        <v>2.5</v>
      </c>
      <c r="Q114" s="14">
        <v>1.38</v>
      </c>
      <c r="R114" s="14">
        <v>3.12</v>
      </c>
      <c r="S114">
        <v>278</v>
      </c>
    </row>
    <row r="115" spans="3:19" x14ac:dyDescent="0.25">
      <c r="C115" s="15" t="s">
        <v>155</v>
      </c>
      <c r="D115" s="14">
        <v>82</v>
      </c>
      <c r="E115" s="14" t="s">
        <v>26</v>
      </c>
      <c r="F115" s="14" t="s">
        <v>14</v>
      </c>
      <c r="G115" s="14">
        <v>12.72</v>
      </c>
      <c r="H115" s="14">
        <v>1.81</v>
      </c>
      <c r="I115" s="14">
        <v>2.2000000000000002</v>
      </c>
      <c r="J115" s="14">
        <v>18.8</v>
      </c>
      <c r="K115" s="14">
        <v>86</v>
      </c>
      <c r="L115" s="14">
        <v>2.2000000000000002</v>
      </c>
      <c r="M115" s="14">
        <v>2.5299999999999998</v>
      </c>
      <c r="N115" s="14">
        <v>0.26</v>
      </c>
      <c r="O115" s="14">
        <v>1.77</v>
      </c>
      <c r="P115" s="14">
        <v>3.9</v>
      </c>
      <c r="Q115" s="14">
        <v>1.1599999999999999</v>
      </c>
      <c r="R115" s="14">
        <v>3.14</v>
      </c>
      <c r="S115">
        <v>714</v>
      </c>
    </row>
    <row r="116" spans="3:19" x14ac:dyDescent="0.25">
      <c r="C116" s="15" t="s">
        <v>156</v>
      </c>
      <c r="D116" s="14">
        <v>83</v>
      </c>
      <c r="E116" s="14" t="s">
        <v>26</v>
      </c>
      <c r="F116" s="14" t="s">
        <v>14</v>
      </c>
      <c r="G116" s="14">
        <v>12.08</v>
      </c>
      <c r="H116" s="14">
        <v>1.1299999999999999</v>
      </c>
      <c r="I116" s="14">
        <v>2.5099999999999998</v>
      </c>
      <c r="J116" s="14">
        <v>24</v>
      </c>
      <c r="K116" s="14">
        <v>78</v>
      </c>
      <c r="L116" s="14">
        <v>2</v>
      </c>
      <c r="M116" s="14">
        <v>1.58</v>
      </c>
      <c r="N116" s="14">
        <v>0.4</v>
      </c>
      <c r="O116" s="14">
        <v>1.4</v>
      </c>
      <c r="P116" s="14">
        <v>2.2000000000000002</v>
      </c>
      <c r="Q116" s="14">
        <v>1.31</v>
      </c>
      <c r="R116" s="14">
        <v>2.72</v>
      </c>
      <c r="S116">
        <v>630</v>
      </c>
    </row>
    <row r="117" spans="3:19" x14ac:dyDescent="0.25">
      <c r="C117" s="15" t="s">
        <v>157</v>
      </c>
      <c r="D117" s="14">
        <v>84</v>
      </c>
      <c r="E117" s="14" t="s">
        <v>26</v>
      </c>
      <c r="F117" s="14" t="s">
        <v>14</v>
      </c>
      <c r="G117" s="14">
        <v>13.05</v>
      </c>
      <c r="H117" s="14">
        <v>3.86</v>
      </c>
      <c r="I117" s="14">
        <v>2.3199999999999998</v>
      </c>
      <c r="J117" s="14">
        <v>22.5</v>
      </c>
      <c r="K117" s="14">
        <v>85</v>
      </c>
      <c r="L117" s="14">
        <v>1.65</v>
      </c>
      <c r="M117" s="14">
        <v>1.59</v>
      </c>
      <c r="N117" s="14">
        <v>0.61</v>
      </c>
      <c r="O117" s="14">
        <v>1.62</v>
      </c>
      <c r="P117" s="14">
        <v>4.8</v>
      </c>
      <c r="Q117" s="14">
        <v>0.84</v>
      </c>
      <c r="R117" s="14">
        <v>2.0099999999999998</v>
      </c>
      <c r="S117">
        <v>515</v>
      </c>
    </row>
    <row r="118" spans="3:19" x14ac:dyDescent="0.25">
      <c r="C118" s="15" t="s">
        <v>158</v>
      </c>
      <c r="D118" s="14">
        <v>85</v>
      </c>
      <c r="E118" s="14" t="s">
        <v>26</v>
      </c>
      <c r="F118" s="14" t="s">
        <v>14</v>
      </c>
      <c r="G118" s="14">
        <v>11.84</v>
      </c>
      <c r="H118" s="14">
        <v>0.89</v>
      </c>
      <c r="I118" s="14">
        <v>2.58</v>
      </c>
      <c r="J118" s="14">
        <v>18</v>
      </c>
      <c r="K118" s="14">
        <v>94</v>
      </c>
      <c r="L118" s="14">
        <v>2.2000000000000002</v>
      </c>
      <c r="M118" s="14">
        <v>2.21</v>
      </c>
      <c r="N118" s="14">
        <v>0.22</v>
      </c>
      <c r="O118" s="14">
        <v>2.35</v>
      </c>
      <c r="P118" s="14">
        <v>3.05</v>
      </c>
      <c r="Q118" s="14">
        <v>0.79</v>
      </c>
      <c r="R118" s="14">
        <v>3.08</v>
      </c>
      <c r="S118">
        <v>520</v>
      </c>
    </row>
    <row r="119" spans="3:19" x14ac:dyDescent="0.25">
      <c r="C119" s="15" t="s">
        <v>159</v>
      </c>
      <c r="D119" s="14">
        <v>86</v>
      </c>
      <c r="E119" s="14" t="s">
        <v>26</v>
      </c>
      <c r="F119" s="14" t="s">
        <v>14</v>
      </c>
      <c r="G119" s="14">
        <v>12.67</v>
      </c>
      <c r="H119" s="14">
        <v>0.98</v>
      </c>
      <c r="I119" s="14">
        <v>2.2400000000000002</v>
      </c>
      <c r="J119" s="14">
        <v>18</v>
      </c>
      <c r="K119" s="14">
        <v>99</v>
      </c>
      <c r="L119" s="14">
        <v>2.2000000000000002</v>
      </c>
      <c r="M119" s="14">
        <v>1.94</v>
      </c>
      <c r="N119" s="14">
        <v>0.3</v>
      </c>
      <c r="O119" s="14">
        <v>1.46</v>
      </c>
      <c r="P119" s="14">
        <v>2.62</v>
      </c>
      <c r="Q119" s="14">
        <v>1.23</v>
      </c>
      <c r="R119" s="14">
        <v>3.16</v>
      </c>
      <c r="S119">
        <v>450</v>
      </c>
    </row>
    <row r="120" spans="3:19" x14ac:dyDescent="0.25">
      <c r="C120" s="15" t="s">
        <v>160</v>
      </c>
      <c r="D120" s="14">
        <v>87</v>
      </c>
      <c r="E120" s="14" t="s">
        <v>26</v>
      </c>
      <c r="F120" s="14" t="s">
        <v>14</v>
      </c>
      <c r="G120" s="14">
        <v>12.16</v>
      </c>
      <c r="H120" s="14">
        <v>1.61</v>
      </c>
      <c r="I120" s="14">
        <v>2.31</v>
      </c>
      <c r="J120" s="14">
        <v>22.8</v>
      </c>
      <c r="K120" s="14">
        <v>90</v>
      </c>
      <c r="L120" s="14">
        <v>1.78</v>
      </c>
      <c r="M120" s="14">
        <v>1.69</v>
      </c>
      <c r="N120" s="14">
        <v>0.43</v>
      </c>
      <c r="O120" s="14">
        <v>1.56</v>
      </c>
      <c r="P120" s="14">
        <v>2.4500000000000002</v>
      </c>
      <c r="Q120" s="14">
        <v>1.33</v>
      </c>
      <c r="R120" s="14">
        <v>2.2599999999999998</v>
      </c>
      <c r="S120">
        <v>495</v>
      </c>
    </row>
    <row r="121" spans="3:19" x14ac:dyDescent="0.25">
      <c r="C121" s="15" t="s">
        <v>161</v>
      </c>
      <c r="D121" s="14">
        <v>88</v>
      </c>
      <c r="E121" s="14" t="s">
        <v>26</v>
      </c>
      <c r="F121" s="14" t="s">
        <v>14</v>
      </c>
      <c r="G121" s="14">
        <v>11.65</v>
      </c>
      <c r="H121" s="14">
        <v>1.67</v>
      </c>
      <c r="I121" s="14">
        <v>2.62</v>
      </c>
      <c r="J121" s="14">
        <v>26</v>
      </c>
      <c r="K121" s="14">
        <v>88</v>
      </c>
      <c r="L121" s="14">
        <v>1.92</v>
      </c>
      <c r="M121" s="14">
        <v>1.61</v>
      </c>
      <c r="N121" s="14">
        <v>0.4</v>
      </c>
      <c r="O121" s="14">
        <v>1.34</v>
      </c>
      <c r="P121" s="14">
        <v>2.6</v>
      </c>
      <c r="Q121" s="14">
        <v>1.36</v>
      </c>
      <c r="R121" s="14">
        <v>3.21</v>
      </c>
      <c r="S121">
        <v>562</v>
      </c>
    </row>
    <row r="122" spans="3:19" x14ac:dyDescent="0.25">
      <c r="C122" s="15" t="s">
        <v>162</v>
      </c>
      <c r="D122" s="14">
        <v>89</v>
      </c>
      <c r="E122" s="14" t="s">
        <v>26</v>
      </c>
      <c r="F122" s="14" t="s">
        <v>14</v>
      </c>
      <c r="G122" s="14">
        <v>11.64</v>
      </c>
      <c r="H122" s="14">
        <v>2.06</v>
      </c>
      <c r="I122" s="14">
        <v>2.46</v>
      </c>
      <c r="J122" s="14">
        <v>21.6</v>
      </c>
      <c r="K122" s="14">
        <v>84</v>
      </c>
      <c r="L122" s="14">
        <v>1.95</v>
      </c>
      <c r="M122" s="14">
        <v>1.69</v>
      </c>
      <c r="N122" s="14">
        <v>0.48</v>
      </c>
      <c r="O122" s="14">
        <v>1.35</v>
      </c>
      <c r="P122" s="14">
        <v>2.8</v>
      </c>
      <c r="Q122" s="14">
        <v>1</v>
      </c>
      <c r="R122" s="14">
        <v>2.75</v>
      </c>
      <c r="S122">
        <v>680</v>
      </c>
    </row>
    <row r="123" spans="3:19" x14ac:dyDescent="0.25">
      <c r="C123" s="15" t="s">
        <v>163</v>
      </c>
      <c r="D123" s="14">
        <v>90</v>
      </c>
      <c r="E123" s="14" t="s">
        <v>26</v>
      </c>
      <c r="F123" s="14" t="s">
        <v>14</v>
      </c>
      <c r="G123" s="14">
        <v>12.08</v>
      </c>
      <c r="H123" s="14">
        <v>1.33</v>
      </c>
      <c r="I123" s="14">
        <v>2.2999999999999998</v>
      </c>
      <c r="J123" s="14">
        <v>23.6</v>
      </c>
      <c r="K123" s="14">
        <v>70</v>
      </c>
      <c r="L123" s="14">
        <v>2.2000000000000002</v>
      </c>
      <c r="M123" s="14">
        <v>1.59</v>
      </c>
      <c r="N123" s="14">
        <v>0.42</v>
      </c>
      <c r="O123" s="14">
        <v>1.38</v>
      </c>
      <c r="P123" s="14">
        <v>1.74</v>
      </c>
      <c r="Q123" s="14">
        <v>1.07</v>
      </c>
      <c r="R123" s="14">
        <v>3.21</v>
      </c>
      <c r="S123">
        <v>625</v>
      </c>
    </row>
    <row r="124" spans="3:19" x14ac:dyDescent="0.25">
      <c r="C124" s="15" t="s">
        <v>164</v>
      </c>
      <c r="D124" s="14">
        <v>91</v>
      </c>
      <c r="E124" s="14" t="s">
        <v>26</v>
      </c>
      <c r="F124" s="14" t="s">
        <v>14</v>
      </c>
      <c r="G124" s="14">
        <v>12.08</v>
      </c>
      <c r="H124" s="14">
        <v>1.83</v>
      </c>
      <c r="I124" s="14">
        <v>2.3199999999999998</v>
      </c>
      <c r="J124" s="14">
        <v>18.5</v>
      </c>
      <c r="K124" s="14">
        <v>81</v>
      </c>
      <c r="L124" s="14">
        <v>1.6</v>
      </c>
      <c r="M124" s="14">
        <v>1.5</v>
      </c>
      <c r="N124" s="14">
        <v>0.52</v>
      </c>
      <c r="O124" s="14">
        <v>1.64</v>
      </c>
      <c r="P124" s="14">
        <v>2.4</v>
      </c>
      <c r="Q124" s="14">
        <v>1.08</v>
      </c>
      <c r="R124" s="14">
        <v>2.27</v>
      </c>
      <c r="S124">
        <v>480</v>
      </c>
    </row>
    <row r="125" spans="3:19" x14ac:dyDescent="0.25">
      <c r="C125" s="15" t="s">
        <v>165</v>
      </c>
      <c r="D125" s="14">
        <v>92</v>
      </c>
      <c r="E125" s="14" t="s">
        <v>26</v>
      </c>
      <c r="F125" s="14" t="s">
        <v>14</v>
      </c>
      <c r="G125" s="14">
        <v>12</v>
      </c>
      <c r="H125" s="14">
        <v>1.51</v>
      </c>
      <c r="I125" s="14">
        <v>2.42</v>
      </c>
      <c r="J125" s="14">
        <v>22</v>
      </c>
      <c r="K125" s="14">
        <v>86</v>
      </c>
      <c r="L125" s="14">
        <v>1.45</v>
      </c>
      <c r="M125" s="14">
        <v>1.25</v>
      </c>
      <c r="N125" s="14">
        <v>0.5</v>
      </c>
      <c r="O125" s="14">
        <v>1.63</v>
      </c>
      <c r="P125" s="14">
        <v>3.6</v>
      </c>
      <c r="Q125" s="14">
        <v>1.05</v>
      </c>
      <c r="R125" s="14">
        <v>2.65</v>
      </c>
      <c r="S125">
        <v>450</v>
      </c>
    </row>
    <row r="126" spans="3:19" x14ac:dyDescent="0.25">
      <c r="C126" s="15" t="s">
        <v>166</v>
      </c>
      <c r="D126" s="14">
        <v>93</v>
      </c>
      <c r="E126" s="14" t="s">
        <v>26</v>
      </c>
      <c r="F126" s="14" t="s">
        <v>14</v>
      </c>
      <c r="G126" s="14">
        <v>12.69</v>
      </c>
      <c r="H126" s="14">
        <v>1.53</v>
      </c>
      <c r="I126" s="14">
        <v>2.2599999999999998</v>
      </c>
      <c r="J126" s="14">
        <v>20.7</v>
      </c>
      <c r="K126" s="14">
        <v>80</v>
      </c>
      <c r="L126" s="14">
        <v>1.38</v>
      </c>
      <c r="M126" s="14">
        <v>1.46</v>
      </c>
      <c r="N126" s="14">
        <v>0.57999999999999996</v>
      </c>
      <c r="O126" s="14">
        <v>1.62</v>
      </c>
      <c r="P126" s="14">
        <v>3.05</v>
      </c>
      <c r="Q126" s="14">
        <v>0.96</v>
      </c>
      <c r="R126" s="14">
        <v>2.06</v>
      </c>
      <c r="S126">
        <v>495</v>
      </c>
    </row>
    <row r="127" spans="3:19" x14ac:dyDescent="0.25">
      <c r="C127" s="15" t="s">
        <v>167</v>
      </c>
      <c r="D127" s="14">
        <v>94</v>
      </c>
      <c r="E127" s="14" t="s">
        <v>26</v>
      </c>
      <c r="F127" s="14" t="s">
        <v>14</v>
      </c>
      <c r="G127" s="14">
        <v>12.29</v>
      </c>
      <c r="H127" s="14">
        <v>2.83</v>
      </c>
      <c r="I127" s="14">
        <v>2.2200000000000002</v>
      </c>
      <c r="J127" s="14">
        <v>18</v>
      </c>
      <c r="K127" s="14">
        <v>88</v>
      </c>
      <c r="L127" s="14">
        <v>2.4500000000000002</v>
      </c>
      <c r="M127" s="14">
        <v>2.25</v>
      </c>
      <c r="N127" s="14">
        <v>0.25</v>
      </c>
      <c r="O127" s="14">
        <v>1.99</v>
      </c>
      <c r="P127" s="14">
        <v>2.15</v>
      </c>
      <c r="Q127" s="14">
        <v>1.1499999999999999</v>
      </c>
      <c r="R127" s="14">
        <v>3.3</v>
      </c>
      <c r="S127">
        <v>290</v>
      </c>
    </row>
    <row r="128" spans="3:19" x14ac:dyDescent="0.25">
      <c r="C128" s="15" t="s">
        <v>168</v>
      </c>
      <c r="D128" s="14">
        <v>95</v>
      </c>
      <c r="E128" s="14" t="s">
        <v>26</v>
      </c>
      <c r="F128" s="14" t="s">
        <v>14</v>
      </c>
      <c r="G128" s="14">
        <v>11.62</v>
      </c>
      <c r="H128" s="14">
        <v>1.99</v>
      </c>
      <c r="I128" s="14">
        <v>2.2799999999999998</v>
      </c>
      <c r="J128" s="14">
        <v>18</v>
      </c>
      <c r="K128" s="14">
        <v>98</v>
      </c>
      <c r="L128" s="14">
        <v>3.02</v>
      </c>
      <c r="M128" s="14">
        <v>2.2599999999999998</v>
      </c>
      <c r="N128" s="14">
        <v>0.17</v>
      </c>
      <c r="O128" s="14">
        <v>1.35</v>
      </c>
      <c r="P128" s="14">
        <v>3.25</v>
      </c>
      <c r="Q128" s="14">
        <v>1.1599999999999999</v>
      </c>
      <c r="R128" s="14">
        <v>2.96</v>
      </c>
      <c r="S128">
        <v>345</v>
      </c>
    </row>
    <row r="129" spans="3:19" x14ac:dyDescent="0.25">
      <c r="C129" s="15" t="s">
        <v>169</v>
      </c>
      <c r="D129" s="14">
        <v>96</v>
      </c>
      <c r="E129" s="14" t="s">
        <v>26</v>
      </c>
      <c r="F129" s="14" t="s">
        <v>14</v>
      </c>
      <c r="G129" s="14">
        <v>12.47</v>
      </c>
      <c r="H129" s="14">
        <v>1.52</v>
      </c>
      <c r="I129" s="14">
        <v>2.2000000000000002</v>
      </c>
      <c r="J129" s="14">
        <v>19</v>
      </c>
      <c r="K129" s="14">
        <v>162</v>
      </c>
      <c r="L129" s="14">
        <v>2.5</v>
      </c>
      <c r="M129" s="14">
        <v>2.27</v>
      </c>
      <c r="N129" s="14">
        <v>0.32</v>
      </c>
      <c r="O129" s="14">
        <v>3.28</v>
      </c>
      <c r="P129" s="14">
        <v>2.6</v>
      </c>
      <c r="Q129" s="14">
        <v>1.1599999999999999</v>
      </c>
      <c r="R129" s="14">
        <v>2.63</v>
      </c>
      <c r="S129">
        <v>937</v>
      </c>
    </row>
    <row r="130" spans="3:19" x14ac:dyDescent="0.25">
      <c r="C130" s="15" t="s">
        <v>170</v>
      </c>
      <c r="D130" s="14">
        <v>97</v>
      </c>
      <c r="E130" s="14" t="s">
        <v>26</v>
      </c>
      <c r="F130" s="14" t="s">
        <v>14</v>
      </c>
      <c r="G130" s="14">
        <v>11.81</v>
      </c>
      <c r="H130" s="14">
        <v>2.12</v>
      </c>
      <c r="I130" s="14">
        <v>2.74</v>
      </c>
      <c r="J130" s="14">
        <v>21.5</v>
      </c>
      <c r="K130" s="14">
        <v>134</v>
      </c>
      <c r="L130" s="14">
        <v>1.6</v>
      </c>
      <c r="M130" s="14">
        <v>0.99</v>
      </c>
      <c r="N130" s="14">
        <v>0.14000000000000001</v>
      </c>
      <c r="O130" s="14">
        <v>1.56</v>
      </c>
      <c r="P130" s="14">
        <v>2.5</v>
      </c>
      <c r="Q130" s="14">
        <v>0.95</v>
      </c>
      <c r="R130" s="14">
        <v>2.2599999999999998</v>
      </c>
      <c r="S130">
        <v>625</v>
      </c>
    </row>
    <row r="131" spans="3:19" x14ac:dyDescent="0.25">
      <c r="C131" s="15" t="s">
        <v>171</v>
      </c>
      <c r="D131" s="14">
        <v>98</v>
      </c>
      <c r="E131" s="14" t="s">
        <v>26</v>
      </c>
      <c r="F131" s="14" t="s">
        <v>14</v>
      </c>
      <c r="G131" s="14">
        <v>12.29</v>
      </c>
      <c r="H131" s="14">
        <v>1.41</v>
      </c>
      <c r="I131" s="14">
        <v>1.98</v>
      </c>
      <c r="J131" s="14">
        <v>16</v>
      </c>
      <c r="K131" s="14">
        <v>85</v>
      </c>
      <c r="L131" s="14">
        <v>2.5499999999999998</v>
      </c>
      <c r="M131" s="14">
        <v>2.5</v>
      </c>
      <c r="N131" s="14">
        <v>0.28999999999999998</v>
      </c>
      <c r="O131" s="14">
        <v>1.77</v>
      </c>
      <c r="P131" s="14">
        <v>2.9</v>
      </c>
      <c r="Q131" s="14">
        <v>1.23</v>
      </c>
      <c r="R131" s="14">
        <v>2.74</v>
      </c>
      <c r="S131">
        <v>428</v>
      </c>
    </row>
    <row r="132" spans="3:19" x14ac:dyDescent="0.25">
      <c r="C132" s="15" t="s">
        <v>172</v>
      </c>
      <c r="D132" s="14">
        <v>99</v>
      </c>
      <c r="E132" s="14" t="s">
        <v>26</v>
      </c>
      <c r="F132" s="14" t="s">
        <v>14</v>
      </c>
      <c r="G132" s="14">
        <v>12.37</v>
      </c>
      <c r="H132" s="14">
        <v>1.07</v>
      </c>
      <c r="I132" s="14">
        <v>2.1</v>
      </c>
      <c r="J132" s="14">
        <v>18.5</v>
      </c>
      <c r="K132" s="14">
        <v>88</v>
      </c>
      <c r="L132" s="14">
        <v>3.52</v>
      </c>
      <c r="M132" s="14">
        <v>3.75</v>
      </c>
      <c r="N132" s="14">
        <v>0.24</v>
      </c>
      <c r="O132" s="14">
        <v>1.95</v>
      </c>
      <c r="P132" s="14">
        <v>4.5</v>
      </c>
      <c r="Q132" s="14">
        <v>1.04</v>
      </c>
      <c r="R132" s="14">
        <v>2.77</v>
      </c>
      <c r="S132">
        <v>660</v>
      </c>
    </row>
    <row r="133" spans="3:19" x14ac:dyDescent="0.25">
      <c r="C133" s="15" t="s">
        <v>173</v>
      </c>
      <c r="D133" s="14">
        <v>100</v>
      </c>
      <c r="E133" s="14" t="s">
        <v>26</v>
      </c>
      <c r="F133" s="14" t="s">
        <v>14</v>
      </c>
      <c r="G133" s="14">
        <v>12.29</v>
      </c>
      <c r="H133" s="14">
        <v>3.17</v>
      </c>
      <c r="I133" s="14">
        <v>2.21</v>
      </c>
      <c r="J133" s="14">
        <v>18</v>
      </c>
      <c r="K133" s="14">
        <v>88</v>
      </c>
      <c r="L133" s="14">
        <v>2.85</v>
      </c>
      <c r="M133" s="14">
        <v>2.99</v>
      </c>
      <c r="N133" s="14">
        <v>0.45</v>
      </c>
      <c r="O133" s="14">
        <v>2.81</v>
      </c>
      <c r="P133" s="14">
        <v>2.2999999999999998</v>
      </c>
      <c r="Q133" s="14">
        <v>1.42</v>
      </c>
      <c r="R133" s="14">
        <v>2.83</v>
      </c>
      <c r="S133">
        <v>406</v>
      </c>
    </row>
    <row r="134" spans="3:19" x14ac:dyDescent="0.25">
      <c r="C134" s="15" t="s">
        <v>174</v>
      </c>
      <c r="D134" s="14">
        <v>101</v>
      </c>
      <c r="E134" s="14" t="s">
        <v>26</v>
      </c>
      <c r="F134" s="14" t="s">
        <v>14</v>
      </c>
      <c r="G134" s="14">
        <v>12.08</v>
      </c>
      <c r="H134" s="14">
        <v>2.08</v>
      </c>
      <c r="I134" s="14">
        <v>1.7</v>
      </c>
      <c r="J134" s="14">
        <v>17.5</v>
      </c>
      <c r="K134" s="14">
        <v>97</v>
      </c>
      <c r="L134" s="14">
        <v>2.23</v>
      </c>
      <c r="M134" s="14">
        <v>2.17</v>
      </c>
      <c r="N134" s="14">
        <v>0.26</v>
      </c>
      <c r="O134" s="14">
        <v>1.4</v>
      </c>
      <c r="P134" s="14">
        <v>3.3</v>
      </c>
      <c r="Q134" s="14">
        <v>1.27</v>
      </c>
      <c r="R134" s="14">
        <v>2.96</v>
      </c>
      <c r="S134">
        <v>710</v>
      </c>
    </row>
    <row r="135" spans="3:19" x14ac:dyDescent="0.25">
      <c r="C135" s="15" t="s">
        <v>175</v>
      </c>
      <c r="D135" s="14">
        <v>102</v>
      </c>
      <c r="E135" s="14" t="s">
        <v>26</v>
      </c>
      <c r="F135" s="14" t="s">
        <v>14</v>
      </c>
      <c r="G135" s="14">
        <v>12.6</v>
      </c>
      <c r="H135" s="14">
        <v>1.34</v>
      </c>
      <c r="I135" s="14">
        <v>1.9</v>
      </c>
      <c r="J135" s="14">
        <v>18.5</v>
      </c>
      <c r="K135" s="14">
        <v>88</v>
      </c>
      <c r="L135" s="14">
        <v>1.45</v>
      </c>
      <c r="M135" s="14">
        <v>1.36</v>
      </c>
      <c r="N135" s="14">
        <v>0.28999999999999998</v>
      </c>
      <c r="O135" s="14">
        <v>1.35</v>
      </c>
      <c r="P135" s="14">
        <v>2.4500000000000002</v>
      </c>
      <c r="Q135" s="14">
        <v>1.04</v>
      </c>
      <c r="R135" s="14">
        <v>2.77</v>
      </c>
      <c r="S135">
        <v>562</v>
      </c>
    </row>
    <row r="136" spans="3:19" x14ac:dyDescent="0.25">
      <c r="C136" s="15" t="s">
        <v>176</v>
      </c>
      <c r="D136" s="14">
        <v>103</v>
      </c>
      <c r="E136" s="14" t="s">
        <v>26</v>
      </c>
      <c r="F136" s="14" t="s">
        <v>14</v>
      </c>
      <c r="G136" s="14">
        <v>12.34</v>
      </c>
      <c r="H136" s="14">
        <v>2.4500000000000002</v>
      </c>
      <c r="I136" s="14">
        <v>2.46</v>
      </c>
      <c r="J136" s="14">
        <v>21</v>
      </c>
      <c r="K136" s="14">
        <v>98</v>
      </c>
      <c r="L136" s="14">
        <v>2.56</v>
      </c>
      <c r="M136" s="14">
        <v>2.11</v>
      </c>
      <c r="N136" s="14">
        <v>0.34</v>
      </c>
      <c r="O136" s="14">
        <v>1.31</v>
      </c>
      <c r="P136" s="14">
        <v>2.8</v>
      </c>
      <c r="Q136" s="14">
        <v>0.8</v>
      </c>
      <c r="R136" s="14">
        <v>3.38</v>
      </c>
      <c r="S136">
        <v>438</v>
      </c>
    </row>
    <row r="137" spans="3:19" x14ac:dyDescent="0.25">
      <c r="C137" s="15" t="s">
        <v>177</v>
      </c>
      <c r="D137" s="14">
        <v>104</v>
      </c>
      <c r="E137" s="14" t="s">
        <v>26</v>
      </c>
      <c r="F137" s="14" t="s">
        <v>14</v>
      </c>
      <c r="G137" s="14">
        <v>11.82</v>
      </c>
      <c r="H137" s="14">
        <v>1.72</v>
      </c>
      <c r="I137" s="14">
        <v>1.88</v>
      </c>
      <c r="J137" s="14">
        <v>19.5</v>
      </c>
      <c r="K137" s="14">
        <v>86</v>
      </c>
      <c r="L137" s="14">
        <v>2.5</v>
      </c>
      <c r="M137" s="14">
        <v>1.64</v>
      </c>
      <c r="N137" s="14">
        <v>0.37</v>
      </c>
      <c r="O137" s="14">
        <v>1.42</v>
      </c>
      <c r="P137" s="14">
        <v>2.06</v>
      </c>
      <c r="Q137" s="14">
        <v>0.94</v>
      </c>
      <c r="R137" s="14">
        <v>2.44</v>
      </c>
      <c r="S137">
        <v>415</v>
      </c>
    </row>
    <row r="138" spans="3:19" x14ac:dyDescent="0.25">
      <c r="C138" s="15" t="s">
        <v>178</v>
      </c>
      <c r="D138" s="14">
        <v>105</v>
      </c>
      <c r="E138" s="14" t="s">
        <v>26</v>
      </c>
      <c r="F138" s="14" t="s">
        <v>14</v>
      </c>
      <c r="G138" s="14">
        <v>12.51</v>
      </c>
      <c r="H138" s="14">
        <v>1.73</v>
      </c>
      <c r="I138" s="14">
        <v>1.98</v>
      </c>
      <c r="J138" s="14">
        <v>20.5</v>
      </c>
      <c r="K138" s="14">
        <v>85</v>
      </c>
      <c r="L138" s="14">
        <v>2.2000000000000002</v>
      </c>
      <c r="M138" s="14">
        <v>1.92</v>
      </c>
      <c r="N138" s="14">
        <v>0.32</v>
      </c>
      <c r="O138" s="14">
        <v>1.48</v>
      </c>
      <c r="P138" s="14">
        <v>2.94</v>
      </c>
      <c r="Q138" s="14">
        <v>1.04</v>
      </c>
      <c r="R138" s="14">
        <v>3.57</v>
      </c>
      <c r="S138">
        <v>672</v>
      </c>
    </row>
    <row r="139" spans="3:19" x14ac:dyDescent="0.25">
      <c r="C139" s="15" t="s">
        <v>179</v>
      </c>
      <c r="D139" s="14">
        <v>106</v>
      </c>
      <c r="E139" s="14" t="s">
        <v>26</v>
      </c>
      <c r="F139" s="14" t="s">
        <v>14</v>
      </c>
      <c r="G139" s="14">
        <v>12.42</v>
      </c>
      <c r="H139" s="14">
        <v>2.5499999999999998</v>
      </c>
      <c r="I139" s="14">
        <v>2.27</v>
      </c>
      <c r="J139" s="14">
        <v>22</v>
      </c>
      <c r="K139" s="14">
        <v>90</v>
      </c>
      <c r="L139" s="14">
        <v>1.68</v>
      </c>
      <c r="M139" s="14">
        <v>1.84</v>
      </c>
      <c r="N139" s="14">
        <v>0.66</v>
      </c>
      <c r="O139" s="14">
        <v>1.42</v>
      </c>
      <c r="P139" s="14">
        <v>2.7</v>
      </c>
      <c r="Q139" s="14">
        <v>0.86</v>
      </c>
      <c r="R139" s="14">
        <v>3.3</v>
      </c>
      <c r="S139">
        <v>315</v>
      </c>
    </row>
    <row r="140" spans="3:19" x14ac:dyDescent="0.25">
      <c r="C140" s="15" t="s">
        <v>180</v>
      </c>
      <c r="D140" s="14">
        <v>107</v>
      </c>
      <c r="E140" s="14" t="s">
        <v>26</v>
      </c>
      <c r="F140" s="14" t="s">
        <v>14</v>
      </c>
      <c r="G140" s="14">
        <v>12.25</v>
      </c>
      <c r="H140" s="14">
        <v>1.73</v>
      </c>
      <c r="I140" s="14">
        <v>2.12</v>
      </c>
      <c r="J140" s="14">
        <v>19</v>
      </c>
      <c r="K140" s="14">
        <v>80</v>
      </c>
      <c r="L140" s="14">
        <v>1.65</v>
      </c>
      <c r="M140" s="14">
        <v>2.0299999999999998</v>
      </c>
      <c r="N140" s="14">
        <v>0.37</v>
      </c>
      <c r="O140" s="14">
        <v>1.63</v>
      </c>
      <c r="P140" s="14">
        <v>3.4</v>
      </c>
      <c r="Q140" s="14">
        <v>1</v>
      </c>
      <c r="R140" s="14">
        <v>3.17</v>
      </c>
      <c r="S140">
        <v>510</v>
      </c>
    </row>
    <row r="141" spans="3:19" x14ac:dyDescent="0.25">
      <c r="C141" s="15" t="s">
        <v>181</v>
      </c>
      <c r="D141" s="14">
        <v>108</v>
      </c>
      <c r="E141" s="14" t="s">
        <v>26</v>
      </c>
      <c r="F141" s="14" t="s">
        <v>14</v>
      </c>
      <c r="G141" s="14">
        <v>12.72</v>
      </c>
      <c r="H141" s="14">
        <v>1.75</v>
      </c>
      <c r="I141" s="14">
        <v>2.2799999999999998</v>
      </c>
      <c r="J141" s="14">
        <v>22.5</v>
      </c>
      <c r="K141" s="14">
        <v>84</v>
      </c>
      <c r="L141" s="14">
        <v>1.38</v>
      </c>
      <c r="M141" s="14">
        <v>1.76</v>
      </c>
      <c r="N141" s="14">
        <v>0.48</v>
      </c>
      <c r="O141" s="14">
        <v>1.63</v>
      </c>
      <c r="P141" s="14">
        <v>3.3</v>
      </c>
      <c r="Q141" s="14">
        <v>0.88</v>
      </c>
      <c r="R141" s="14">
        <v>2.42</v>
      </c>
      <c r="S141">
        <v>488</v>
      </c>
    </row>
    <row r="142" spans="3:19" x14ac:dyDescent="0.25">
      <c r="C142" s="15" t="s">
        <v>182</v>
      </c>
      <c r="D142" s="14">
        <v>109</v>
      </c>
      <c r="E142" s="14" t="s">
        <v>26</v>
      </c>
      <c r="F142" s="14" t="s">
        <v>14</v>
      </c>
      <c r="G142" s="14">
        <v>12.22</v>
      </c>
      <c r="H142" s="14">
        <v>1.29</v>
      </c>
      <c r="I142" s="14">
        <v>1.94</v>
      </c>
      <c r="J142" s="14">
        <v>19</v>
      </c>
      <c r="K142" s="14">
        <v>92</v>
      </c>
      <c r="L142" s="14">
        <v>2.36</v>
      </c>
      <c r="M142" s="14">
        <v>2.04</v>
      </c>
      <c r="N142" s="14">
        <v>0.39</v>
      </c>
      <c r="O142" s="14">
        <v>2.08</v>
      </c>
      <c r="P142" s="14">
        <v>2.7</v>
      </c>
      <c r="Q142" s="14">
        <v>0.86</v>
      </c>
      <c r="R142" s="14">
        <v>3.02</v>
      </c>
      <c r="S142">
        <v>312</v>
      </c>
    </row>
    <row r="143" spans="3:19" x14ac:dyDescent="0.25">
      <c r="C143" s="15" t="s">
        <v>183</v>
      </c>
      <c r="D143" s="14">
        <v>110</v>
      </c>
      <c r="E143" s="14" t="s">
        <v>26</v>
      </c>
      <c r="F143" s="14" t="s">
        <v>14</v>
      </c>
      <c r="G143" s="14">
        <v>11.61</v>
      </c>
      <c r="H143" s="14">
        <v>1.35</v>
      </c>
      <c r="I143" s="14">
        <v>2.7</v>
      </c>
      <c r="J143" s="14">
        <v>20</v>
      </c>
      <c r="K143" s="14">
        <v>94</v>
      </c>
      <c r="L143" s="14">
        <v>2.74</v>
      </c>
      <c r="M143" s="14">
        <v>2.92</v>
      </c>
      <c r="N143" s="14">
        <v>0.28999999999999998</v>
      </c>
      <c r="O143" s="14">
        <v>2.4900000000000002</v>
      </c>
      <c r="P143" s="14">
        <v>2.65</v>
      </c>
      <c r="Q143" s="14">
        <v>0.96</v>
      </c>
      <c r="R143" s="14">
        <v>3.26</v>
      </c>
      <c r="S143">
        <v>680</v>
      </c>
    </row>
    <row r="144" spans="3:19" x14ac:dyDescent="0.25">
      <c r="C144" s="15" t="s">
        <v>184</v>
      </c>
      <c r="D144" s="14">
        <v>111</v>
      </c>
      <c r="E144" s="14" t="s">
        <v>26</v>
      </c>
      <c r="F144" s="14" t="s">
        <v>14</v>
      </c>
      <c r="G144" s="14">
        <v>11.46</v>
      </c>
      <c r="H144" s="14">
        <v>3.74</v>
      </c>
      <c r="I144" s="14">
        <v>1.82</v>
      </c>
      <c r="J144" s="14">
        <v>19.5</v>
      </c>
      <c r="K144" s="14">
        <v>107</v>
      </c>
      <c r="L144" s="14">
        <v>3.18</v>
      </c>
      <c r="M144" s="14">
        <v>2.58</v>
      </c>
      <c r="N144" s="14">
        <v>0.24</v>
      </c>
      <c r="O144" s="14">
        <v>3.58</v>
      </c>
      <c r="P144" s="14">
        <v>2.9</v>
      </c>
      <c r="Q144" s="14">
        <v>0.75</v>
      </c>
      <c r="R144" s="14">
        <v>2.81</v>
      </c>
      <c r="S144">
        <v>562</v>
      </c>
    </row>
    <row r="145" spans="3:19" x14ac:dyDescent="0.25">
      <c r="C145" s="15" t="s">
        <v>185</v>
      </c>
      <c r="D145" s="14">
        <v>112</v>
      </c>
      <c r="E145" s="14" t="s">
        <v>26</v>
      </c>
      <c r="F145" s="14" t="s">
        <v>14</v>
      </c>
      <c r="G145" s="14">
        <v>12.52</v>
      </c>
      <c r="H145" s="14">
        <v>2.4300000000000002</v>
      </c>
      <c r="I145" s="14">
        <v>2.17</v>
      </c>
      <c r="J145" s="14">
        <v>21</v>
      </c>
      <c r="K145" s="14">
        <v>88</v>
      </c>
      <c r="L145" s="14">
        <v>2.5499999999999998</v>
      </c>
      <c r="M145" s="14">
        <v>2.27</v>
      </c>
      <c r="N145" s="14">
        <v>0.26</v>
      </c>
      <c r="O145" s="14">
        <v>1.22</v>
      </c>
      <c r="P145" s="14">
        <v>2</v>
      </c>
      <c r="Q145" s="14">
        <v>0.9</v>
      </c>
      <c r="R145" s="14">
        <v>2.78</v>
      </c>
      <c r="S145">
        <v>325</v>
      </c>
    </row>
    <row r="146" spans="3:19" x14ac:dyDescent="0.25">
      <c r="C146" s="15" t="s">
        <v>186</v>
      </c>
      <c r="D146" s="14">
        <v>113</v>
      </c>
      <c r="E146" s="14" t="s">
        <v>26</v>
      </c>
      <c r="F146" s="14" t="s">
        <v>14</v>
      </c>
      <c r="G146" s="14">
        <v>11.76</v>
      </c>
      <c r="H146" s="14">
        <v>2.68</v>
      </c>
      <c r="I146" s="14">
        <v>2.92</v>
      </c>
      <c r="J146" s="14">
        <v>20</v>
      </c>
      <c r="K146" s="14">
        <v>103</v>
      </c>
      <c r="L146" s="14">
        <v>1.75</v>
      </c>
      <c r="M146" s="14">
        <v>2.0299999999999998</v>
      </c>
      <c r="N146" s="14">
        <v>0.6</v>
      </c>
      <c r="O146" s="14">
        <v>1.05</v>
      </c>
      <c r="P146" s="14">
        <v>3.8</v>
      </c>
      <c r="Q146" s="14">
        <v>1.23</v>
      </c>
      <c r="R146" s="14">
        <v>2.5</v>
      </c>
      <c r="S146">
        <v>607</v>
      </c>
    </row>
    <row r="147" spans="3:19" x14ac:dyDescent="0.25">
      <c r="C147" s="15" t="s">
        <v>187</v>
      </c>
      <c r="D147" s="14">
        <v>114</v>
      </c>
      <c r="E147" s="14" t="s">
        <v>26</v>
      </c>
      <c r="F147" s="14" t="s">
        <v>14</v>
      </c>
      <c r="G147" s="14">
        <v>11.41</v>
      </c>
      <c r="H147" s="14">
        <v>0.74</v>
      </c>
      <c r="I147" s="14">
        <v>2.5</v>
      </c>
      <c r="J147" s="14">
        <v>21</v>
      </c>
      <c r="K147" s="14">
        <v>88</v>
      </c>
      <c r="L147" s="14">
        <v>2.48</v>
      </c>
      <c r="M147" s="14">
        <v>2.0099999999999998</v>
      </c>
      <c r="N147" s="14">
        <v>0.42</v>
      </c>
      <c r="O147" s="14">
        <v>1.44</v>
      </c>
      <c r="P147" s="14">
        <v>3.08</v>
      </c>
      <c r="Q147" s="14">
        <v>1.1000000000000001</v>
      </c>
      <c r="R147" s="14">
        <v>2.31</v>
      </c>
      <c r="S147">
        <v>434</v>
      </c>
    </row>
    <row r="148" spans="3:19" x14ac:dyDescent="0.25">
      <c r="C148" s="15" t="s">
        <v>188</v>
      </c>
      <c r="D148" s="14">
        <v>115</v>
      </c>
      <c r="E148" s="14" t="s">
        <v>26</v>
      </c>
      <c r="F148" s="14" t="s">
        <v>14</v>
      </c>
      <c r="G148" s="14">
        <v>12.08</v>
      </c>
      <c r="H148" s="14">
        <v>1.39</v>
      </c>
      <c r="I148" s="14">
        <v>2.5</v>
      </c>
      <c r="J148" s="14">
        <v>22.5</v>
      </c>
      <c r="K148" s="14">
        <v>84</v>
      </c>
      <c r="L148" s="14">
        <v>2.56</v>
      </c>
      <c r="M148" s="14">
        <v>2.29</v>
      </c>
      <c r="N148" s="14">
        <v>0.43</v>
      </c>
      <c r="O148" s="14">
        <v>1.04</v>
      </c>
      <c r="P148" s="14">
        <v>2.9</v>
      </c>
      <c r="Q148" s="14">
        <v>0.93</v>
      </c>
      <c r="R148" s="14">
        <v>3.19</v>
      </c>
      <c r="S148">
        <v>385</v>
      </c>
    </row>
    <row r="149" spans="3:19" x14ac:dyDescent="0.25">
      <c r="C149" s="15" t="s">
        <v>189</v>
      </c>
      <c r="D149" s="14">
        <v>116</v>
      </c>
      <c r="E149" s="14" t="s">
        <v>26</v>
      </c>
      <c r="F149" s="14" t="s">
        <v>14</v>
      </c>
      <c r="G149" s="14">
        <v>11.03</v>
      </c>
      <c r="H149" s="14">
        <v>1.51</v>
      </c>
      <c r="I149" s="14">
        <v>2.2000000000000002</v>
      </c>
      <c r="J149" s="14">
        <v>21.5</v>
      </c>
      <c r="K149" s="14">
        <v>85</v>
      </c>
      <c r="L149" s="14">
        <v>2.46</v>
      </c>
      <c r="M149" s="14">
        <v>2.17</v>
      </c>
      <c r="N149" s="14">
        <v>0.52</v>
      </c>
      <c r="O149" s="14">
        <v>2.0099999999999998</v>
      </c>
      <c r="P149" s="14">
        <v>1.9</v>
      </c>
      <c r="Q149" s="14">
        <v>1.71</v>
      </c>
      <c r="R149" s="14">
        <v>2.87</v>
      </c>
      <c r="S149">
        <v>407</v>
      </c>
    </row>
    <row r="150" spans="3:19" x14ac:dyDescent="0.25">
      <c r="C150" s="15" t="s">
        <v>190</v>
      </c>
      <c r="D150" s="14">
        <v>117</v>
      </c>
      <c r="E150" s="14" t="s">
        <v>26</v>
      </c>
      <c r="F150" s="14" t="s">
        <v>14</v>
      </c>
      <c r="G150" s="14">
        <v>11.82</v>
      </c>
      <c r="H150" s="14">
        <v>1.47</v>
      </c>
      <c r="I150" s="14">
        <v>1.99</v>
      </c>
      <c r="J150" s="14">
        <v>20.8</v>
      </c>
      <c r="K150" s="14">
        <v>86</v>
      </c>
      <c r="L150" s="14">
        <v>1.98</v>
      </c>
      <c r="M150" s="14">
        <v>1.6</v>
      </c>
      <c r="N150" s="14">
        <v>0.3</v>
      </c>
      <c r="O150" s="14">
        <v>1.53</v>
      </c>
      <c r="P150" s="14">
        <v>1.95</v>
      </c>
      <c r="Q150" s="14">
        <v>0.95</v>
      </c>
      <c r="R150" s="14">
        <v>3.33</v>
      </c>
      <c r="S150">
        <v>495</v>
      </c>
    </row>
    <row r="151" spans="3:19" x14ac:dyDescent="0.25">
      <c r="C151" s="15" t="s">
        <v>191</v>
      </c>
      <c r="D151" s="14">
        <v>118</v>
      </c>
      <c r="E151" s="14" t="s">
        <v>26</v>
      </c>
      <c r="F151" s="14" t="s">
        <v>14</v>
      </c>
      <c r="G151" s="14">
        <v>12.42</v>
      </c>
      <c r="H151" s="14">
        <v>1.61</v>
      </c>
      <c r="I151" s="14">
        <v>2.19</v>
      </c>
      <c r="J151" s="14">
        <v>22.5</v>
      </c>
      <c r="K151" s="14">
        <v>108</v>
      </c>
      <c r="L151" s="14">
        <v>2</v>
      </c>
      <c r="M151" s="14">
        <v>2.09</v>
      </c>
      <c r="N151" s="14">
        <v>0.34</v>
      </c>
      <c r="O151" s="14">
        <v>1.61</v>
      </c>
      <c r="P151" s="14">
        <v>2.06</v>
      </c>
      <c r="Q151" s="14">
        <v>1.06</v>
      </c>
      <c r="R151" s="14">
        <v>2.96</v>
      </c>
      <c r="S151">
        <v>345</v>
      </c>
    </row>
    <row r="152" spans="3:19" x14ac:dyDescent="0.25">
      <c r="C152" s="15" t="s">
        <v>192</v>
      </c>
      <c r="D152" s="14">
        <v>119</v>
      </c>
      <c r="E152" s="14" t="s">
        <v>26</v>
      </c>
      <c r="F152" s="14" t="s">
        <v>14</v>
      </c>
      <c r="G152" s="14">
        <v>12.77</v>
      </c>
      <c r="H152" s="14">
        <v>3.43</v>
      </c>
      <c r="I152" s="14">
        <v>1.98</v>
      </c>
      <c r="J152" s="14">
        <v>16</v>
      </c>
      <c r="K152" s="14">
        <v>80</v>
      </c>
      <c r="L152" s="14">
        <v>1.63</v>
      </c>
      <c r="M152" s="14">
        <v>1.25</v>
      </c>
      <c r="N152" s="14">
        <v>0.43</v>
      </c>
      <c r="O152" s="14">
        <v>0.83</v>
      </c>
      <c r="P152" s="14">
        <v>3.4</v>
      </c>
      <c r="Q152" s="14">
        <v>0.7</v>
      </c>
      <c r="R152" s="14">
        <v>2.12</v>
      </c>
      <c r="S152">
        <v>372</v>
      </c>
    </row>
    <row r="153" spans="3:19" x14ac:dyDescent="0.25">
      <c r="C153" s="15" t="s">
        <v>193</v>
      </c>
      <c r="D153" s="14">
        <v>120</v>
      </c>
      <c r="E153" s="14" t="s">
        <v>26</v>
      </c>
      <c r="F153" s="14" t="s">
        <v>14</v>
      </c>
      <c r="G153" s="14">
        <v>12</v>
      </c>
      <c r="H153" s="14">
        <v>3.43</v>
      </c>
      <c r="I153" s="14">
        <v>2</v>
      </c>
      <c r="J153" s="14">
        <v>19</v>
      </c>
      <c r="K153" s="14">
        <v>87</v>
      </c>
      <c r="L153" s="14">
        <v>2</v>
      </c>
      <c r="M153" s="14">
        <v>1.64</v>
      </c>
      <c r="N153" s="14">
        <v>0.37</v>
      </c>
      <c r="O153" s="14">
        <v>1.87</v>
      </c>
      <c r="P153" s="14">
        <v>1.28</v>
      </c>
      <c r="Q153" s="14">
        <v>0.93</v>
      </c>
      <c r="R153" s="14">
        <v>3.05</v>
      </c>
      <c r="S153">
        <v>564</v>
      </c>
    </row>
    <row r="154" spans="3:19" x14ac:dyDescent="0.25">
      <c r="C154" s="15" t="s">
        <v>194</v>
      </c>
      <c r="D154" s="14">
        <v>121</v>
      </c>
      <c r="E154" s="14" t="s">
        <v>26</v>
      </c>
      <c r="F154" s="14" t="s">
        <v>14</v>
      </c>
      <c r="G154" s="14">
        <v>11.45</v>
      </c>
      <c r="H154" s="14">
        <v>2.4</v>
      </c>
      <c r="I154" s="14">
        <v>2.42</v>
      </c>
      <c r="J154" s="14">
        <v>20</v>
      </c>
      <c r="K154" s="14">
        <v>96</v>
      </c>
      <c r="L154" s="14">
        <v>2.9</v>
      </c>
      <c r="M154" s="14">
        <v>2.79</v>
      </c>
      <c r="N154" s="14">
        <v>0.32</v>
      </c>
      <c r="O154" s="14">
        <v>1.83</v>
      </c>
      <c r="P154" s="14">
        <v>3.25</v>
      </c>
      <c r="Q154" s="14">
        <v>0.8</v>
      </c>
      <c r="R154" s="14">
        <v>3.39</v>
      </c>
      <c r="S154">
        <v>625</v>
      </c>
    </row>
    <row r="155" spans="3:19" x14ac:dyDescent="0.25">
      <c r="C155" s="15" t="s">
        <v>195</v>
      </c>
      <c r="D155" s="14">
        <v>122</v>
      </c>
      <c r="E155" s="14" t="s">
        <v>26</v>
      </c>
      <c r="F155" s="14" t="s">
        <v>14</v>
      </c>
      <c r="G155" s="14">
        <v>11.56</v>
      </c>
      <c r="H155" s="14">
        <v>2.0499999999999998</v>
      </c>
      <c r="I155" s="14">
        <v>3.23</v>
      </c>
      <c r="J155" s="14">
        <v>28.5</v>
      </c>
      <c r="K155" s="14">
        <v>119</v>
      </c>
      <c r="L155" s="14">
        <v>3.18</v>
      </c>
      <c r="M155" s="14">
        <v>5.08</v>
      </c>
      <c r="N155" s="14">
        <v>0.47</v>
      </c>
      <c r="O155" s="14">
        <v>1.87</v>
      </c>
      <c r="P155" s="14">
        <v>6</v>
      </c>
      <c r="Q155" s="14">
        <v>0.93</v>
      </c>
      <c r="R155" s="14">
        <v>3.69</v>
      </c>
      <c r="S155">
        <v>465</v>
      </c>
    </row>
    <row r="156" spans="3:19" x14ac:dyDescent="0.25">
      <c r="C156" s="15" t="s">
        <v>196</v>
      </c>
      <c r="D156" s="14">
        <v>123</v>
      </c>
      <c r="E156" s="14" t="s">
        <v>26</v>
      </c>
      <c r="F156" s="14" t="s">
        <v>14</v>
      </c>
      <c r="G156" s="14">
        <v>12.42</v>
      </c>
      <c r="H156" s="14">
        <v>4.43</v>
      </c>
      <c r="I156" s="14">
        <v>2.73</v>
      </c>
      <c r="J156" s="14">
        <v>26.5</v>
      </c>
      <c r="K156" s="14">
        <v>102</v>
      </c>
      <c r="L156" s="14">
        <v>2.2000000000000002</v>
      </c>
      <c r="M156" s="14">
        <v>2.13</v>
      </c>
      <c r="N156" s="14">
        <v>0.43</v>
      </c>
      <c r="O156" s="14">
        <v>1.71</v>
      </c>
      <c r="P156" s="14">
        <v>2.08</v>
      </c>
      <c r="Q156" s="14">
        <v>0.92</v>
      </c>
      <c r="R156" s="14">
        <v>3.12</v>
      </c>
      <c r="S156">
        <v>365</v>
      </c>
    </row>
    <row r="157" spans="3:19" x14ac:dyDescent="0.25">
      <c r="C157" s="15" t="s">
        <v>197</v>
      </c>
      <c r="D157" s="14">
        <v>124</v>
      </c>
      <c r="E157" s="14" t="s">
        <v>26</v>
      </c>
      <c r="F157" s="14" t="s">
        <v>14</v>
      </c>
      <c r="G157" s="14">
        <v>13.05</v>
      </c>
      <c r="H157" s="14">
        <v>5.8</v>
      </c>
      <c r="I157" s="14">
        <v>2.13</v>
      </c>
      <c r="J157" s="14">
        <v>21.5</v>
      </c>
      <c r="K157" s="14">
        <v>86</v>
      </c>
      <c r="L157" s="14">
        <v>2.62</v>
      </c>
      <c r="M157" s="14">
        <v>2.65</v>
      </c>
      <c r="N157" s="14">
        <v>0.3</v>
      </c>
      <c r="O157" s="14">
        <v>2.0099999999999998</v>
      </c>
      <c r="P157" s="14">
        <v>2.6</v>
      </c>
      <c r="Q157" s="14">
        <v>0.73</v>
      </c>
      <c r="R157" s="14">
        <v>3.1</v>
      </c>
      <c r="S157">
        <v>380</v>
      </c>
    </row>
    <row r="158" spans="3:19" x14ac:dyDescent="0.25">
      <c r="C158" s="15" t="s">
        <v>198</v>
      </c>
      <c r="D158" s="14">
        <v>125</v>
      </c>
      <c r="E158" s="14" t="s">
        <v>26</v>
      </c>
      <c r="F158" s="14" t="s">
        <v>14</v>
      </c>
      <c r="G158" s="14">
        <v>11.87</v>
      </c>
      <c r="H158" s="14">
        <v>4.3099999999999996</v>
      </c>
      <c r="I158" s="14">
        <v>2.39</v>
      </c>
      <c r="J158" s="14">
        <v>21</v>
      </c>
      <c r="K158" s="14">
        <v>82</v>
      </c>
      <c r="L158" s="14">
        <v>2.86</v>
      </c>
      <c r="M158" s="14">
        <v>3.03</v>
      </c>
      <c r="N158" s="14">
        <v>0.21</v>
      </c>
      <c r="O158" s="14">
        <v>2.91</v>
      </c>
      <c r="P158" s="14">
        <v>2.8</v>
      </c>
      <c r="Q158" s="14">
        <v>0.75</v>
      </c>
      <c r="R158" s="14">
        <v>3.64</v>
      </c>
      <c r="S158">
        <v>380</v>
      </c>
    </row>
    <row r="159" spans="3:19" x14ac:dyDescent="0.25">
      <c r="C159" s="15" t="s">
        <v>199</v>
      </c>
      <c r="D159" s="14">
        <v>126</v>
      </c>
      <c r="E159" s="14" t="s">
        <v>26</v>
      </c>
      <c r="F159" s="14" t="s">
        <v>14</v>
      </c>
      <c r="G159" s="14">
        <v>12.07</v>
      </c>
      <c r="H159" s="14">
        <v>2.16</v>
      </c>
      <c r="I159" s="14">
        <v>2.17</v>
      </c>
      <c r="J159" s="14">
        <v>21</v>
      </c>
      <c r="K159" s="14">
        <v>85</v>
      </c>
      <c r="L159" s="14">
        <v>2.6</v>
      </c>
      <c r="M159" s="14">
        <v>2.65</v>
      </c>
      <c r="N159" s="14">
        <v>0.37</v>
      </c>
      <c r="O159" s="14">
        <v>1.35</v>
      </c>
      <c r="P159" s="14">
        <v>2.76</v>
      </c>
      <c r="Q159" s="14">
        <v>0.86</v>
      </c>
      <c r="R159" s="14">
        <v>3.28</v>
      </c>
      <c r="S159">
        <v>378</v>
      </c>
    </row>
    <row r="160" spans="3:19" x14ac:dyDescent="0.25">
      <c r="C160" s="15" t="s">
        <v>200</v>
      </c>
      <c r="D160" s="14">
        <v>127</v>
      </c>
      <c r="E160" s="14" t="s">
        <v>26</v>
      </c>
      <c r="F160" s="14" t="s">
        <v>14</v>
      </c>
      <c r="G160" s="14">
        <v>12.43</v>
      </c>
      <c r="H160" s="14">
        <v>1.53</v>
      </c>
      <c r="I160" s="14">
        <v>2.29</v>
      </c>
      <c r="J160" s="14">
        <v>21.5</v>
      </c>
      <c r="K160" s="14">
        <v>86</v>
      </c>
      <c r="L160" s="14">
        <v>2.74</v>
      </c>
      <c r="M160" s="14">
        <v>3.15</v>
      </c>
      <c r="N160" s="14">
        <v>0.39</v>
      </c>
      <c r="O160" s="14">
        <v>1.77</v>
      </c>
      <c r="P160" s="14">
        <v>3.94</v>
      </c>
      <c r="Q160" s="14">
        <v>0.69</v>
      </c>
      <c r="R160" s="14">
        <v>2.84</v>
      </c>
      <c r="S160">
        <v>352</v>
      </c>
    </row>
    <row r="161" spans="3:19" x14ac:dyDescent="0.25">
      <c r="C161" s="15" t="s">
        <v>201</v>
      </c>
      <c r="D161" s="14">
        <v>128</v>
      </c>
      <c r="E161" s="14" t="s">
        <v>26</v>
      </c>
      <c r="F161" s="14" t="s">
        <v>14</v>
      </c>
      <c r="G161" s="14">
        <v>11.79</v>
      </c>
      <c r="H161" s="14">
        <v>2.13</v>
      </c>
      <c r="I161" s="14">
        <v>2.78</v>
      </c>
      <c r="J161" s="14">
        <v>28.5</v>
      </c>
      <c r="K161" s="14">
        <v>92</v>
      </c>
      <c r="L161" s="14">
        <v>2.13</v>
      </c>
      <c r="M161" s="14">
        <v>2.2400000000000002</v>
      </c>
      <c r="N161" s="14">
        <v>0.57999999999999996</v>
      </c>
      <c r="O161" s="14">
        <v>1.76</v>
      </c>
      <c r="P161" s="14">
        <v>3</v>
      </c>
      <c r="Q161" s="14">
        <v>0.97</v>
      </c>
      <c r="R161" s="14">
        <v>2.44</v>
      </c>
      <c r="S161">
        <v>466</v>
      </c>
    </row>
    <row r="162" spans="3:19" x14ac:dyDescent="0.25">
      <c r="C162" s="15" t="s">
        <v>202</v>
      </c>
      <c r="D162" s="14">
        <v>129</v>
      </c>
      <c r="E162" s="14" t="s">
        <v>26</v>
      </c>
      <c r="F162" s="14" t="s">
        <v>14</v>
      </c>
      <c r="G162" s="14">
        <v>12.37</v>
      </c>
      <c r="H162" s="14">
        <v>1.63</v>
      </c>
      <c r="I162" s="14">
        <v>2.2999999999999998</v>
      </c>
      <c r="J162" s="14">
        <v>24.5</v>
      </c>
      <c r="K162" s="14">
        <v>88</v>
      </c>
      <c r="L162" s="14">
        <v>2.2200000000000002</v>
      </c>
      <c r="M162" s="14">
        <v>2.4500000000000002</v>
      </c>
      <c r="N162" s="14">
        <v>0.4</v>
      </c>
      <c r="O162" s="14">
        <v>1.9</v>
      </c>
      <c r="P162" s="14">
        <v>2.12</v>
      </c>
      <c r="Q162" s="14">
        <v>0.89</v>
      </c>
      <c r="R162" s="14">
        <v>2.78</v>
      </c>
      <c r="S162">
        <v>342</v>
      </c>
    </row>
    <row r="163" spans="3:19" x14ac:dyDescent="0.25">
      <c r="C163" s="15" t="s">
        <v>203</v>
      </c>
      <c r="D163" s="14">
        <v>130</v>
      </c>
      <c r="E163" s="14" t="s">
        <v>26</v>
      </c>
      <c r="F163" s="14" t="s">
        <v>14</v>
      </c>
      <c r="G163" s="14">
        <v>12.04</v>
      </c>
      <c r="H163" s="14">
        <v>4.3</v>
      </c>
      <c r="I163" s="14">
        <v>2.38</v>
      </c>
      <c r="J163" s="14">
        <v>22</v>
      </c>
      <c r="K163" s="14">
        <v>80</v>
      </c>
      <c r="L163" s="14">
        <v>2.1</v>
      </c>
      <c r="M163" s="14">
        <v>1.75</v>
      </c>
      <c r="N163" s="14">
        <v>0.42</v>
      </c>
      <c r="O163" s="14">
        <v>1.35</v>
      </c>
      <c r="P163" s="14">
        <v>2.6</v>
      </c>
      <c r="Q163" s="14">
        <v>0.79</v>
      </c>
      <c r="R163" s="14">
        <v>2.57</v>
      </c>
      <c r="S163">
        <v>580</v>
      </c>
    </row>
    <row r="164" spans="3:19" x14ac:dyDescent="0.25">
      <c r="C164" s="15" t="s">
        <v>204</v>
      </c>
      <c r="D164" s="14">
        <v>131</v>
      </c>
      <c r="E164" s="14" t="s">
        <v>26</v>
      </c>
      <c r="F164" s="14" t="s">
        <v>15</v>
      </c>
      <c r="G164" s="14">
        <v>12.86</v>
      </c>
      <c r="H164" s="14">
        <v>1.35</v>
      </c>
      <c r="I164" s="14">
        <v>2.3199999999999998</v>
      </c>
      <c r="J164" s="14">
        <v>18</v>
      </c>
      <c r="K164" s="14">
        <v>122</v>
      </c>
      <c r="L164" s="14">
        <v>1.51</v>
      </c>
      <c r="M164" s="14">
        <v>1.25</v>
      </c>
      <c r="N164" s="14">
        <v>0.21</v>
      </c>
      <c r="O164" s="14">
        <v>0.94</v>
      </c>
      <c r="P164" s="14">
        <v>4.0999999999999996</v>
      </c>
      <c r="Q164" s="14">
        <v>0.76</v>
      </c>
      <c r="R164" s="14">
        <v>1.29</v>
      </c>
      <c r="S164">
        <v>630</v>
      </c>
    </row>
    <row r="165" spans="3:19" x14ac:dyDescent="0.25">
      <c r="C165" s="15" t="s">
        <v>205</v>
      </c>
      <c r="D165" s="14">
        <v>132</v>
      </c>
      <c r="E165" s="14" t="s">
        <v>26</v>
      </c>
      <c r="F165" s="14" t="s">
        <v>15</v>
      </c>
      <c r="G165" s="14">
        <v>12.88</v>
      </c>
      <c r="H165" s="14">
        <v>2.99</v>
      </c>
      <c r="I165" s="14">
        <v>2.4</v>
      </c>
      <c r="J165" s="14">
        <v>20</v>
      </c>
      <c r="K165" s="14">
        <v>104</v>
      </c>
      <c r="L165" s="14">
        <v>1.3</v>
      </c>
      <c r="M165" s="14">
        <v>1.22</v>
      </c>
      <c r="N165" s="14">
        <v>0.24</v>
      </c>
      <c r="O165" s="14">
        <v>0.83</v>
      </c>
      <c r="P165" s="14">
        <v>5.4</v>
      </c>
      <c r="Q165" s="14">
        <v>0.74</v>
      </c>
      <c r="R165" s="14">
        <v>1.42</v>
      </c>
      <c r="S165">
        <v>530</v>
      </c>
    </row>
    <row r="166" spans="3:19" x14ac:dyDescent="0.25">
      <c r="C166" s="15" t="s">
        <v>206</v>
      </c>
      <c r="D166" s="14">
        <v>133</v>
      </c>
      <c r="E166" s="14" t="s">
        <v>26</v>
      </c>
      <c r="F166" s="14" t="s">
        <v>15</v>
      </c>
      <c r="G166" s="14">
        <v>12.81</v>
      </c>
      <c r="H166" s="14">
        <v>2.31</v>
      </c>
      <c r="I166" s="14">
        <v>2.4</v>
      </c>
      <c r="J166" s="14">
        <v>24</v>
      </c>
      <c r="K166" s="14">
        <v>98</v>
      </c>
      <c r="L166" s="14">
        <v>1.1499999999999999</v>
      </c>
      <c r="M166" s="14">
        <v>1.0900000000000001</v>
      </c>
      <c r="N166" s="14">
        <v>0.27</v>
      </c>
      <c r="O166" s="14">
        <v>0.83</v>
      </c>
      <c r="P166" s="14">
        <v>5.7</v>
      </c>
      <c r="Q166" s="14">
        <v>0.66</v>
      </c>
      <c r="R166" s="14">
        <v>1.36</v>
      </c>
      <c r="S166">
        <v>560</v>
      </c>
    </row>
    <row r="167" spans="3:19" x14ac:dyDescent="0.25">
      <c r="C167" s="15" t="s">
        <v>207</v>
      </c>
      <c r="D167" s="14">
        <v>134</v>
      </c>
      <c r="E167" s="14" t="s">
        <v>26</v>
      </c>
      <c r="F167" s="14" t="s">
        <v>15</v>
      </c>
      <c r="G167" s="14">
        <v>12.7</v>
      </c>
      <c r="H167" s="14">
        <v>3.55</v>
      </c>
      <c r="I167" s="14">
        <v>2.36</v>
      </c>
      <c r="J167" s="14">
        <v>21.5</v>
      </c>
      <c r="K167" s="14">
        <v>106</v>
      </c>
      <c r="L167" s="14">
        <v>1.7</v>
      </c>
      <c r="M167" s="14">
        <v>1.2</v>
      </c>
      <c r="N167" s="14">
        <v>0.17</v>
      </c>
      <c r="O167" s="14">
        <v>0.84</v>
      </c>
      <c r="P167" s="14">
        <v>5</v>
      </c>
      <c r="Q167" s="14">
        <v>0.78</v>
      </c>
      <c r="R167" s="14">
        <v>1.29</v>
      </c>
      <c r="S167">
        <v>600</v>
      </c>
    </row>
    <row r="168" spans="3:19" x14ac:dyDescent="0.25">
      <c r="C168" s="15" t="s">
        <v>208</v>
      </c>
      <c r="D168" s="14">
        <v>135</v>
      </c>
      <c r="E168" s="14" t="s">
        <v>26</v>
      </c>
      <c r="F168" s="14" t="s">
        <v>15</v>
      </c>
      <c r="G168" s="14">
        <v>12.51</v>
      </c>
      <c r="H168" s="14">
        <v>1.24</v>
      </c>
      <c r="I168" s="14">
        <v>2.25</v>
      </c>
      <c r="J168" s="14">
        <v>17.5</v>
      </c>
      <c r="K168" s="14">
        <v>85</v>
      </c>
      <c r="L168" s="14">
        <v>2</v>
      </c>
      <c r="M168" s="14">
        <v>0.57999999999999996</v>
      </c>
      <c r="N168" s="14">
        <v>0.6</v>
      </c>
      <c r="O168" s="14">
        <v>1.25</v>
      </c>
      <c r="P168" s="14">
        <v>5.45</v>
      </c>
      <c r="Q168" s="14">
        <v>0.75</v>
      </c>
      <c r="R168" s="14">
        <v>1.51</v>
      </c>
      <c r="S168">
        <v>650</v>
      </c>
    </row>
    <row r="169" spans="3:19" x14ac:dyDescent="0.25">
      <c r="C169" s="15" t="s">
        <v>209</v>
      </c>
      <c r="D169" s="14">
        <v>136</v>
      </c>
      <c r="E169" s="14" t="s">
        <v>26</v>
      </c>
      <c r="F169" s="14" t="s">
        <v>15</v>
      </c>
      <c r="G169" s="14">
        <v>12.6</v>
      </c>
      <c r="H169" s="14">
        <v>2.46</v>
      </c>
      <c r="I169" s="14">
        <v>2.2000000000000002</v>
      </c>
      <c r="J169" s="14">
        <v>18.5</v>
      </c>
      <c r="K169" s="14">
        <v>94</v>
      </c>
      <c r="L169" s="14">
        <v>1.62</v>
      </c>
      <c r="M169" s="14">
        <v>0.66</v>
      </c>
      <c r="N169" s="14">
        <v>0.63</v>
      </c>
      <c r="O169" s="14">
        <v>0.94</v>
      </c>
      <c r="P169" s="14">
        <v>7.1</v>
      </c>
      <c r="Q169" s="14">
        <v>0.73</v>
      </c>
      <c r="R169" s="14">
        <v>1.58</v>
      </c>
      <c r="S169">
        <v>695</v>
      </c>
    </row>
    <row r="170" spans="3:19" x14ac:dyDescent="0.25">
      <c r="C170" s="15" t="s">
        <v>210</v>
      </c>
      <c r="D170" s="14">
        <v>137</v>
      </c>
      <c r="E170" s="14" t="s">
        <v>26</v>
      </c>
      <c r="F170" s="14" t="s">
        <v>15</v>
      </c>
      <c r="G170" s="14">
        <v>12.25</v>
      </c>
      <c r="H170" s="14">
        <v>4.72</v>
      </c>
      <c r="I170" s="14">
        <v>2.54</v>
      </c>
      <c r="J170" s="14">
        <v>21</v>
      </c>
      <c r="K170" s="14">
        <v>89</v>
      </c>
      <c r="L170" s="14">
        <v>1.38</v>
      </c>
      <c r="M170" s="14">
        <v>0.47</v>
      </c>
      <c r="N170" s="14">
        <v>0.53</v>
      </c>
      <c r="O170" s="14">
        <v>0.8</v>
      </c>
      <c r="P170" s="14">
        <v>3.85</v>
      </c>
      <c r="Q170" s="14">
        <v>0.75</v>
      </c>
      <c r="R170" s="14">
        <v>1.27</v>
      </c>
      <c r="S170">
        <v>720</v>
      </c>
    </row>
    <row r="171" spans="3:19" x14ac:dyDescent="0.25">
      <c r="C171" s="15" t="s">
        <v>211</v>
      </c>
      <c r="D171" s="14">
        <v>138</v>
      </c>
      <c r="E171" s="14" t="s">
        <v>26</v>
      </c>
      <c r="F171" s="14" t="s">
        <v>15</v>
      </c>
      <c r="G171" s="14">
        <v>12.53</v>
      </c>
      <c r="H171" s="14">
        <v>5.51</v>
      </c>
      <c r="I171" s="14">
        <v>2.64</v>
      </c>
      <c r="J171" s="14">
        <v>25</v>
      </c>
      <c r="K171" s="14">
        <v>96</v>
      </c>
      <c r="L171" s="14">
        <v>1.79</v>
      </c>
      <c r="M171" s="14">
        <v>0.6</v>
      </c>
      <c r="N171" s="14">
        <v>0.63</v>
      </c>
      <c r="O171" s="14">
        <v>1.1000000000000001</v>
      </c>
      <c r="P171" s="14">
        <v>5</v>
      </c>
      <c r="Q171" s="14">
        <v>0.82</v>
      </c>
      <c r="R171" s="14">
        <v>1.69</v>
      </c>
      <c r="S171">
        <v>515</v>
      </c>
    </row>
    <row r="172" spans="3:19" x14ac:dyDescent="0.25">
      <c r="C172" s="15" t="s">
        <v>212</v>
      </c>
      <c r="D172" s="14">
        <v>139</v>
      </c>
      <c r="E172" s="14" t="s">
        <v>26</v>
      </c>
      <c r="F172" s="14" t="s">
        <v>15</v>
      </c>
      <c r="G172" s="14">
        <v>13.49</v>
      </c>
      <c r="H172" s="14">
        <v>3.59</v>
      </c>
      <c r="I172" s="14">
        <v>2.19</v>
      </c>
      <c r="J172" s="14">
        <v>19.5</v>
      </c>
      <c r="K172" s="14">
        <v>88</v>
      </c>
      <c r="L172" s="14">
        <v>1.62</v>
      </c>
      <c r="M172" s="14">
        <v>0.48</v>
      </c>
      <c r="N172" s="14">
        <v>0.57999999999999996</v>
      </c>
      <c r="O172" s="14">
        <v>0.88</v>
      </c>
      <c r="P172" s="14">
        <v>5.7</v>
      </c>
      <c r="Q172" s="14">
        <v>0.81</v>
      </c>
      <c r="R172" s="14">
        <v>1.82</v>
      </c>
      <c r="S172">
        <v>580</v>
      </c>
    </row>
    <row r="173" spans="3:19" x14ac:dyDescent="0.25">
      <c r="C173" s="15" t="s">
        <v>213</v>
      </c>
      <c r="D173" s="14">
        <v>140</v>
      </c>
      <c r="E173" s="14" t="s">
        <v>26</v>
      </c>
      <c r="F173" s="14" t="s">
        <v>15</v>
      </c>
      <c r="G173" s="14">
        <v>12.84</v>
      </c>
      <c r="H173" s="14">
        <v>2.96</v>
      </c>
      <c r="I173" s="14">
        <v>2.61</v>
      </c>
      <c r="J173" s="14">
        <v>24</v>
      </c>
      <c r="K173" s="14">
        <v>101</v>
      </c>
      <c r="L173" s="14">
        <v>2.3199999999999998</v>
      </c>
      <c r="M173" s="14">
        <v>0.6</v>
      </c>
      <c r="N173" s="14">
        <v>0.53</v>
      </c>
      <c r="O173" s="14">
        <v>0.81</v>
      </c>
      <c r="P173" s="14">
        <v>4.92</v>
      </c>
      <c r="Q173" s="14">
        <v>0.89</v>
      </c>
      <c r="R173" s="14">
        <v>2.15</v>
      </c>
      <c r="S173">
        <v>590</v>
      </c>
    </row>
    <row r="174" spans="3:19" x14ac:dyDescent="0.25">
      <c r="C174" s="15" t="s">
        <v>214</v>
      </c>
      <c r="D174" s="14">
        <v>141</v>
      </c>
      <c r="E174" s="14" t="s">
        <v>26</v>
      </c>
      <c r="F174" s="14" t="s">
        <v>15</v>
      </c>
      <c r="G174" s="14">
        <v>12.93</v>
      </c>
      <c r="H174" s="14">
        <v>2.81</v>
      </c>
      <c r="I174" s="14">
        <v>2.7</v>
      </c>
      <c r="J174" s="14">
        <v>21</v>
      </c>
      <c r="K174" s="14">
        <v>96</v>
      </c>
      <c r="L174" s="14">
        <v>1.54</v>
      </c>
      <c r="M174" s="14">
        <v>0.5</v>
      </c>
      <c r="N174" s="14">
        <v>0.53</v>
      </c>
      <c r="O174" s="14">
        <v>0.75</v>
      </c>
      <c r="P174" s="14">
        <v>4.5999999999999996</v>
      </c>
      <c r="Q174" s="14">
        <v>0.77</v>
      </c>
      <c r="R174" s="14">
        <v>2.31</v>
      </c>
      <c r="S174">
        <v>600</v>
      </c>
    </row>
    <row r="175" spans="3:19" x14ac:dyDescent="0.25">
      <c r="C175" s="15" t="s">
        <v>215</v>
      </c>
      <c r="D175" s="14">
        <v>142</v>
      </c>
      <c r="E175" s="14" t="s">
        <v>26</v>
      </c>
      <c r="F175" s="14" t="s">
        <v>15</v>
      </c>
      <c r="G175" s="14">
        <v>13.36</v>
      </c>
      <c r="H175" s="14">
        <v>2.56</v>
      </c>
      <c r="I175" s="14">
        <v>2.35</v>
      </c>
      <c r="J175" s="14">
        <v>20</v>
      </c>
      <c r="K175" s="14">
        <v>89</v>
      </c>
      <c r="L175" s="14">
        <v>1.4</v>
      </c>
      <c r="M175" s="14">
        <v>0.5</v>
      </c>
      <c r="N175" s="14">
        <v>0.37</v>
      </c>
      <c r="O175" s="14">
        <v>0.64</v>
      </c>
      <c r="P175" s="14">
        <v>5.6</v>
      </c>
      <c r="Q175" s="14">
        <v>0.7</v>
      </c>
      <c r="R175" s="14">
        <v>2.4700000000000002</v>
      </c>
      <c r="S175">
        <v>780</v>
      </c>
    </row>
    <row r="176" spans="3:19" x14ac:dyDescent="0.25">
      <c r="C176" s="15" t="s">
        <v>216</v>
      </c>
      <c r="D176" s="14">
        <v>143</v>
      </c>
      <c r="E176" s="14" t="s">
        <v>26</v>
      </c>
      <c r="F176" s="14" t="s">
        <v>15</v>
      </c>
      <c r="G176" s="14">
        <v>13.52</v>
      </c>
      <c r="H176" s="14">
        <v>3.17</v>
      </c>
      <c r="I176" s="14">
        <v>2.72</v>
      </c>
      <c r="J176" s="14">
        <v>23.5</v>
      </c>
      <c r="K176" s="14">
        <v>97</v>
      </c>
      <c r="L176" s="14">
        <v>1.55</v>
      </c>
      <c r="M176" s="14">
        <v>0.52</v>
      </c>
      <c r="N176" s="14">
        <v>0.5</v>
      </c>
      <c r="O176" s="14">
        <v>0.55000000000000004</v>
      </c>
      <c r="P176" s="14">
        <v>4.3499999999999996</v>
      </c>
      <c r="Q176" s="14">
        <v>0.89</v>
      </c>
      <c r="R176" s="14">
        <v>2.06</v>
      </c>
      <c r="S176">
        <v>520</v>
      </c>
    </row>
    <row r="177" spans="3:19" x14ac:dyDescent="0.25">
      <c r="C177" s="15" t="s">
        <v>217</v>
      </c>
      <c r="D177" s="14">
        <v>144</v>
      </c>
      <c r="E177" s="14" t="s">
        <v>26</v>
      </c>
      <c r="F177" s="14" t="s">
        <v>15</v>
      </c>
      <c r="G177" s="14">
        <v>13.62</v>
      </c>
      <c r="H177" s="14">
        <v>4.95</v>
      </c>
      <c r="I177" s="14">
        <v>2.35</v>
      </c>
      <c r="J177" s="14">
        <v>20</v>
      </c>
      <c r="K177" s="14">
        <v>92</v>
      </c>
      <c r="L177" s="14">
        <v>2</v>
      </c>
      <c r="M177" s="14">
        <v>0.8</v>
      </c>
      <c r="N177" s="14">
        <v>0.47</v>
      </c>
      <c r="O177" s="14">
        <v>1.02</v>
      </c>
      <c r="P177" s="14">
        <v>4.4000000000000004</v>
      </c>
      <c r="Q177" s="14">
        <v>0.91</v>
      </c>
      <c r="R177" s="14">
        <v>2.0499999999999998</v>
      </c>
      <c r="S177">
        <v>550</v>
      </c>
    </row>
    <row r="178" spans="3:19" x14ac:dyDescent="0.25">
      <c r="C178" s="15" t="s">
        <v>218</v>
      </c>
      <c r="D178" s="14">
        <v>145</v>
      </c>
      <c r="E178" s="14" t="s">
        <v>26</v>
      </c>
      <c r="F178" s="14" t="s">
        <v>15</v>
      </c>
      <c r="G178" s="14">
        <v>12.25</v>
      </c>
      <c r="H178" s="14">
        <v>3.88</v>
      </c>
      <c r="I178" s="14">
        <v>2.2000000000000002</v>
      </c>
      <c r="J178" s="14">
        <v>18.5</v>
      </c>
      <c r="K178" s="14">
        <v>112</v>
      </c>
      <c r="L178" s="14">
        <v>1.38</v>
      </c>
      <c r="M178" s="14">
        <v>0.78</v>
      </c>
      <c r="N178" s="14">
        <v>0.28999999999999998</v>
      </c>
      <c r="O178" s="14">
        <v>1.1399999999999999</v>
      </c>
      <c r="P178" s="14">
        <v>8.2100000000000009</v>
      </c>
      <c r="Q178" s="14">
        <v>0.65</v>
      </c>
      <c r="R178" s="14">
        <v>2</v>
      </c>
      <c r="S178">
        <v>855</v>
      </c>
    </row>
    <row r="179" spans="3:19" x14ac:dyDescent="0.25">
      <c r="C179" s="15" t="s">
        <v>219</v>
      </c>
      <c r="D179" s="14">
        <v>146</v>
      </c>
      <c r="E179" s="14" t="s">
        <v>26</v>
      </c>
      <c r="F179" s="14" t="s">
        <v>15</v>
      </c>
      <c r="G179" s="14">
        <v>13.16</v>
      </c>
      <c r="H179" s="14">
        <v>3.57</v>
      </c>
      <c r="I179" s="14">
        <v>2.15</v>
      </c>
      <c r="J179" s="14">
        <v>21</v>
      </c>
      <c r="K179" s="14">
        <v>102</v>
      </c>
      <c r="L179" s="14">
        <v>1.5</v>
      </c>
      <c r="M179" s="14">
        <v>0.55000000000000004</v>
      </c>
      <c r="N179" s="14">
        <v>0.43</v>
      </c>
      <c r="O179" s="14">
        <v>1.3</v>
      </c>
      <c r="P179" s="14">
        <v>4</v>
      </c>
      <c r="Q179" s="14">
        <v>0.6</v>
      </c>
      <c r="R179" s="14">
        <v>1.68</v>
      </c>
      <c r="S179">
        <v>830</v>
      </c>
    </row>
    <row r="180" spans="3:19" x14ac:dyDescent="0.25">
      <c r="C180" s="15" t="s">
        <v>220</v>
      </c>
      <c r="D180" s="14">
        <v>147</v>
      </c>
      <c r="E180" s="14" t="s">
        <v>26</v>
      </c>
      <c r="F180" s="14" t="s">
        <v>15</v>
      </c>
      <c r="G180" s="14">
        <v>13.88</v>
      </c>
      <c r="H180" s="14">
        <v>5.04</v>
      </c>
      <c r="I180" s="14">
        <v>2.23</v>
      </c>
      <c r="J180" s="14">
        <v>20</v>
      </c>
      <c r="K180" s="14">
        <v>80</v>
      </c>
      <c r="L180" s="14">
        <v>0.98</v>
      </c>
      <c r="M180" s="14">
        <v>0.34</v>
      </c>
      <c r="N180" s="14">
        <v>0.4</v>
      </c>
      <c r="O180" s="14">
        <v>0.68</v>
      </c>
      <c r="P180" s="14">
        <v>4.9000000000000004</v>
      </c>
      <c r="Q180" s="14">
        <v>0.57999999999999996</v>
      </c>
      <c r="R180" s="14">
        <v>1.33</v>
      </c>
      <c r="S180">
        <v>415</v>
      </c>
    </row>
    <row r="181" spans="3:19" x14ac:dyDescent="0.25">
      <c r="C181" s="15" t="s">
        <v>221</v>
      </c>
      <c r="D181" s="14">
        <v>148</v>
      </c>
      <c r="E181" s="14" t="s">
        <v>26</v>
      </c>
      <c r="F181" s="14" t="s">
        <v>15</v>
      </c>
      <c r="G181" s="14">
        <v>12.87</v>
      </c>
      <c r="H181" s="14">
        <v>4.6100000000000003</v>
      </c>
      <c r="I181" s="14">
        <v>2.48</v>
      </c>
      <c r="J181" s="14">
        <v>21.5</v>
      </c>
      <c r="K181" s="14">
        <v>86</v>
      </c>
      <c r="L181" s="14">
        <v>1.7</v>
      </c>
      <c r="M181" s="14">
        <v>0.65</v>
      </c>
      <c r="N181" s="14">
        <v>0.47</v>
      </c>
      <c r="O181" s="14">
        <v>0.86</v>
      </c>
      <c r="P181" s="14">
        <v>7.65</v>
      </c>
      <c r="Q181" s="14">
        <v>0.54</v>
      </c>
      <c r="R181" s="14">
        <v>1.86</v>
      </c>
      <c r="S181">
        <v>625</v>
      </c>
    </row>
    <row r="182" spans="3:19" x14ac:dyDescent="0.25">
      <c r="C182" s="15" t="s">
        <v>222</v>
      </c>
      <c r="D182" s="14">
        <v>149</v>
      </c>
      <c r="E182" s="14" t="s">
        <v>26</v>
      </c>
      <c r="F182" s="14" t="s">
        <v>15</v>
      </c>
      <c r="G182" s="14">
        <v>13.32</v>
      </c>
      <c r="H182" s="14">
        <v>3.24</v>
      </c>
      <c r="I182" s="14">
        <v>2.38</v>
      </c>
      <c r="J182" s="14">
        <v>21.5</v>
      </c>
      <c r="K182" s="14">
        <v>92</v>
      </c>
      <c r="L182" s="14">
        <v>1.93</v>
      </c>
      <c r="M182" s="14">
        <v>0.76</v>
      </c>
      <c r="N182" s="14">
        <v>0.45</v>
      </c>
      <c r="O182" s="14">
        <v>1.25</v>
      </c>
      <c r="P182" s="14">
        <v>8.42</v>
      </c>
      <c r="Q182" s="14">
        <v>0.55000000000000004</v>
      </c>
      <c r="R182" s="14">
        <v>1.62</v>
      </c>
      <c r="S182">
        <v>650</v>
      </c>
    </row>
    <row r="183" spans="3:19" x14ac:dyDescent="0.25">
      <c r="C183" s="15" t="s">
        <v>223</v>
      </c>
      <c r="D183" s="14">
        <v>150</v>
      </c>
      <c r="E183" s="14" t="s">
        <v>26</v>
      </c>
      <c r="F183" s="14" t="s">
        <v>15</v>
      </c>
      <c r="G183" s="14">
        <v>13.08</v>
      </c>
      <c r="H183" s="14">
        <v>3.9</v>
      </c>
      <c r="I183" s="14">
        <v>2.36</v>
      </c>
      <c r="J183" s="14">
        <v>21.5</v>
      </c>
      <c r="K183" s="14">
        <v>113</v>
      </c>
      <c r="L183" s="14">
        <v>1.41</v>
      </c>
      <c r="M183" s="14">
        <v>1.39</v>
      </c>
      <c r="N183" s="14">
        <v>0.34</v>
      </c>
      <c r="O183" s="14">
        <v>1.1399999999999999</v>
      </c>
      <c r="P183" s="14">
        <v>9.4</v>
      </c>
      <c r="Q183" s="14">
        <v>0.56999999999999995</v>
      </c>
      <c r="R183" s="14">
        <v>1.33</v>
      </c>
      <c r="S183">
        <v>550</v>
      </c>
    </row>
    <row r="184" spans="3:19" x14ac:dyDescent="0.25">
      <c r="C184" s="15" t="s">
        <v>224</v>
      </c>
      <c r="D184" s="14">
        <v>151</v>
      </c>
      <c r="E184" s="14" t="s">
        <v>26</v>
      </c>
      <c r="F184" s="14" t="s">
        <v>15</v>
      </c>
      <c r="G184" s="14">
        <v>13.5</v>
      </c>
      <c r="H184" s="14">
        <v>3.12</v>
      </c>
      <c r="I184" s="14">
        <v>2.62</v>
      </c>
      <c r="J184" s="14">
        <v>24</v>
      </c>
      <c r="K184" s="14">
        <v>123</v>
      </c>
      <c r="L184" s="14">
        <v>1.4</v>
      </c>
      <c r="M184" s="14">
        <v>1.57</v>
      </c>
      <c r="N184" s="14">
        <v>0.22</v>
      </c>
      <c r="O184" s="14">
        <v>1.25</v>
      </c>
      <c r="P184" s="14">
        <v>8.6</v>
      </c>
      <c r="Q184" s="14">
        <v>0.59</v>
      </c>
      <c r="R184" s="14">
        <v>1.3</v>
      </c>
      <c r="S184">
        <v>500</v>
      </c>
    </row>
    <row r="185" spans="3:19" x14ac:dyDescent="0.25">
      <c r="C185" s="15" t="s">
        <v>225</v>
      </c>
      <c r="D185" s="14">
        <v>152</v>
      </c>
      <c r="E185" s="14" t="s">
        <v>26</v>
      </c>
      <c r="F185" s="14" t="s">
        <v>15</v>
      </c>
      <c r="G185" s="14">
        <v>12.79</v>
      </c>
      <c r="H185" s="14">
        <v>2.67</v>
      </c>
      <c r="I185" s="14">
        <v>2.48</v>
      </c>
      <c r="J185" s="14">
        <v>22</v>
      </c>
      <c r="K185" s="14">
        <v>112</v>
      </c>
      <c r="L185" s="14">
        <v>1.48</v>
      </c>
      <c r="M185" s="14">
        <v>1.36</v>
      </c>
      <c r="N185" s="14">
        <v>0.24</v>
      </c>
      <c r="O185" s="14">
        <v>1.26</v>
      </c>
      <c r="P185" s="14">
        <v>10.8</v>
      </c>
      <c r="Q185" s="14">
        <v>0.48</v>
      </c>
      <c r="R185" s="14">
        <v>1.47</v>
      </c>
      <c r="S185">
        <v>480</v>
      </c>
    </row>
    <row r="186" spans="3:19" x14ac:dyDescent="0.25">
      <c r="C186" s="15" t="s">
        <v>226</v>
      </c>
      <c r="D186" s="14">
        <v>153</v>
      </c>
      <c r="E186" s="14" t="s">
        <v>26</v>
      </c>
      <c r="F186" s="14" t="s">
        <v>15</v>
      </c>
      <c r="G186" s="14">
        <v>13.11</v>
      </c>
      <c r="H186" s="14">
        <v>1.9</v>
      </c>
      <c r="I186" s="14">
        <v>2.75</v>
      </c>
      <c r="J186" s="14">
        <v>25.5</v>
      </c>
      <c r="K186" s="14">
        <v>116</v>
      </c>
      <c r="L186" s="14">
        <v>2.2000000000000002</v>
      </c>
      <c r="M186" s="14">
        <v>1.28</v>
      </c>
      <c r="N186" s="14">
        <v>0.26</v>
      </c>
      <c r="O186" s="14">
        <v>1.56</v>
      </c>
      <c r="P186" s="14">
        <v>7.1</v>
      </c>
      <c r="Q186" s="14">
        <v>0.61</v>
      </c>
      <c r="R186" s="14">
        <v>1.33</v>
      </c>
      <c r="S186">
        <v>425</v>
      </c>
    </row>
    <row r="187" spans="3:19" x14ac:dyDescent="0.25">
      <c r="C187" s="15" t="s">
        <v>227</v>
      </c>
      <c r="D187" s="14">
        <v>154</v>
      </c>
      <c r="E187" s="14" t="s">
        <v>26</v>
      </c>
      <c r="F187" s="14" t="s">
        <v>15</v>
      </c>
      <c r="G187" s="14">
        <v>13.23</v>
      </c>
      <c r="H187" s="14">
        <v>3.3</v>
      </c>
      <c r="I187" s="14">
        <v>2.2799999999999998</v>
      </c>
      <c r="J187" s="14">
        <v>18.5</v>
      </c>
      <c r="K187" s="14">
        <v>98</v>
      </c>
      <c r="L187" s="14">
        <v>1.8</v>
      </c>
      <c r="M187" s="14">
        <v>0.83</v>
      </c>
      <c r="N187" s="14">
        <v>0.61</v>
      </c>
      <c r="O187" s="14">
        <v>1.87</v>
      </c>
      <c r="P187" s="14">
        <v>10.52</v>
      </c>
      <c r="Q187" s="14">
        <v>0.56000000000000005</v>
      </c>
      <c r="R187" s="14">
        <v>1.51</v>
      </c>
      <c r="S187">
        <v>675</v>
      </c>
    </row>
    <row r="188" spans="3:19" x14ac:dyDescent="0.25">
      <c r="C188" s="15" t="s">
        <v>228</v>
      </c>
      <c r="D188" s="14">
        <v>155</v>
      </c>
      <c r="E188" s="14" t="s">
        <v>26</v>
      </c>
      <c r="F188" s="14" t="s">
        <v>15</v>
      </c>
      <c r="G188" s="14">
        <v>12.58</v>
      </c>
      <c r="H188" s="14">
        <v>1.29</v>
      </c>
      <c r="I188" s="14">
        <v>2.1</v>
      </c>
      <c r="J188" s="14">
        <v>20</v>
      </c>
      <c r="K188" s="14">
        <v>103</v>
      </c>
      <c r="L188" s="14">
        <v>1.48</v>
      </c>
      <c r="M188" s="14">
        <v>0.57999999999999996</v>
      </c>
      <c r="N188" s="14">
        <v>0.53</v>
      </c>
      <c r="O188" s="14">
        <v>1.4</v>
      </c>
      <c r="P188" s="14">
        <v>7.6</v>
      </c>
      <c r="Q188" s="14">
        <v>0.57999999999999996</v>
      </c>
      <c r="R188" s="14">
        <v>1.55</v>
      </c>
      <c r="S188">
        <v>640</v>
      </c>
    </row>
    <row r="189" spans="3:19" x14ac:dyDescent="0.25">
      <c r="C189" s="15" t="s">
        <v>229</v>
      </c>
      <c r="D189" s="14">
        <v>156</v>
      </c>
      <c r="E189" s="14" t="s">
        <v>26</v>
      </c>
      <c r="F189" s="14" t="s">
        <v>15</v>
      </c>
      <c r="G189" s="14">
        <v>13.17</v>
      </c>
      <c r="H189" s="14">
        <v>5.19</v>
      </c>
      <c r="I189" s="14">
        <v>2.3199999999999998</v>
      </c>
      <c r="J189" s="14">
        <v>22</v>
      </c>
      <c r="K189" s="14">
        <v>93</v>
      </c>
      <c r="L189" s="14">
        <v>1.74</v>
      </c>
      <c r="M189" s="14">
        <v>0.63</v>
      </c>
      <c r="N189" s="14">
        <v>0.61</v>
      </c>
      <c r="O189" s="14">
        <v>1.55</v>
      </c>
      <c r="P189" s="14">
        <v>7.9</v>
      </c>
      <c r="Q189" s="14">
        <v>0.6</v>
      </c>
      <c r="R189" s="14">
        <v>1.48</v>
      </c>
      <c r="S189">
        <v>725</v>
      </c>
    </row>
    <row r="190" spans="3:19" x14ac:dyDescent="0.25">
      <c r="C190" s="15" t="s">
        <v>230</v>
      </c>
      <c r="D190" s="14">
        <v>157</v>
      </c>
      <c r="E190" s="14" t="s">
        <v>26</v>
      </c>
      <c r="F190" s="14" t="s">
        <v>15</v>
      </c>
      <c r="G190" s="14">
        <v>13.84</v>
      </c>
      <c r="H190" s="14">
        <v>4.12</v>
      </c>
      <c r="I190" s="14">
        <v>2.38</v>
      </c>
      <c r="J190" s="14">
        <v>19.5</v>
      </c>
      <c r="K190" s="14">
        <v>89</v>
      </c>
      <c r="L190" s="14">
        <v>1.8</v>
      </c>
      <c r="M190" s="14">
        <v>0.83</v>
      </c>
      <c r="N190" s="14">
        <v>0.48</v>
      </c>
      <c r="O190" s="14">
        <v>1.56</v>
      </c>
      <c r="P190" s="14">
        <v>9.01</v>
      </c>
      <c r="Q190" s="14">
        <v>0.56999999999999995</v>
      </c>
      <c r="R190" s="14">
        <v>1.64</v>
      </c>
      <c r="S190">
        <v>480</v>
      </c>
    </row>
    <row r="191" spans="3:19" x14ac:dyDescent="0.25">
      <c r="C191" s="15" t="s">
        <v>231</v>
      </c>
      <c r="D191" s="14">
        <v>158</v>
      </c>
      <c r="E191" s="14" t="s">
        <v>26</v>
      </c>
      <c r="F191" s="14" t="s">
        <v>15</v>
      </c>
      <c r="G191" s="14">
        <v>12.45</v>
      </c>
      <c r="H191" s="14">
        <v>3.03</v>
      </c>
      <c r="I191" s="14">
        <v>2.64</v>
      </c>
      <c r="J191" s="14">
        <v>27</v>
      </c>
      <c r="K191" s="14">
        <v>97</v>
      </c>
      <c r="L191" s="14">
        <v>1.9</v>
      </c>
      <c r="M191" s="14">
        <v>0.57999999999999996</v>
      </c>
      <c r="N191" s="14">
        <v>0.63</v>
      </c>
      <c r="O191" s="14">
        <v>1.1399999999999999</v>
      </c>
      <c r="P191" s="14">
        <v>7.5</v>
      </c>
      <c r="Q191" s="14">
        <v>0.67</v>
      </c>
      <c r="R191" s="14">
        <v>1.73</v>
      </c>
      <c r="S191">
        <v>880</v>
      </c>
    </row>
    <row r="192" spans="3:19" x14ac:dyDescent="0.25">
      <c r="C192" s="15" t="s">
        <v>232</v>
      </c>
      <c r="D192" s="14">
        <v>159</v>
      </c>
      <c r="E192" s="14" t="s">
        <v>26</v>
      </c>
      <c r="F192" s="14" t="s">
        <v>15</v>
      </c>
      <c r="G192" s="14">
        <v>14.34</v>
      </c>
      <c r="H192" s="14">
        <v>1.68</v>
      </c>
      <c r="I192" s="14">
        <v>2.7</v>
      </c>
      <c r="J192" s="14">
        <v>25</v>
      </c>
      <c r="K192" s="14">
        <v>98</v>
      </c>
      <c r="L192" s="14">
        <v>2.8</v>
      </c>
      <c r="M192" s="14">
        <v>1.31</v>
      </c>
      <c r="N192" s="14">
        <v>0.53</v>
      </c>
      <c r="O192" s="14">
        <v>2.7</v>
      </c>
      <c r="P192" s="14">
        <v>13</v>
      </c>
      <c r="Q192" s="14">
        <v>0.56999999999999995</v>
      </c>
      <c r="R192" s="14">
        <v>1.96</v>
      </c>
      <c r="S192">
        <v>660</v>
      </c>
    </row>
    <row r="193" spans="3:19" x14ac:dyDescent="0.25">
      <c r="C193" s="15" t="s">
        <v>233</v>
      </c>
      <c r="D193" s="14">
        <v>160</v>
      </c>
      <c r="E193" s="14" t="s">
        <v>26</v>
      </c>
      <c r="F193" s="14" t="s">
        <v>15</v>
      </c>
      <c r="G193" s="14">
        <v>13.48</v>
      </c>
      <c r="H193" s="14">
        <v>1.67</v>
      </c>
      <c r="I193" s="14">
        <v>2.64</v>
      </c>
      <c r="J193" s="14">
        <v>22.5</v>
      </c>
      <c r="K193" s="14">
        <v>89</v>
      </c>
      <c r="L193" s="14">
        <v>2.6</v>
      </c>
      <c r="M193" s="14">
        <v>1.1000000000000001</v>
      </c>
      <c r="N193" s="14">
        <v>0.52</v>
      </c>
      <c r="O193" s="14">
        <v>2.29</v>
      </c>
      <c r="P193" s="14">
        <v>11.75</v>
      </c>
      <c r="Q193" s="14">
        <v>0.56999999999999995</v>
      </c>
      <c r="R193" s="14">
        <v>1.78</v>
      </c>
      <c r="S193">
        <v>620</v>
      </c>
    </row>
    <row r="194" spans="3:19" x14ac:dyDescent="0.25">
      <c r="C194" s="15" t="s">
        <v>234</v>
      </c>
      <c r="D194" s="14">
        <v>161</v>
      </c>
      <c r="E194" s="14" t="s">
        <v>26</v>
      </c>
      <c r="F194" s="14" t="s">
        <v>15</v>
      </c>
      <c r="G194" s="14">
        <v>12.36</v>
      </c>
      <c r="H194" s="14">
        <v>3.83</v>
      </c>
      <c r="I194" s="14">
        <v>2.38</v>
      </c>
      <c r="J194" s="14">
        <v>21</v>
      </c>
      <c r="K194" s="14">
        <v>88</v>
      </c>
      <c r="L194" s="14">
        <v>2.2999999999999998</v>
      </c>
      <c r="M194" s="14">
        <v>0.92</v>
      </c>
      <c r="N194" s="14">
        <v>0.5</v>
      </c>
      <c r="O194" s="14">
        <v>1.04</v>
      </c>
      <c r="P194" s="14">
        <v>7.65</v>
      </c>
      <c r="Q194" s="14">
        <v>0.56000000000000005</v>
      </c>
      <c r="R194" s="14">
        <v>1.58</v>
      </c>
      <c r="S194">
        <v>520</v>
      </c>
    </row>
    <row r="195" spans="3:19" x14ac:dyDescent="0.25">
      <c r="C195" s="15" t="s">
        <v>235</v>
      </c>
      <c r="D195" s="14">
        <v>162</v>
      </c>
      <c r="E195" s="14" t="s">
        <v>26</v>
      </c>
      <c r="F195" s="14" t="s">
        <v>15</v>
      </c>
      <c r="G195" s="14">
        <v>13.69</v>
      </c>
      <c r="H195" s="14">
        <v>3.26</v>
      </c>
      <c r="I195" s="14">
        <v>2.54</v>
      </c>
      <c r="J195" s="14">
        <v>20</v>
      </c>
      <c r="K195" s="14">
        <v>107</v>
      </c>
      <c r="L195" s="14">
        <v>1.83</v>
      </c>
      <c r="M195" s="14">
        <v>0.56000000000000005</v>
      </c>
      <c r="N195" s="14">
        <v>0.5</v>
      </c>
      <c r="O195" s="14">
        <v>0.8</v>
      </c>
      <c r="P195" s="14">
        <v>5.88</v>
      </c>
      <c r="Q195" s="14">
        <v>0.96</v>
      </c>
      <c r="R195" s="14">
        <v>1.82</v>
      </c>
      <c r="S195">
        <v>680</v>
      </c>
    </row>
    <row r="196" spans="3:19" x14ac:dyDescent="0.25">
      <c r="C196" s="15" t="s">
        <v>236</v>
      </c>
      <c r="D196" s="14">
        <v>163</v>
      </c>
      <c r="E196" s="14" t="s">
        <v>26</v>
      </c>
      <c r="F196" s="14" t="s">
        <v>15</v>
      </c>
      <c r="G196" s="14">
        <v>12.85</v>
      </c>
      <c r="H196" s="14">
        <v>3.27</v>
      </c>
      <c r="I196" s="14">
        <v>2.58</v>
      </c>
      <c r="J196" s="14">
        <v>22</v>
      </c>
      <c r="K196" s="14">
        <v>106</v>
      </c>
      <c r="L196" s="14">
        <v>1.65</v>
      </c>
      <c r="M196" s="14">
        <v>0.6</v>
      </c>
      <c r="N196" s="14">
        <v>0.6</v>
      </c>
      <c r="O196" s="14">
        <v>0.96</v>
      </c>
      <c r="P196" s="14">
        <v>5.58</v>
      </c>
      <c r="Q196" s="14">
        <v>0.87</v>
      </c>
      <c r="R196" s="14">
        <v>2.11</v>
      </c>
      <c r="S196">
        <v>570</v>
      </c>
    </row>
    <row r="197" spans="3:19" x14ac:dyDescent="0.25">
      <c r="C197" s="15" t="s">
        <v>237</v>
      </c>
      <c r="D197" s="14">
        <v>164</v>
      </c>
      <c r="E197" s="14" t="s">
        <v>26</v>
      </c>
      <c r="F197" s="14" t="s">
        <v>15</v>
      </c>
      <c r="G197" s="14">
        <v>12.96</v>
      </c>
      <c r="H197" s="14">
        <v>3.45</v>
      </c>
      <c r="I197" s="14">
        <v>2.35</v>
      </c>
      <c r="J197" s="14">
        <v>18.5</v>
      </c>
      <c r="K197" s="14">
        <v>106</v>
      </c>
      <c r="L197" s="14">
        <v>1.39</v>
      </c>
      <c r="M197" s="14">
        <v>0.7</v>
      </c>
      <c r="N197" s="14">
        <v>0.4</v>
      </c>
      <c r="O197" s="14">
        <v>0.94</v>
      </c>
      <c r="P197" s="14">
        <v>5.28</v>
      </c>
      <c r="Q197" s="14">
        <v>0.68</v>
      </c>
      <c r="R197" s="14">
        <v>1.75</v>
      </c>
      <c r="S197">
        <v>675</v>
      </c>
    </row>
    <row r="198" spans="3:19" x14ac:dyDescent="0.25">
      <c r="C198" s="15" t="s">
        <v>238</v>
      </c>
      <c r="D198" s="14">
        <v>165</v>
      </c>
      <c r="E198" s="14" t="s">
        <v>26</v>
      </c>
      <c r="F198" s="14" t="s">
        <v>15</v>
      </c>
      <c r="G198" s="14">
        <v>13.78</v>
      </c>
      <c r="H198" s="14">
        <v>2.76</v>
      </c>
      <c r="I198" s="14">
        <v>2.2999999999999998</v>
      </c>
      <c r="J198" s="14">
        <v>22</v>
      </c>
      <c r="K198" s="14">
        <v>90</v>
      </c>
      <c r="L198" s="14">
        <v>1.35</v>
      </c>
      <c r="M198" s="14">
        <v>0.68</v>
      </c>
      <c r="N198" s="14">
        <v>0.41</v>
      </c>
      <c r="O198" s="14">
        <v>1.03</v>
      </c>
      <c r="P198" s="14">
        <v>9.58</v>
      </c>
      <c r="Q198" s="14">
        <v>0.7</v>
      </c>
      <c r="R198" s="14">
        <v>1.68</v>
      </c>
      <c r="S198">
        <v>615</v>
      </c>
    </row>
    <row r="199" spans="3:19" x14ac:dyDescent="0.25">
      <c r="C199" s="15" t="s">
        <v>239</v>
      </c>
      <c r="D199" s="14">
        <v>166</v>
      </c>
      <c r="E199" s="14" t="s">
        <v>26</v>
      </c>
      <c r="F199" s="14" t="s">
        <v>15</v>
      </c>
      <c r="G199" s="14">
        <v>13.73</v>
      </c>
      <c r="H199" s="14">
        <v>4.3600000000000003</v>
      </c>
      <c r="I199" s="14">
        <v>2.2599999999999998</v>
      </c>
      <c r="J199" s="14">
        <v>22.5</v>
      </c>
      <c r="K199" s="14">
        <v>88</v>
      </c>
      <c r="L199" s="14">
        <v>1.28</v>
      </c>
      <c r="M199" s="14">
        <v>0.47</v>
      </c>
      <c r="N199" s="14">
        <v>0.52</v>
      </c>
      <c r="O199" s="14">
        <v>1.1499999999999999</v>
      </c>
      <c r="P199" s="14">
        <v>6.62</v>
      </c>
      <c r="Q199" s="14">
        <v>0.78</v>
      </c>
      <c r="R199" s="14">
        <v>1.75</v>
      </c>
      <c r="S199">
        <v>520</v>
      </c>
    </row>
    <row r="200" spans="3:19" x14ac:dyDescent="0.25">
      <c r="C200" s="15" t="s">
        <v>240</v>
      </c>
      <c r="D200" s="14">
        <v>167</v>
      </c>
      <c r="E200" s="14" t="s">
        <v>26</v>
      </c>
      <c r="F200" s="14" t="s">
        <v>15</v>
      </c>
      <c r="G200" s="14">
        <v>13.45</v>
      </c>
      <c r="H200" s="14">
        <v>3.7</v>
      </c>
      <c r="I200" s="14">
        <v>2.6</v>
      </c>
      <c r="J200" s="14">
        <v>23</v>
      </c>
      <c r="K200" s="14">
        <v>111</v>
      </c>
      <c r="L200" s="14">
        <v>1.7</v>
      </c>
      <c r="M200" s="14">
        <v>0.92</v>
      </c>
      <c r="N200" s="14">
        <v>0.43</v>
      </c>
      <c r="O200" s="14">
        <v>1.46</v>
      </c>
      <c r="P200" s="14">
        <v>10.68</v>
      </c>
      <c r="Q200" s="14">
        <v>0.85</v>
      </c>
      <c r="R200" s="14">
        <v>1.56</v>
      </c>
      <c r="S200">
        <v>695</v>
      </c>
    </row>
    <row r="201" spans="3:19" x14ac:dyDescent="0.25">
      <c r="C201" s="15" t="s">
        <v>241</v>
      </c>
      <c r="D201" s="14">
        <v>168</v>
      </c>
      <c r="E201" s="14" t="s">
        <v>26</v>
      </c>
      <c r="F201" s="14" t="s">
        <v>15</v>
      </c>
      <c r="G201" s="14">
        <v>12.82</v>
      </c>
      <c r="H201" s="14">
        <v>3.37</v>
      </c>
      <c r="I201" s="14">
        <v>2.2999999999999998</v>
      </c>
      <c r="J201" s="14">
        <v>19.5</v>
      </c>
      <c r="K201" s="14">
        <v>88</v>
      </c>
      <c r="L201" s="14">
        <v>1.48</v>
      </c>
      <c r="M201" s="14">
        <v>0.66</v>
      </c>
      <c r="N201" s="14">
        <v>0.4</v>
      </c>
      <c r="O201" s="14">
        <v>0.97</v>
      </c>
      <c r="P201" s="14">
        <v>10.26</v>
      </c>
      <c r="Q201" s="14">
        <v>0.72</v>
      </c>
      <c r="R201" s="14">
        <v>1.75</v>
      </c>
      <c r="S201">
        <v>685</v>
      </c>
    </row>
    <row r="202" spans="3:19" x14ac:dyDescent="0.25">
      <c r="C202" s="15" t="s">
        <v>242</v>
      </c>
      <c r="D202" s="14">
        <v>169</v>
      </c>
      <c r="E202" s="14" t="s">
        <v>26</v>
      </c>
      <c r="F202" s="14" t="s">
        <v>15</v>
      </c>
      <c r="G202" s="14">
        <v>13.58</v>
      </c>
      <c r="H202" s="14">
        <v>2.58</v>
      </c>
      <c r="I202" s="14">
        <v>2.69</v>
      </c>
      <c r="J202" s="14">
        <v>24.5</v>
      </c>
      <c r="K202" s="14">
        <v>105</v>
      </c>
      <c r="L202" s="14">
        <v>1.55</v>
      </c>
      <c r="M202" s="14">
        <v>0.84</v>
      </c>
      <c r="N202" s="14">
        <v>0.39</v>
      </c>
      <c r="O202" s="14">
        <v>1.54</v>
      </c>
      <c r="P202" s="14">
        <v>8.66</v>
      </c>
      <c r="Q202" s="14">
        <v>0.74</v>
      </c>
      <c r="R202" s="14">
        <v>1.8</v>
      </c>
      <c r="S202">
        <v>750</v>
      </c>
    </row>
    <row r="203" spans="3:19" x14ac:dyDescent="0.25">
      <c r="C203" s="15" t="s">
        <v>243</v>
      </c>
      <c r="D203" s="14">
        <v>170</v>
      </c>
      <c r="E203" s="14" t="s">
        <v>26</v>
      </c>
      <c r="F203" s="14" t="s">
        <v>15</v>
      </c>
      <c r="G203" s="14">
        <v>13.4</v>
      </c>
      <c r="H203" s="14">
        <v>4.5999999999999996</v>
      </c>
      <c r="I203" s="14">
        <v>2.86</v>
      </c>
      <c r="J203" s="14">
        <v>25</v>
      </c>
      <c r="K203" s="14">
        <v>112</v>
      </c>
      <c r="L203" s="14">
        <v>1.98</v>
      </c>
      <c r="M203" s="14">
        <v>0.96</v>
      </c>
      <c r="N203" s="14">
        <v>0.27</v>
      </c>
      <c r="O203" s="14">
        <v>1.1100000000000001</v>
      </c>
      <c r="P203" s="14">
        <v>8.5</v>
      </c>
      <c r="Q203" s="14">
        <v>0.67</v>
      </c>
      <c r="R203" s="14">
        <v>1.92</v>
      </c>
      <c r="S203">
        <v>630</v>
      </c>
    </row>
    <row r="204" spans="3:19" x14ac:dyDescent="0.25">
      <c r="C204" s="15" t="s">
        <v>244</v>
      </c>
      <c r="D204" s="14">
        <v>171</v>
      </c>
      <c r="E204" s="14" t="s">
        <v>26</v>
      </c>
      <c r="F204" s="14" t="s">
        <v>15</v>
      </c>
      <c r="G204" s="14">
        <v>12.2</v>
      </c>
      <c r="H204" s="14">
        <v>3.03</v>
      </c>
      <c r="I204" s="14">
        <v>2.3199999999999998</v>
      </c>
      <c r="J204" s="14">
        <v>19</v>
      </c>
      <c r="K204" s="14">
        <v>96</v>
      </c>
      <c r="L204" s="14">
        <v>1.25</v>
      </c>
      <c r="M204" s="14">
        <v>0.49</v>
      </c>
      <c r="N204" s="14">
        <v>0.4</v>
      </c>
      <c r="O204" s="14">
        <v>0.73</v>
      </c>
      <c r="P204" s="14">
        <v>5.5</v>
      </c>
      <c r="Q204" s="14">
        <v>0.66</v>
      </c>
      <c r="R204" s="14">
        <v>1.83</v>
      </c>
      <c r="S204">
        <v>510</v>
      </c>
    </row>
    <row r="205" spans="3:19" x14ac:dyDescent="0.25">
      <c r="C205" s="15" t="s">
        <v>245</v>
      </c>
      <c r="D205" s="14">
        <v>172</v>
      </c>
      <c r="E205" s="14" t="s">
        <v>26</v>
      </c>
      <c r="F205" s="14" t="s">
        <v>15</v>
      </c>
      <c r="G205" s="14">
        <v>12.77</v>
      </c>
      <c r="H205" s="14">
        <v>2.39</v>
      </c>
      <c r="I205" s="14">
        <v>2.2799999999999998</v>
      </c>
      <c r="J205" s="14">
        <v>19.5</v>
      </c>
      <c r="K205" s="14">
        <v>86</v>
      </c>
      <c r="L205" s="14">
        <v>1.39</v>
      </c>
      <c r="M205" s="14">
        <v>0.51</v>
      </c>
      <c r="N205" s="14">
        <v>0.48</v>
      </c>
      <c r="O205" s="14">
        <v>0.64</v>
      </c>
      <c r="P205" s="14">
        <v>9.8999989999999993</v>
      </c>
      <c r="Q205" s="14">
        <v>0.56999999999999995</v>
      </c>
      <c r="R205" s="14">
        <v>1.63</v>
      </c>
      <c r="S205">
        <v>470</v>
      </c>
    </row>
    <row r="206" spans="3:19" x14ac:dyDescent="0.25">
      <c r="C206" s="15" t="s">
        <v>246</v>
      </c>
      <c r="D206" s="14">
        <v>173</v>
      </c>
      <c r="E206" s="14" t="s">
        <v>26</v>
      </c>
      <c r="F206" s="14" t="s">
        <v>15</v>
      </c>
      <c r="G206" s="14">
        <v>14.16</v>
      </c>
      <c r="H206" s="14">
        <v>2.5099999999999998</v>
      </c>
      <c r="I206" s="14">
        <v>2.48</v>
      </c>
      <c r="J206" s="14">
        <v>20</v>
      </c>
      <c r="K206" s="14">
        <v>91</v>
      </c>
      <c r="L206" s="14">
        <v>1.68</v>
      </c>
      <c r="M206" s="14">
        <v>0.7</v>
      </c>
      <c r="N206" s="14">
        <v>0.44</v>
      </c>
      <c r="O206" s="14">
        <v>1.24</v>
      </c>
      <c r="P206" s="14">
        <v>9.6999999999999993</v>
      </c>
      <c r="Q206" s="14">
        <v>0.62</v>
      </c>
      <c r="R206" s="14">
        <v>1.71</v>
      </c>
      <c r="S206">
        <v>660</v>
      </c>
    </row>
    <row r="207" spans="3:19" x14ac:dyDescent="0.25">
      <c r="C207" s="15" t="s">
        <v>247</v>
      </c>
      <c r="D207" s="14">
        <v>174</v>
      </c>
      <c r="E207" s="14" t="s">
        <v>26</v>
      </c>
      <c r="F207" s="14" t="s">
        <v>15</v>
      </c>
      <c r="G207" s="14">
        <v>13.71</v>
      </c>
      <c r="H207" s="14">
        <v>5.65</v>
      </c>
      <c r="I207" s="14">
        <v>2.4500000000000002</v>
      </c>
      <c r="J207" s="14">
        <v>20.5</v>
      </c>
      <c r="K207" s="14">
        <v>95</v>
      </c>
      <c r="L207" s="14">
        <v>1.68</v>
      </c>
      <c r="M207" s="14">
        <v>0.61</v>
      </c>
      <c r="N207" s="14">
        <v>0.52</v>
      </c>
      <c r="O207" s="14">
        <v>1.06</v>
      </c>
      <c r="P207" s="14">
        <v>7.7</v>
      </c>
      <c r="Q207" s="14">
        <v>0.64</v>
      </c>
      <c r="R207" s="14">
        <v>1.74</v>
      </c>
      <c r="S207">
        <v>740</v>
      </c>
    </row>
    <row r="208" spans="3:19" x14ac:dyDescent="0.25">
      <c r="C208" s="15" t="s">
        <v>248</v>
      </c>
      <c r="D208" s="14">
        <v>175</v>
      </c>
      <c r="E208" s="14" t="s">
        <v>26</v>
      </c>
      <c r="F208" s="14" t="s">
        <v>15</v>
      </c>
      <c r="G208" s="14">
        <v>13.4</v>
      </c>
      <c r="H208" s="14">
        <v>3.91</v>
      </c>
      <c r="I208" s="14">
        <v>2.48</v>
      </c>
      <c r="J208" s="14">
        <v>23</v>
      </c>
      <c r="K208" s="14">
        <v>102</v>
      </c>
      <c r="L208" s="14">
        <v>1.8</v>
      </c>
      <c r="M208" s="14">
        <v>0.75</v>
      </c>
      <c r="N208" s="14">
        <v>0.43</v>
      </c>
      <c r="O208" s="14">
        <v>1.41</v>
      </c>
      <c r="P208" s="14">
        <v>7.3</v>
      </c>
      <c r="Q208" s="14">
        <v>0.7</v>
      </c>
      <c r="R208" s="14">
        <v>1.56</v>
      </c>
      <c r="S208">
        <v>750</v>
      </c>
    </row>
    <row r="209" spans="3:19" x14ac:dyDescent="0.25">
      <c r="C209" s="15" t="s">
        <v>249</v>
      </c>
      <c r="D209" s="14">
        <v>176</v>
      </c>
      <c r="E209" s="14" t="s">
        <v>26</v>
      </c>
      <c r="F209" s="14" t="s">
        <v>15</v>
      </c>
      <c r="G209" s="14">
        <v>13.27</v>
      </c>
      <c r="H209" s="14">
        <v>4.28</v>
      </c>
      <c r="I209" s="14">
        <v>2.2599999999999998</v>
      </c>
      <c r="J209" s="14">
        <v>20</v>
      </c>
      <c r="K209" s="14">
        <v>120</v>
      </c>
      <c r="L209" s="14">
        <v>1.59</v>
      </c>
      <c r="M209" s="14">
        <v>0.69</v>
      </c>
      <c r="N209" s="14">
        <v>0.43</v>
      </c>
      <c r="O209" s="14">
        <v>1.35</v>
      </c>
      <c r="P209" s="14">
        <v>10.199999999999999</v>
      </c>
      <c r="Q209" s="14">
        <v>0.59</v>
      </c>
      <c r="R209" s="14">
        <v>1.56</v>
      </c>
      <c r="S209">
        <v>835</v>
      </c>
    </row>
    <row r="210" spans="3:19" x14ac:dyDescent="0.25">
      <c r="C210" s="15" t="s">
        <v>250</v>
      </c>
      <c r="D210" s="14">
        <v>177</v>
      </c>
      <c r="E210" s="14" t="s">
        <v>26</v>
      </c>
      <c r="F210" s="14" t="s">
        <v>15</v>
      </c>
      <c r="G210" s="14">
        <v>13.17</v>
      </c>
      <c r="H210" s="14">
        <v>2.59</v>
      </c>
      <c r="I210" s="14">
        <v>2.37</v>
      </c>
      <c r="J210" s="14">
        <v>20</v>
      </c>
      <c r="K210" s="14">
        <v>120</v>
      </c>
      <c r="L210" s="14">
        <v>1.65</v>
      </c>
      <c r="M210" s="14">
        <v>0.68</v>
      </c>
      <c r="N210" s="14">
        <v>0.53</v>
      </c>
      <c r="O210" s="14">
        <v>1.46</v>
      </c>
      <c r="P210" s="14">
        <v>9.3000000000000007</v>
      </c>
      <c r="Q210" s="14">
        <v>0.6</v>
      </c>
      <c r="R210" s="14">
        <v>1.62</v>
      </c>
      <c r="S210">
        <v>840</v>
      </c>
    </row>
    <row r="211" spans="3:19" x14ac:dyDescent="0.25">
      <c r="C211" s="15" t="s">
        <v>251</v>
      </c>
      <c r="D211" s="14">
        <v>178</v>
      </c>
      <c r="E211" s="14" t="s">
        <v>26</v>
      </c>
      <c r="F211" s="14" t="s">
        <v>15</v>
      </c>
      <c r="G211" s="14">
        <v>14.13</v>
      </c>
      <c r="H211" s="14">
        <v>4.0999999999999996</v>
      </c>
      <c r="I211" s="14">
        <v>2.74</v>
      </c>
      <c r="J211" s="14">
        <v>24.5</v>
      </c>
      <c r="K211" s="14">
        <v>96</v>
      </c>
      <c r="L211" s="14">
        <v>2.0499999999999998</v>
      </c>
      <c r="M211" s="14">
        <v>0.76</v>
      </c>
      <c r="N211" s="14">
        <v>0.56000000000000005</v>
      </c>
      <c r="O211" s="14">
        <v>1.35</v>
      </c>
      <c r="P211" s="14">
        <v>9.1999999999999993</v>
      </c>
      <c r="Q211" s="14">
        <v>0.61</v>
      </c>
      <c r="R211" s="14">
        <v>1.6</v>
      </c>
      <c r="S211">
        <v>560</v>
      </c>
    </row>
    <row r="212" spans="3:19" x14ac:dyDescent="0.25">
      <c r="C212" s="15" t="s">
        <v>252</v>
      </c>
      <c r="D212" s="14">
        <v>179</v>
      </c>
      <c r="E212" s="14" t="s">
        <v>26</v>
      </c>
      <c r="F212" s="14" t="s">
        <v>13</v>
      </c>
      <c r="G212" s="14">
        <v>12.85</v>
      </c>
      <c r="H212" s="14">
        <v>1.6</v>
      </c>
      <c r="I212" s="14">
        <v>2.52</v>
      </c>
      <c r="J212" s="14">
        <v>17.8</v>
      </c>
      <c r="K212" s="14">
        <v>95</v>
      </c>
      <c r="L212" s="14">
        <v>2.48</v>
      </c>
      <c r="M212" s="14">
        <v>2.37</v>
      </c>
      <c r="N212" s="14">
        <v>0.26</v>
      </c>
      <c r="O212" s="14">
        <v>1.46</v>
      </c>
      <c r="P212" s="14">
        <v>3.93</v>
      </c>
      <c r="Q212" s="14">
        <v>1.0900000000000001</v>
      </c>
      <c r="R212" s="14">
        <v>3.63</v>
      </c>
      <c r="S212">
        <v>1015</v>
      </c>
    </row>
    <row r="213" spans="3:19" x14ac:dyDescent="0.25">
      <c r="C213" s="15" t="s">
        <v>253</v>
      </c>
      <c r="D213" s="14">
        <v>180</v>
      </c>
      <c r="E213" s="14" t="s">
        <v>26</v>
      </c>
      <c r="F213" s="14" t="s">
        <v>13</v>
      </c>
      <c r="G213" s="14">
        <v>13.5</v>
      </c>
      <c r="H213" s="14">
        <v>1.81</v>
      </c>
      <c r="I213" s="14">
        <v>2.61</v>
      </c>
      <c r="J213" s="14">
        <v>20</v>
      </c>
      <c r="K213" s="14">
        <v>96</v>
      </c>
      <c r="L213" s="14">
        <v>2.5299999999999998</v>
      </c>
      <c r="M213" s="14">
        <v>2.61</v>
      </c>
      <c r="N213" s="14">
        <v>0.28000000000000003</v>
      </c>
      <c r="O213" s="14">
        <v>1.66</v>
      </c>
      <c r="P213" s="14">
        <v>3.52</v>
      </c>
      <c r="Q213" s="14">
        <v>1.1200000000000001</v>
      </c>
      <c r="R213" s="14">
        <v>3.82</v>
      </c>
      <c r="S213">
        <v>845</v>
      </c>
    </row>
    <row r="214" spans="3:19" x14ac:dyDescent="0.25">
      <c r="C214" s="15" t="s">
        <v>254</v>
      </c>
      <c r="D214" s="14">
        <v>181</v>
      </c>
      <c r="E214" s="14" t="s">
        <v>26</v>
      </c>
      <c r="F214" s="14" t="s">
        <v>13</v>
      </c>
      <c r="G214" s="14">
        <v>13.05</v>
      </c>
      <c r="H214" s="14">
        <v>2.0499999999999998</v>
      </c>
      <c r="I214" s="14">
        <v>3.22</v>
      </c>
      <c r="J214" s="14">
        <v>25</v>
      </c>
      <c r="K214" s="14">
        <v>124</v>
      </c>
      <c r="L214" s="14">
        <v>2.63</v>
      </c>
      <c r="M214" s="14">
        <v>2.68</v>
      </c>
      <c r="N214" s="14">
        <v>0.47</v>
      </c>
      <c r="O214" s="14">
        <v>1.92</v>
      </c>
      <c r="P214" s="14">
        <v>3.58</v>
      </c>
      <c r="Q214" s="14">
        <v>1.1299999999999999</v>
      </c>
      <c r="R214" s="14">
        <v>3.2</v>
      </c>
      <c r="S214">
        <v>830</v>
      </c>
    </row>
    <row r="215" spans="3:19" x14ac:dyDescent="0.25">
      <c r="C215" s="15" t="s">
        <v>255</v>
      </c>
      <c r="D215" s="14">
        <v>182</v>
      </c>
      <c r="E215" s="14" t="s">
        <v>26</v>
      </c>
      <c r="F215" s="14" t="s">
        <v>13</v>
      </c>
      <c r="G215" s="14">
        <v>13.39</v>
      </c>
      <c r="H215" s="14">
        <v>1.77</v>
      </c>
      <c r="I215" s="14">
        <v>2.62</v>
      </c>
      <c r="J215" s="14">
        <v>16.100000000000001</v>
      </c>
      <c r="K215" s="14">
        <v>93</v>
      </c>
      <c r="L215" s="14">
        <v>2.85</v>
      </c>
      <c r="M215" s="14">
        <v>2.94</v>
      </c>
      <c r="N215" s="14">
        <v>0.34</v>
      </c>
      <c r="O215" s="14">
        <v>1.45</v>
      </c>
      <c r="P215" s="14">
        <v>4.8</v>
      </c>
      <c r="Q215" s="14">
        <v>0.92</v>
      </c>
      <c r="R215" s="14">
        <v>3.22</v>
      </c>
      <c r="S215">
        <v>1195</v>
      </c>
    </row>
    <row r="216" spans="3:19" x14ac:dyDescent="0.25">
      <c r="C216" s="15" t="s">
        <v>256</v>
      </c>
      <c r="D216" s="14">
        <v>183</v>
      </c>
      <c r="E216" s="14" t="s">
        <v>26</v>
      </c>
      <c r="F216" s="14" t="s">
        <v>13</v>
      </c>
      <c r="G216" s="14">
        <v>13.3</v>
      </c>
      <c r="H216" s="14">
        <v>1.72</v>
      </c>
      <c r="I216" s="14">
        <v>2.14</v>
      </c>
      <c r="J216" s="14">
        <v>17</v>
      </c>
      <c r="K216" s="14">
        <v>94</v>
      </c>
      <c r="L216" s="14">
        <v>2.4</v>
      </c>
      <c r="M216" s="14">
        <v>2.19</v>
      </c>
      <c r="N216" s="14">
        <v>0.27</v>
      </c>
      <c r="O216" s="14">
        <v>1.35</v>
      </c>
      <c r="P216" s="14">
        <v>3.95</v>
      </c>
      <c r="Q216" s="14">
        <v>1.02</v>
      </c>
      <c r="R216" s="14">
        <v>2.77</v>
      </c>
      <c r="S216">
        <v>1285</v>
      </c>
    </row>
    <row r="217" spans="3:19" x14ac:dyDescent="0.25">
      <c r="C217" s="15" t="s">
        <v>257</v>
      </c>
      <c r="D217" s="14">
        <v>184</v>
      </c>
      <c r="E217" s="14" t="s">
        <v>26</v>
      </c>
      <c r="F217" s="14" t="s">
        <v>13</v>
      </c>
      <c r="G217" s="14">
        <v>13.87</v>
      </c>
      <c r="H217" s="14">
        <v>1.9</v>
      </c>
      <c r="I217" s="14">
        <v>2.8</v>
      </c>
      <c r="J217" s="14">
        <v>19.399999999999999</v>
      </c>
      <c r="K217" s="14">
        <v>107</v>
      </c>
      <c r="L217" s="14">
        <v>2.95</v>
      </c>
      <c r="M217" s="14">
        <v>2.97</v>
      </c>
      <c r="N217" s="14">
        <v>0.37</v>
      </c>
      <c r="O217" s="14">
        <v>1.76</v>
      </c>
      <c r="P217" s="14">
        <v>4.5</v>
      </c>
      <c r="Q217" s="14">
        <v>1.25</v>
      </c>
      <c r="R217" s="14">
        <v>3.4</v>
      </c>
      <c r="S217">
        <v>915</v>
      </c>
    </row>
    <row r="218" spans="3:19" x14ac:dyDescent="0.25">
      <c r="C218" s="15" t="s">
        <v>258</v>
      </c>
      <c r="D218" s="14">
        <v>185</v>
      </c>
      <c r="E218" s="14" t="s">
        <v>26</v>
      </c>
      <c r="F218" s="14" t="s">
        <v>13</v>
      </c>
      <c r="G218" s="14">
        <v>14.02</v>
      </c>
      <c r="H218" s="14">
        <v>1.68</v>
      </c>
      <c r="I218" s="14">
        <v>2.21</v>
      </c>
      <c r="J218" s="14">
        <v>16</v>
      </c>
      <c r="K218" s="14">
        <v>96</v>
      </c>
      <c r="L218" s="14">
        <v>2.65</v>
      </c>
      <c r="M218" s="14">
        <v>2.33</v>
      </c>
      <c r="N218" s="14">
        <v>0.26</v>
      </c>
      <c r="O218" s="14">
        <v>1.98</v>
      </c>
      <c r="P218" s="14">
        <v>4.7</v>
      </c>
      <c r="Q218" s="14">
        <v>1.04</v>
      </c>
      <c r="R218" s="14">
        <v>3.59</v>
      </c>
      <c r="S218">
        <v>1035</v>
      </c>
    </row>
    <row r="219" spans="3:19" x14ac:dyDescent="0.25">
      <c r="C219" s="15" t="s">
        <v>259</v>
      </c>
      <c r="D219" s="14">
        <v>186</v>
      </c>
      <c r="E219" s="14" t="s">
        <v>26</v>
      </c>
      <c r="F219" s="14" t="s">
        <v>13</v>
      </c>
      <c r="G219" s="14">
        <v>13.73</v>
      </c>
      <c r="H219" s="14">
        <v>1.5</v>
      </c>
      <c r="I219" s="14">
        <v>2.7</v>
      </c>
      <c r="J219" s="14">
        <v>22.5</v>
      </c>
      <c r="K219" s="14">
        <v>101</v>
      </c>
      <c r="L219" s="14">
        <v>3</v>
      </c>
      <c r="M219" s="14">
        <v>3.25</v>
      </c>
      <c r="N219" s="14">
        <v>0.28999999999999998</v>
      </c>
      <c r="O219" s="14">
        <v>2.38</v>
      </c>
      <c r="P219" s="14">
        <v>5.7</v>
      </c>
      <c r="Q219" s="14">
        <v>1.19</v>
      </c>
      <c r="R219" s="14">
        <v>2.71</v>
      </c>
      <c r="S219">
        <v>1285</v>
      </c>
    </row>
    <row r="220" spans="3:19" x14ac:dyDescent="0.25">
      <c r="C220" s="15" t="s">
        <v>260</v>
      </c>
      <c r="D220" s="14">
        <v>187</v>
      </c>
      <c r="E220" s="14" t="s">
        <v>26</v>
      </c>
      <c r="F220" s="14" t="s">
        <v>13</v>
      </c>
      <c r="G220" s="14">
        <v>13.58</v>
      </c>
      <c r="H220" s="14">
        <v>1.66</v>
      </c>
      <c r="I220" s="14">
        <v>2.36</v>
      </c>
      <c r="J220" s="14">
        <v>19.100000000000001</v>
      </c>
      <c r="K220" s="14">
        <v>106</v>
      </c>
      <c r="L220" s="14">
        <v>2.86</v>
      </c>
      <c r="M220" s="14">
        <v>3.19</v>
      </c>
      <c r="N220" s="14">
        <v>0.22</v>
      </c>
      <c r="O220" s="14">
        <v>1.95</v>
      </c>
      <c r="P220" s="14">
        <v>6.9</v>
      </c>
      <c r="Q220" s="14">
        <v>1.0900000000000001</v>
      </c>
      <c r="R220" s="14">
        <v>2.88</v>
      </c>
      <c r="S220">
        <v>1515</v>
      </c>
    </row>
    <row r="221" spans="3:19" x14ac:dyDescent="0.25">
      <c r="C221" s="15" t="s">
        <v>261</v>
      </c>
      <c r="D221" s="14">
        <v>188</v>
      </c>
      <c r="E221" s="14" t="s">
        <v>26</v>
      </c>
      <c r="F221" s="14" t="s">
        <v>13</v>
      </c>
      <c r="G221" s="14">
        <v>13.68</v>
      </c>
      <c r="H221" s="14">
        <v>1.83</v>
      </c>
      <c r="I221" s="14">
        <v>2.36</v>
      </c>
      <c r="J221" s="14">
        <v>17.2</v>
      </c>
      <c r="K221" s="14">
        <v>104</v>
      </c>
      <c r="L221" s="14">
        <v>2.42</v>
      </c>
      <c r="M221" s="14">
        <v>2.69</v>
      </c>
      <c r="N221" s="14">
        <v>0.42</v>
      </c>
      <c r="O221" s="14">
        <v>1.97</v>
      </c>
      <c r="P221" s="14">
        <v>3.84</v>
      </c>
      <c r="Q221" s="14">
        <v>1.23</v>
      </c>
      <c r="R221" s="14">
        <v>2.87</v>
      </c>
      <c r="S221">
        <v>990</v>
      </c>
    </row>
    <row r="222" spans="3:19" x14ac:dyDescent="0.25">
      <c r="C222" s="15" t="s">
        <v>262</v>
      </c>
      <c r="D222" s="14">
        <v>189</v>
      </c>
      <c r="E222" s="14" t="s">
        <v>26</v>
      </c>
      <c r="F222" s="14" t="s">
        <v>13</v>
      </c>
      <c r="G222" s="14">
        <v>13.76</v>
      </c>
      <c r="H222" s="14">
        <v>1.53</v>
      </c>
      <c r="I222" s="14">
        <v>2.7</v>
      </c>
      <c r="J222" s="14">
        <v>19.5</v>
      </c>
      <c r="K222" s="14">
        <v>132</v>
      </c>
      <c r="L222" s="14">
        <v>2.95</v>
      </c>
      <c r="M222" s="14">
        <v>2.74</v>
      </c>
      <c r="N222" s="14">
        <v>0.5</v>
      </c>
      <c r="O222" s="14">
        <v>1.35</v>
      </c>
      <c r="P222" s="14">
        <v>5.4</v>
      </c>
      <c r="Q222" s="14">
        <v>1.25</v>
      </c>
      <c r="R222" s="14">
        <v>3</v>
      </c>
      <c r="S222">
        <v>1235</v>
      </c>
    </row>
    <row r="223" spans="3:19" x14ac:dyDescent="0.25">
      <c r="C223" s="15" t="s">
        <v>263</v>
      </c>
      <c r="D223" s="14">
        <v>190</v>
      </c>
      <c r="E223" s="14" t="s">
        <v>26</v>
      </c>
      <c r="F223" s="14" t="s">
        <v>13</v>
      </c>
      <c r="G223" s="14">
        <v>13.51</v>
      </c>
      <c r="H223" s="14">
        <v>1.8</v>
      </c>
      <c r="I223" s="14">
        <v>2.65</v>
      </c>
      <c r="J223" s="14">
        <v>19</v>
      </c>
      <c r="K223" s="14">
        <v>110</v>
      </c>
      <c r="L223" s="14">
        <v>2.35</v>
      </c>
      <c r="M223" s="14">
        <v>2.5299999999999998</v>
      </c>
      <c r="N223" s="14">
        <v>0.28999999999999998</v>
      </c>
      <c r="O223" s="14">
        <v>1.54</v>
      </c>
      <c r="P223" s="14">
        <v>4.2</v>
      </c>
      <c r="Q223" s="14">
        <v>1.1000000000000001</v>
      </c>
      <c r="R223" s="14">
        <v>2.87</v>
      </c>
      <c r="S223">
        <v>1095</v>
      </c>
    </row>
    <row r="224" spans="3:19" x14ac:dyDescent="0.25">
      <c r="C224" s="15" t="s">
        <v>264</v>
      </c>
      <c r="D224" s="14">
        <v>191</v>
      </c>
      <c r="E224" s="14" t="s">
        <v>26</v>
      </c>
      <c r="F224" s="14" t="s">
        <v>13</v>
      </c>
      <c r="G224" s="14">
        <v>13.48</v>
      </c>
      <c r="H224" s="14">
        <v>1.81</v>
      </c>
      <c r="I224" s="14">
        <v>2.41</v>
      </c>
      <c r="J224" s="14">
        <v>20.5</v>
      </c>
      <c r="K224" s="14">
        <v>100</v>
      </c>
      <c r="L224" s="14">
        <v>2.7</v>
      </c>
      <c r="M224" s="14">
        <v>2.98</v>
      </c>
      <c r="N224" s="14">
        <v>0.26</v>
      </c>
      <c r="O224" s="14">
        <v>1.86</v>
      </c>
      <c r="P224" s="14">
        <v>5.0999999999999996</v>
      </c>
      <c r="Q224" s="14">
        <v>1.04</v>
      </c>
      <c r="R224" s="14">
        <v>3.47</v>
      </c>
      <c r="S224">
        <v>920</v>
      </c>
    </row>
    <row r="225" spans="3:19" x14ac:dyDescent="0.25">
      <c r="C225" s="15" t="s">
        <v>265</v>
      </c>
      <c r="D225" s="14">
        <v>192</v>
      </c>
      <c r="E225" s="14" t="s">
        <v>26</v>
      </c>
      <c r="F225" s="14" t="s">
        <v>13</v>
      </c>
      <c r="G225" s="14">
        <v>13.28</v>
      </c>
      <c r="H225" s="14">
        <v>1.64</v>
      </c>
      <c r="I225" s="14">
        <v>2.84</v>
      </c>
      <c r="J225" s="14">
        <v>15.5</v>
      </c>
      <c r="K225" s="14">
        <v>110</v>
      </c>
      <c r="L225" s="14">
        <v>2.6</v>
      </c>
      <c r="M225" s="14">
        <v>2.68</v>
      </c>
      <c r="N225" s="14">
        <v>0.34</v>
      </c>
      <c r="O225" s="14">
        <v>1.36</v>
      </c>
      <c r="P225" s="14">
        <v>4.5999999999999996</v>
      </c>
      <c r="Q225" s="14">
        <v>1.0900000000000001</v>
      </c>
      <c r="R225" s="14">
        <v>2.78</v>
      </c>
      <c r="S225">
        <v>880</v>
      </c>
    </row>
    <row r="226" spans="3:19" x14ac:dyDescent="0.25">
      <c r="C226" s="15" t="s">
        <v>266</v>
      </c>
      <c r="D226" s="14">
        <v>193</v>
      </c>
      <c r="E226" s="14" t="s">
        <v>26</v>
      </c>
      <c r="F226" s="14" t="s">
        <v>13</v>
      </c>
      <c r="G226" s="14">
        <v>13.05</v>
      </c>
      <c r="H226" s="14">
        <v>1.65</v>
      </c>
      <c r="I226" s="14">
        <v>2.5499999999999998</v>
      </c>
      <c r="J226" s="14">
        <v>18</v>
      </c>
      <c r="K226" s="14">
        <v>98</v>
      </c>
      <c r="L226" s="14">
        <v>2.4500000000000002</v>
      </c>
      <c r="M226" s="14">
        <v>2.4300000000000002</v>
      </c>
      <c r="N226" s="14">
        <v>0.28999999999999998</v>
      </c>
      <c r="O226" s="14">
        <v>1.44</v>
      </c>
      <c r="P226" s="14">
        <v>4.25</v>
      </c>
      <c r="Q226" s="14">
        <v>1.1200000000000001</v>
      </c>
      <c r="R226" s="14">
        <v>2.5099999999999998</v>
      </c>
      <c r="S226">
        <v>1105</v>
      </c>
    </row>
    <row r="227" spans="3:19" x14ac:dyDescent="0.25">
      <c r="C227" s="15" t="s">
        <v>267</v>
      </c>
      <c r="D227" s="14">
        <v>194</v>
      </c>
      <c r="E227" s="14" t="s">
        <v>26</v>
      </c>
      <c r="F227" s="14" t="s">
        <v>13</v>
      </c>
      <c r="G227" s="14">
        <v>13.07</v>
      </c>
      <c r="H227" s="14">
        <v>1.5</v>
      </c>
      <c r="I227" s="14">
        <v>2.1</v>
      </c>
      <c r="J227" s="14">
        <v>15.5</v>
      </c>
      <c r="K227" s="14">
        <v>98</v>
      </c>
      <c r="L227" s="14">
        <v>2.4</v>
      </c>
      <c r="M227" s="14">
        <v>2.64</v>
      </c>
      <c r="N227" s="14">
        <v>0.28000000000000003</v>
      </c>
      <c r="O227" s="14">
        <v>1.37</v>
      </c>
      <c r="P227" s="14">
        <v>3.7</v>
      </c>
      <c r="Q227" s="14">
        <v>1.18</v>
      </c>
      <c r="R227" s="14">
        <v>2.69</v>
      </c>
      <c r="S227">
        <v>1020</v>
      </c>
    </row>
    <row r="228" spans="3:19" x14ac:dyDescent="0.25">
      <c r="C228" s="15" t="s">
        <v>268</v>
      </c>
      <c r="D228" s="14">
        <v>195</v>
      </c>
      <c r="E228" s="14" t="s">
        <v>26</v>
      </c>
      <c r="F228" s="14" t="s">
        <v>13</v>
      </c>
      <c r="G228" s="14">
        <v>14.22</v>
      </c>
      <c r="H228" s="14">
        <v>3.99</v>
      </c>
      <c r="I228" s="14">
        <v>2.5099999999999998</v>
      </c>
      <c r="J228" s="14">
        <v>13.2</v>
      </c>
      <c r="K228" s="14">
        <v>128</v>
      </c>
      <c r="L228" s="14">
        <v>3</v>
      </c>
      <c r="M228" s="14">
        <v>3.04</v>
      </c>
      <c r="N228" s="14">
        <v>0.2</v>
      </c>
      <c r="O228" s="14">
        <v>2.08</v>
      </c>
      <c r="P228" s="14">
        <v>5.0999999999999996</v>
      </c>
      <c r="Q228" s="14">
        <v>0.89</v>
      </c>
      <c r="R228" s="14">
        <v>3.53</v>
      </c>
      <c r="S228">
        <v>760</v>
      </c>
    </row>
    <row r="229" spans="3:19" x14ac:dyDescent="0.25">
      <c r="C229" s="15" t="s">
        <v>269</v>
      </c>
      <c r="D229" s="14">
        <v>196</v>
      </c>
      <c r="E229" s="14" t="s">
        <v>26</v>
      </c>
      <c r="F229" s="14" t="s">
        <v>13</v>
      </c>
      <c r="G229" s="14">
        <v>13.56</v>
      </c>
      <c r="H229" s="14">
        <v>1.71</v>
      </c>
      <c r="I229" s="14">
        <v>2.31</v>
      </c>
      <c r="J229" s="14">
        <v>16.2</v>
      </c>
      <c r="K229" s="14">
        <v>117</v>
      </c>
      <c r="L229" s="14">
        <v>3.15</v>
      </c>
      <c r="M229" s="14">
        <v>3.29</v>
      </c>
      <c r="N229" s="14">
        <v>0.34</v>
      </c>
      <c r="O229" s="14">
        <v>2.34</v>
      </c>
      <c r="P229" s="14">
        <v>6.13</v>
      </c>
      <c r="Q229" s="14">
        <v>0.95</v>
      </c>
      <c r="R229" s="14">
        <v>3.38</v>
      </c>
      <c r="S229">
        <v>795</v>
      </c>
    </row>
    <row r="230" spans="3:19" x14ac:dyDescent="0.25">
      <c r="C230" s="15" t="s">
        <v>270</v>
      </c>
      <c r="D230" s="14">
        <v>197</v>
      </c>
      <c r="E230" s="14" t="s">
        <v>26</v>
      </c>
      <c r="F230" s="14" t="s">
        <v>13</v>
      </c>
      <c r="G230" s="14">
        <v>13.41</v>
      </c>
      <c r="H230" s="14">
        <v>3.84</v>
      </c>
      <c r="I230" s="14">
        <v>2.12</v>
      </c>
      <c r="J230" s="14">
        <v>18.8</v>
      </c>
      <c r="K230" s="14">
        <v>90</v>
      </c>
      <c r="L230" s="14">
        <v>2.4500000000000002</v>
      </c>
      <c r="M230" s="14">
        <v>2.68</v>
      </c>
      <c r="N230" s="14">
        <v>0.27</v>
      </c>
      <c r="O230" s="14">
        <v>1.48</v>
      </c>
      <c r="P230" s="14">
        <v>4.28</v>
      </c>
      <c r="Q230" s="14">
        <v>0.91</v>
      </c>
      <c r="R230" s="14">
        <v>3</v>
      </c>
      <c r="S230">
        <v>1035</v>
      </c>
    </row>
    <row r="231" spans="3:19" x14ac:dyDescent="0.25">
      <c r="C231" s="15" t="s">
        <v>271</v>
      </c>
      <c r="D231" s="14">
        <v>198</v>
      </c>
      <c r="E231" s="14" t="s">
        <v>26</v>
      </c>
      <c r="F231" s="14" t="s">
        <v>13</v>
      </c>
      <c r="G231" s="14">
        <v>13.88</v>
      </c>
      <c r="H231" s="14">
        <v>1.89</v>
      </c>
      <c r="I231" s="14">
        <v>2.59</v>
      </c>
      <c r="J231" s="14">
        <v>15</v>
      </c>
      <c r="K231" s="14">
        <v>101</v>
      </c>
      <c r="L231" s="14">
        <v>3.25</v>
      </c>
      <c r="M231" s="14">
        <v>3.56</v>
      </c>
      <c r="N231" s="14">
        <v>0.17</v>
      </c>
      <c r="O231" s="14">
        <v>1.7</v>
      </c>
      <c r="P231" s="14">
        <v>5.43</v>
      </c>
      <c r="Q231" s="14">
        <v>0.88</v>
      </c>
      <c r="R231" s="14">
        <v>3.56</v>
      </c>
      <c r="S231">
        <v>1095</v>
      </c>
    </row>
    <row r="232" spans="3:19" x14ac:dyDescent="0.25">
      <c r="C232" s="15" t="s">
        <v>272</v>
      </c>
      <c r="D232" s="14">
        <v>199</v>
      </c>
      <c r="E232" s="14" t="s">
        <v>26</v>
      </c>
      <c r="F232" s="14" t="s">
        <v>13</v>
      </c>
      <c r="G232" s="14">
        <v>13.24</v>
      </c>
      <c r="H232" s="14">
        <v>3.98</v>
      </c>
      <c r="I232" s="14">
        <v>2.29</v>
      </c>
      <c r="J232" s="14">
        <v>17.5</v>
      </c>
      <c r="K232" s="14">
        <v>103</v>
      </c>
      <c r="L232" s="14">
        <v>2.64</v>
      </c>
      <c r="M232" s="14">
        <v>2.63</v>
      </c>
      <c r="N232" s="14">
        <v>0.32</v>
      </c>
      <c r="O232" s="14">
        <v>1.66</v>
      </c>
      <c r="P232" s="14">
        <v>4.3600000000000003</v>
      </c>
      <c r="Q232" s="14">
        <v>0.82</v>
      </c>
      <c r="R232" s="14">
        <v>3</v>
      </c>
      <c r="S232">
        <v>680</v>
      </c>
    </row>
    <row r="233" spans="3:19" x14ac:dyDescent="0.25">
      <c r="C233" s="15" t="s">
        <v>273</v>
      </c>
      <c r="D233" s="14">
        <v>200</v>
      </c>
      <c r="E233" s="14" t="s">
        <v>26</v>
      </c>
      <c r="F233" s="14" t="s">
        <v>13</v>
      </c>
      <c r="G233" s="14">
        <v>13.05</v>
      </c>
      <c r="H233" s="14">
        <v>1.77</v>
      </c>
      <c r="I233" s="14">
        <v>2.1</v>
      </c>
      <c r="J233" s="14">
        <v>17</v>
      </c>
      <c r="K233" s="14">
        <v>107</v>
      </c>
      <c r="L233" s="14">
        <v>3</v>
      </c>
      <c r="M233" s="14">
        <v>3</v>
      </c>
      <c r="N233" s="14">
        <v>0.28000000000000003</v>
      </c>
      <c r="O233" s="14">
        <v>2.0299999999999998</v>
      </c>
      <c r="P233" s="14">
        <v>5.04</v>
      </c>
      <c r="Q233" s="14">
        <v>0.88</v>
      </c>
      <c r="R233" s="14">
        <v>3.35</v>
      </c>
      <c r="S233">
        <v>885</v>
      </c>
    </row>
    <row r="234" spans="3:19" x14ac:dyDescent="0.25">
      <c r="C234" s="15" t="s">
        <v>274</v>
      </c>
      <c r="D234" s="14">
        <v>201</v>
      </c>
      <c r="E234" s="14" t="s">
        <v>26</v>
      </c>
      <c r="F234" s="14" t="s">
        <v>13</v>
      </c>
      <c r="G234" s="14">
        <v>14.21</v>
      </c>
      <c r="H234" s="14">
        <v>4.04</v>
      </c>
      <c r="I234" s="14">
        <v>2.44</v>
      </c>
      <c r="J234" s="14">
        <v>18.899999999999999</v>
      </c>
      <c r="K234" s="14">
        <v>111</v>
      </c>
      <c r="L234" s="14">
        <v>2.85</v>
      </c>
      <c r="M234" s="14">
        <v>2.65</v>
      </c>
      <c r="N234" s="14">
        <v>0.3</v>
      </c>
      <c r="O234" s="14">
        <v>1.25</v>
      </c>
      <c r="P234" s="14">
        <v>5.24</v>
      </c>
      <c r="Q234" s="14">
        <v>0.87</v>
      </c>
      <c r="R234" s="14">
        <v>3.33</v>
      </c>
      <c r="S234">
        <v>1080</v>
      </c>
    </row>
    <row r="235" spans="3:19" x14ac:dyDescent="0.25">
      <c r="C235" s="15" t="s">
        <v>275</v>
      </c>
      <c r="D235" s="14">
        <v>202</v>
      </c>
      <c r="E235" s="14" t="s">
        <v>26</v>
      </c>
      <c r="F235" s="14" t="s">
        <v>13</v>
      </c>
      <c r="G235" s="14">
        <v>14.38</v>
      </c>
      <c r="H235" s="14">
        <v>3.59</v>
      </c>
      <c r="I235" s="14">
        <v>2.2799999999999998</v>
      </c>
      <c r="J235" s="14">
        <v>16</v>
      </c>
      <c r="K235" s="14">
        <v>102</v>
      </c>
      <c r="L235" s="14">
        <v>3.25</v>
      </c>
      <c r="M235" s="14">
        <v>3.17</v>
      </c>
      <c r="N235" s="14">
        <v>0.27</v>
      </c>
      <c r="O235" s="14">
        <v>2.19</v>
      </c>
      <c r="P235" s="14">
        <v>4.9000000000000004</v>
      </c>
      <c r="Q235" s="14">
        <v>1.04</v>
      </c>
      <c r="R235" s="14">
        <v>3.44</v>
      </c>
      <c r="S235">
        <v>1065</v>
      </c>
    </row>
    <row r="236" spans="3:19" x14ac:dyDescent="0.25">
      <c r="C236" s="15" t="s">
        <v>276</v>
      </c>
      <c r="D236" s="14">
        <v>203</v>
      </c>
      <c r="E236" s="14" t="s">
        <v>26</v>
      </c>
      <c r="F236" s="14" t="s">
        <v>13</v>
      </c>
      <c r="G236" s="14">
        <v>13.9</v>
      </c>
      <c r="H236" s="14">
        <v>1.68</v>
      </c>
      <c r="I236" s="14">
        <v>2.12</v>
      </c>
      <c r="J236" s="14">
        <v>16</v>
      </c>
      <c r="K236" s="14">
        <v>101</v>
      </c>
      <c r="L236" s="14">
        <v>3.1</v>
      </c>
      <c r="M236" s="14">
        <v>3.39</v>
      </c>
      <c r="N236" s="14">
        <v>0.21</v>
      </c>
      <c r="O236" s="14">
        <v>2.14</v>
      </c>
      <c r="P236" s="14">
        <v>6.1</v>
      </c>
      <c r="Q236" s="14">
        <v>0.91</v>
      </c>
      <c r="R236" s="14">
        <v>3.33</v>
      </c>
      <c r="S236">
        <v>985</v>
      </c>
    </row>
    <row r="237" spans="3:19" x14ac:dyDescent="0.25">
      <c r="C237" s="15" t="s">
        <v>277</v>
      </c>
      <c r="D237" s="14">
        <v>204</v>
      </c>
      <c r="E237" s="14" t="s">
        <v>26</v>
      </c>
      <c r="F237" s="14" t="s">
        <v>13</v>
      </c>
      <c r="G237" s="14">
        <v>14.1</v>
      </c>
      <c r="H237" s="14">
        <v>2.02</v>
      </c>
      <c r="I237" s="14">
        <v>2.4</v>
      </c>
      <c r="J237" s="14">
        <v>18.8</v>
      </c>
      <c r="K237" s="14">
        <v>103</v>
      </c>
      <c r="L237" s="14">
        <v>2.75</v>
      </c>
      <c r="M237" s="14">
        <v>2.92</v>
      </c>
      <c r="N237" s="14">
        <v>0.32</v>
      </c>
      <c r="O237" s="14">
        <v>2.38</v>
      </c>
      <c r="P237" s="14">
        <v>6.2</v>
      </c>
      <c r="Q237" s="14">
        <v>1.07</v>
      </c>
      <c r="R237" s="14">
        <v>2.75</v>
      </c>
      <c r="S237">
        <v>1060</v>
      </c>
    </row>
    <row r="238" spans="3:19" x14ac:dyDescent="0.25">
      <c r="C238" s="15" t="s">
        <v>278</v>
      </c>
      <c r="D238" s="14">
        <v>205</v>
      </c>
      <c r="E238" s="14" t="s">
        <v>26</v>
      </c>
      <c r="F238" s="14" t="s">
        <v>13</v>
      </c>
      <c r="G238" s="14">
        <v>13.94</v>
      </c>
      <c r="H238" s="14">
        <v>1.73</v>
      </c>
      <c r="I238" s="14">
        <v>2.27</v>
      </c>
      <c r="J238" s="14">
        <v>17.399999999999999</v>
      </c>
      <c r="K238" s="14">
        <v>108</v>
      </c>
      <c r="L238" s="14">
        <v>2.88</v>
      </c>
      <c r="M238" s="14">
        <v>3.54</v>
      </c>
      <c r="N238" s="14">
        <v>0.32</v>
      </c>
      <c r="O238" s="14">
        <v>2.08</v>
      </c>
      <c r="P238" s="14">
        <v>8.9</v>
      </c>
      <c r="Q238" s="14">
        <v>1.1200000000000001</v>
      </c>
      <c r="R238" s="14">
        <v>3.1</v>
      </c>
      <c r="S238">
        <v>1260</v>
      </c>
    </row>
    <row r="239" spans="3:19" x14ac:dyDescent="0.25">
      <c r="C239" s="15" t="s">
        <v>279</v>
      </c>
      <c r="D239" s="14">
        <v>206</v>
      </c>
      <c r="E239" s="14" t="s">
        <v>26</v>
      </c>
      <c r="F239" s="14" t="s">
        <v>13</v>
      </c>
      <c r="G239" s="14">
        <v>13.05</v>
      </c>
      <c r="H239" s="14">
        <v>1.73</v>
      </c>
      <c r="I239" s="14">
        <v>2.04</v>
      </c>
      <c r="J239" s="14">
        <v>12.4</v>
      </c>
      <c r="K239" s="14">
        <v>92</v>
      </c>
      <c r="L239" s="14">
        <v>2.72</v>
      </c>
      <c r="M239" s="14">
        <v>3.27</v>
      </c>
      <c r="N239" s="14">
        <v>0.17</v>
      </c>
      <c r="O239" s="14">
        <v>2.91</v>
      </c>
      <c r="P239" s="14">
        <v>7.2</v>
      </c>
      <c r="Q239" s="14">
        <v>1.1200000000000001</v>
      </c>
      <c r="R239" s="14">
        <v>2.91</v>
      </c>
      <c r="S239">
        <v>1150</v>
      </c>
    </row>
    <row r="240" spans="3:19" x14ac:dyDescent="0.25">
      <c r="C240" s="15" t="s">
        <v>280</v>
      </c>
      <c r="D240" s="14">
        <v>207</v>
      </c>
      <c r="E240" s="14" t="s">
        <v>26</v>
      </c>
      <c r="F240" s="14" t="s">
        <v>13</v>
      </c>
      <c r="G240" s="14">
        <v>13.83</v>
      </c>
      <c r="H240" s="14">
        <v>1.65</v>
      </c>
      <c r="I240" s="14">
        <v>2.6</v>
      </c>
      <c r="J240" s="14">
        <v>17.2</v>
      </c>
      <c r="K240" s="14">
        <v>94</v>
      </c>
      <c r="L240" s="14">
        <v>2.4500000000000002</v>
      </c>
      <c r="M240" s="14">
        <v>2.99</v>
      </c>
      <c r="N240" s="14">
        <v>0.22</v>
      </c>
      <c r="O240" s="14">
        <v>2.29</v>
      </c>
      <c r="P240" s="14">
        <v>5.6</v>
      </c>
      <c r="Q240" s="14">
        <v>1.24</v>
      </c>
      <c r="R240" s="14">
        <v>3.37</v>
      </c>
      <c r="S240">
        <v>1265</v>
      </c>
    </row>
    <row r="241" spans="3:19" x14ac:dyDescent="0.25">
      <c r="C241" s="15" t="s">
        <v>281</v>
      </c>
      <c r="D241" s="14">
        <v>208</v>
      </c>
      <c r="E241" s="14" t="s">
        <v>26</v>
      </c>
      <c r="F241" s="14" t="s">
        <v>13</v>
      </c>
      <c r="G241" s="14">
        <v>13.82</v>
      </c>
      <c r="H241" s="14">
        <v>1.75</v>
      </c>
      <c r="I241" s="14">
        <v>2.42</v>
      </c>
      <c r="J241" s="14">
        <v>14</v>
      </c>
      <c r="K241" s="14">
        <v>111</v>
      </c>
      <c r="L241" s="14">
        <v>3.88</v>
      </c>
      <c r="M241" s="14">
        <v>3.74</v>
      </c>
      <c r="N241" s="14">
        <v>0.32</v>
      </c>
      <c r="O241" s="14">
        <v>1.87</v>
      </c>
      <c r="P241" s="14">
        <v>7.05</v>
      </c>
      <c r="Q241" s="14">
        <v>1.01</v>
      </c>
      <c r="R241" s="14">
        <v>3.26</v>
      </c>
      <c r="S241">
        <v>1190</v>
      </c>
    </row>
    <row r="242" spans="3:19" x14ac:dyDescent="0.25">
      <c r="C242" s="15" t="s">
        <v>282</v>
      </c>
      <c r="D242" s="14">
        <v>209</v>
      </c>
      <c r="E242" s="14" t="s">
        <v>26</v>
      </c>
      <c r="F242" s="14" t="s">
        <v>13</v>
      </c>
      <c r="G242" s="14">
        <v>13.77</v>
      </c>
      <c r="H242" s="14">
        <v>1.9</v>
      </c>
      <c r="I242" s="14">
        <v>2.68</v>
      </c>
      <c r="J242" s="14">
        <v>17.100000000000001</v>
      </c>
      <c r="K242" s="14">
        <v>115</v>
      </c>
      <c r="L242" s="14">
        <v>3</v>
      </c>
      <c r="M242" s="14">
        <v>2.79</v>
      </c>
      <c r="N242" s="14">
        <v>0.39</v>
      </c>
      <c r="O242" s="14">
        <v>1.68</v>
      </c>
      <c r="P242" s="14">
        <v>6.3</v>
      </c>
      <c r="Q242" s="14">
        <v>1.1299999999999999</v>
      </c>
      <c r="R242" s="14">
        <v>2.93</v>
      </c>
      <c r="S242">
        <v>1375</v>
      </c>
    </row>
    <row r="243" spans="3:19" x14ac:dyDescent="0.25">
      <c r="C243" s="15" t="s">
        <v>283</v>
      </c>
      <c r="D243" s="14">
        <v>210</v>
      </c>
      <c r="E243" s="14" t="s">
        <v>26</v>
      </c>
      <c r="F243" s="14" t="s">
        <v>13</v>
      </c>
      <c r="G243" s="14">
        <v>13.74</v>
      </c>
      <c r="H243" s="14">
        <v>1.67</v>
      </c>
      <c r="I243" s="14">
        <v>2.25</v>
      </c>
      <c r="J243" s="14">
        <v>16.399999999999999</v>
      </c>
      <c r="K243" s="14">
        <v>118</v>
      </c>
      <c r="L243" s="14">
        <v>2.6</v>
      </c>
      <c r="M243" s="14">
        <v>2.9</v>
      </c>
      <c r="N243" s="14">
        <v>0.21</v>
      </c>
      <c r="O243" s="14">
        <v>1.62</v>
      </c>
      <c r="P243" s="14">
        <v>5.85</v>
      </c>
      <c r="Q243" s="14">
        <v>0.92</v>
      </c>
      <c r="R243" s="14">
        <v>3.2</v>
      </c>
      <c r="S243">
        <v>1060</v>
      </c>
    </row>
    <row r="244" spans="3:19" x14ac:dyDescent="0.25">
      <c r="C244" s="15" t="s">
        <v>284</v>
      </c>
      <c r="D244" s="14">
        <v>211</v>
      </c>
      <c r="E244" s="14" t="s">
        <v>26</v>
      </c>
      <c r="F244" s="14" t="s">
        <v>13</v>
      </c>
      <c r="G244" s="14">
        <v>13.56</v>
      </c>
      <c r="H244" s="14">
        <v>1.73</v>
      </c>
      <c r="I244" s="14">
        <v>2.46</v>
      </c>
      <c r="J244" s="14">
        <v>20.5</v>
      </c>
      <c r="K244" s="14">
        <v>116</v>
      </c>
      <c r="L244" s="14">
        <v>2.96</v>
      </c>
      <c r="M244" s="14">
        <v>2.78</v>
      </c>
      <c r="N244" s="14">
        <v>0.2</v>
      </c>
      <c r="O244" s="14">
        <v>2.4500000000000002</v>
      </c>
      <c r="P244" s="14">
        <v>6.25</v>
      </c>
      <c r="Q244" s="14">
        <v>0.98</v>
      </c>
      <c r="R244" s="14">
        <v>3.03</v>
      </c>
      <c r="S244">
        <v>1120</v>
      </c>
    </row>
    <row r="245" spans="3:19" x14ac:dyDescent="0.25">
      <c r="C245" s="15" t="s">
        <v>285</v>
      </c>
      <c r="D245" s="14">
        <v>212</v>
      </c>
      <c r="E245" s="14" t="s">
        <v>26</v>
      </c>
      <c r="F245" s="14" t="s">
        <v>13</v>
      </c>
      <c r="G245" s="14">
        <v>14.22</v>
      </c>
      <c r="H245" s="14">
        <v>1.7</v>
      </c>
      <c r="I245" s="14">
        <v>2.2999999999999998</v>
      </c>
      <c r="J245" s="14">
        <v>16.3</v>
      </c>
      <c r="K245" s="14">
        <v>118</v>
      </c>
      <c r="L245" s="14">
        <v>3.2</v>
      </c>
      <c r="M245" s="14">
        <v>3</v>
      </c>
      <c r="N245" s="14">
        <v>0.26</v>
      </c>
      <c r="O245" s="14">
        <v>2.0299999999999998</v>
      </c>
      <c r="P245" s="14">
        <v>6.38</v>
      </c>
      <c r="Q245" s="14">
        <v>0.94</v>
      </c>
      <c r="R245" s="14">
        <v>3.31</v>
      </c>
      <c r="S245">
        <v>970</v>
      </c>
    </row>
    <row r="246" spans="3:19" x14ac:dyDescent="0.25">
      <c r="C246" s="15" t="s">
        <v>286</v>
      </c>
      <c r="D246" s="14">
        <v>213</v>
      </c>
      <c r="E246" s="14" t="s">
        <v>26</v>
      </c>
      <c r="F246" s="14" t="s">
        <v>13</v>
      </c>
      <c r="G246" s="14">
        <v>13.29</v>
      </c>
      <c r="H246" s="14">
        <v>1.97</v>
      </c>
      <c r="I246" s="14">
        <v>2.68</v>
      </c>
      <c r="J246" s="14">
        <v>16.8</v>
      </c>
      <c r="K246" s="14">
        <v>102</v>
      </c>
      <c r="L246" s="14">
        <v>3</v>
      </c>
      <c r="M246" s="14">
        <v>3.23</v>
      </c>
      <c r="N246" s="14">
        <v>0.31</v>
      </c>
      <c r="O246" s="14">
        <v>1.66</v>
      </c>
      <c r="P246" s="14">
        <v>6</v>
      </c>
      <c r="Q246" s="14">
        <v>1.07</v>
      </c>
      <c r="R246" s="14">
        <v>2.84</v>
      </c>
      <c r="S246">
        <v>1270</v>
      </c>
    </row>
    <row r="247" spans="3:19" x14ac:dyDescent="0.25">
      <c r="C247" s="15" t="s">
        <v>287</v>
      </c>
      <c r="D247" s="14">
        <v>214</v>
      </c>
      <c r="E247" s="14" t="s">
        <v>26</v>
      </c>
      <c r="F247" s="14" t="s">
        <v>13</v>
      </c>
      <c r="G247" s="14">
        <v>13.72</v>
      </c>
      <c r="H247" s="14">
        <v>1.43</v>
      </c>
      <c r="I247" s="14">
        <v>2.5</v>
      </c>
      <c r="J247" s="14">
        <v>16.7</v>
      </c>
      <c r="K247" s="14">
        <v>108</v>
      </c>
      <c r="L247" s="14">
        <v>3.4</v>
      </c>
      <c r="M247" s="14">
        <v>3.67</v>
      </c>
      <c r="N247" s="14">
        <v>0.19</v>
      </c>
      <c r="O247" s="14">
        <v>2.04</v>
      </c>
      <c r="P247" s="14">
        <v>6.8</v>
      </c>
      <c r="Q247" s="14">
        <v>0.89</v>
      </c>
      <c r="R247" s="14">
        <v>2.87</v>
      </c>
      <c r="S247">
        <v>1285</v>
      </c>
    </row>
    <row r="248" spans="3:19" x14ac:dyDescent="0.25">
      <c r="C248" s="15" t="s">
        <v>288</v>
      </c>
      <c r="D248" s="14">
        <v>215</v>
      </c>
      <c r="E248" s="14" t="s">
        <v>26</v>
      </c>
      <c r="F248" s="14" t="s">
        <v>14</v>
      </c>
      <c r="G248" s="14">
        <v>12.37</v>
      </c>
      <c r="H248" s="14">
        <v>0.94</v>
      </c>
      <c r="I248" s="14">
        <v>1.36</v>
      </c>
      <c r="J248" s="14">
        <v>10.6</v>
      </c>
      <c r="K248" s="14">
        <v>88</v>
      </c>
      <c r="L248" s="14">
        <v>1.98</v>
      </c>
      <c r="M248" s="14">
        <v>0.56999999999999995</v>
      </c>
      <c r="N248" s="14">
        <v>0.28000000000000003</v>
      </c>
      <c r="O248" s="14">
        <v>0.42</v>
      </c>
      <c r="P248" s="14">
        <v>1.95</v>
      </c>
      <c r="Q248" s="14">
        <v>1.05</v>
      </c>
      <c r="R248" s="14">
        <v>1.82</v>
      </c>
      <c r="S248">
        <v>520</v>
      </c>
    </row>
    <row r="249" spans="3:19" x14ac:dyDescent="0.25">
      <c r="C249" s="15" t="s">
        <v>289</v>
      </c>
      <c r="D249" s="14">
        <v>216</v>
      </c>
      <c r="E249" s="14" t="s">
        <v>26</v>
      </c>
      <c r="F249" s="14" t="s">
        <v>14</v>
      </c>
      <c r="G249" s="14">
        <v>12.33</v>
      </c>
      <c r="H249" s="14">
        <v>1.1000000000000001</v>
      </c>
      <c r="I249" s="14">
        <v>2.2799999999999998</v>
      </c>
      <c r="J249" s="14">
        <v>16</v>
      </c>
      <c r="K249" s="14">
        <v>101</v>
      </c>
      <c r="L249" s="14">
        <v>2.0499999999999998</v>
      </c>
      <c r="M249" s="14">
        <v>1.0900000000000001</v>
      </c>
      <c r="N249" s="14">
        <v>0.63</v>
      </c>
      <c r="O249" s="14">
        <v>0.41</v>
      </c>
      <c r="P249" s="14">
        <v>3.27</v>
      </c>
      <c r="Q249" s="14">
        <v>1.25</v>
      </c>
      <c r="R249" s="14">
        <v>1.67</v>
      </c>
      <c r="S249">
        <v>680</v>
      </c>
    </row>
    <row r="250" spans="3:19" x14ac:dyDescent="0.25">
      <c r="C250" s="15" t="s">
        <v>290</v>
      </c>
      <c r="D250" s="14">
        <v>217</v>
      </c>
      <c r="E250" s="14" t="s">
        <v>26</v>
      </c>
      <c r="F250" s="14" t="s">
        <v>14</v>
      </c>
      <c r="G250" s="14">
        <v>12.64</v>
      </c>
      <c r="H250" s="14">
        <v>1.36</v>
      </c>
      <c r="I250" s="14">
        <v>2.02</v>
      </c>
      <c r="J250" s="14">
        <v>16.8</v>
      </c>
      <c r="K250" s="14">
        <v>100</v>
      </c>
      <c r="L250" s="14">
        <v>2.02</v>
      </c>
      <c r="M250" s="14">
        <v>1.41</v>
      </c>
      <c r="N250" s="14">
        <v>0.53</v>
      </c>
      <c r="O250" s="14">
        <v>0.62</v>
      </c>
      <c r="P250" s="14">
        <v>5.75</v>
      </c>
      <c r="Q250" s="14">
        <v>0.98</v>
      </c>
      <c r="R250" s="14">
        <v>1.59</v>
      </c>
      <c r="S250">
        <v>450</v>
      </c>
    </row>
    <row r="251" spans="3:19" x14ac:dyDescent="0.25">
      <c r="C251" s="15" t="s">
        <v>291</v>
      </c>
      <c r="D251" s="14">
        <v>218</v>
      </c>
      <c r="E251" s="14" t="s">
        <v>26</v>
      </c>
      <c r="F251" s="14" t="s">
        <v>14</v>
      </c>
      <c r="G251" s="14">
        <v>13.67</v>
      </c>
      <c r="H251" s="14">
        <v>1.25</v>
      </c>
      <c r="I251" s="14">
        <v>1.92</v>
      </c>
      <c r="J251" s="14">
        <v>18</v>
      </c>
      <c r="K251" s="14">
        <v>94</v>
      </c>
      <c r="L251" s="14">
        <v>2.1</v>
      </c>
      <c r="M251" s="14">
        <v>1.79</v>
      </c>
      <c r="N251" s="14">
        <v>0.32</v>
      </c>
      <c r="O251" s="14">
        <v>0.73</v>
      </c>
      <c r="P251" s="14">
        <v>3.8</v>
      </c>
      <c r="Q251" s="14">
        <v>1.23</v>
      </c>
      <c r="R251" s="14">
        <v>2.46</v>
      </c>
      <c r="S251">
        <v>630</v>
      </c>
    </row>
    <row r="252" spans="3:19" x14ac:dyDescent="0.25">
      <c r="C252" s="15" t="s">
        <v>292</v>
      </c>
      <c r="D252" s="14">
        <v>219</v>
      </c>
      <c r="E252" s="14" t="s">
        <v>26</v>
      </c>
      <c r="F252" s="14" t="s">
        <v>14</v>
      </c>
      <c r="G252" s="14">
        <v>12.37</v>
      </c>
      <c r="H252" s="14">
        <v>1.1299999999999999</v>
      </c>
      <c r="I252" s="14">
        <v>2.16</v>
      </c>
      <c r="J252" s="14">
        <v>19</v>
      </c>
      <c r="K252" s="14">
        <v>87</v>
      </c>
      <c r="L252" s="14">
        <v>3.5</v>
      </c>
      <c r="M252" s="14">
        <v>3.1</v>
      </c>
      <c r="N252" s="14">
        <v>0.19</v>
      </c>
      <c r="O252" s="14">
        <v>1.87</v>
      </c>
      <c r="P252" s="14">
        <v>4.45</v>
      </c>
      <c r="Q252" s="14">
        <v>1.22</v>
      </c>
      <c r="R252" s="14">
        <v>2.87</v>
      </c>
      <c r="S252">
        <v>420</v>
      </c>
    </row>
    <row r="253" spans="3:19" x14ac:dyDescent="0.25">
      <c r="C253" s="15" t="s">
        <v>293</v>
      </c>
      <c r="D253" s="14">
        <v>220</v>
      </c>
      <c r="E253" s="14" t="s">
        <v>26</v>
      </c>
      <c r="F253" s="14" t="s">
        <v>14</v>
      </c>
      <c r="G253" s="14">
        <v>12.17</v>
      </c>
      <c r="H253" s="14">
        <v>1.45</v>
      </c>
      <c r="I253" s="14">
        <v>2.5299999999999998</v>
      </c>
      <c r="J253" s="14">
        <v>19</v>
      </c>
      <c r="K253" s="14">
        <v>104</v>
      </c>
      <c r="L253" s="14">
        <v>1.89</v>
      </c>
      <c r="M253" s="14">
        <v>1.75</v>
      </c>
      <c r="N253" s="14">
        <v>0.45</v>
      </c>
      <c r="O253" s="14">
        <v>1.03</v>
      </c>
      <c r="P253" s="14">
        <v>2.95</v>
      </c>
      <c r="Q253" s="14">
        <v>1.45</v>
      </c>
      <c r="R253" s="14">
        <v>2.23</v>
      </c>
      <c r="S253">
        <v>355</v>
      </c>
    </row>
    <row r="254" spans="3:19" x14ac:dyDescent="0.25">
      <c r="C254" s="15" t="s">
        <v>294</v>
      </c>
      <c r="D254" s="14">
        <v>221</v>
      </c>
      <c r="E254" s="14" t="s">
        <v>26</v>
      </c>
      <c r="F254" s="14" t="s">
        <v>14</v>
      </c>
      <c r="G254" s="14">
        <v>12.37</v>
      </c>
      <c r="H254" s="14">
        <v>1.21</v>
      </c>
      <c r="I254" s="14">
        <v>2.56</v>
      </c>
      <c r="J254" s="14">
        <v>18.100000000000001</v>
      </c>
      <c r="K254" s="14">
        <v>98</v>
      </c>
      <c r="L254" s="14">
        <v>2.42</v>
      </c>
      <c r="M254" s="14">
        <v>2.65</v>
      </c>
      <c r="N254" s="14">
        <v>0.37</v>
      </c>
      <c r="O254" s="14">
        <v>2.08</v>
      </c>
      <c r="P254" s="14">
        <v>4.5999999999999996</v>
      </c>
      <c r="Q254" s="14">
        <v>1.19</v>
      </c>
      <c r="R254" s="14">
        <v>2.2999999999999998</v>
      </c>
      <c r="S254">
        <v>678</v>
      </c>
    </row>
    <row r="255" spans="3:19" x14ac:dyDescent="0.25">
      <c r="C255" s="15" t="s">
        <v>295</v>
      </c>
      <c r="D255" s="14">
        <v>222</v>
      </c>
      <c r="E255" s="14" t="s">
        <v>26</v>
      </c>
      <c r="F255" s="14" t="s">
        <v>14</v>
      </c>
      <c r="G255" s="14">
        <v>13.11</v>
      </c>
      <c r="H255" s="14">
        <v>1.01</v>
      </c>
      <c r="I255" s="14">
        <v>1.7</v>
      </c>
      <c r="J255" s="14">
        <v>15</v>
      </c>
      <c r="K255" s="14">
        <v>78</v>
      </c>
      <c r="L255" s="14">
        <v>2.98</v>
      </c>
      <c r="M255" s="14">
        <v>3.18</v>
      </c>
      <c r="N255" s="14">
        <v>0.26</v>
      </c>
      <c r="O255" s="14">
        <v>2.2799999999999998</v>
      </c>
      <c r="P255" s="14">
        <v>5.3</v>
      </c>
      <c r="Q255" s="14">
        <v>1.1200000000000001</v>
      </c>
      <c r="R255" s="14">
        <v>3.18</v>
      </c>
      <c r="S255">
        <v>502</v>
      </c>
    </row>
    <row r="256" spans="3:19" x14ac:dyDescent="0.25">
      <c r="C256" s="15" t="s">
        <v>296</v>
      </c>
      <c r="D256" s="14">
        <v>223</v>
      </c>
      <c r="E256" s="14" t="s">
        <v>26</v>
      </c>
      <c r="F256" s="14" t="s">
        <v>14</v>
      </c>
      <c r="G256" s="14">
        <v>12.37</v>
      </c>
      <c r="H256" s="14">
        <v>1.17</v>
      </c>
      <c r="I256" s="14">
        <v>1.92</v>
      </c>
      <c r="J256" s="14">
        <v>19.600000000000001</v>
      </c>
      <c r="K256" s="14">
        <v>78</v>
      </c>
      <c r="L256" s="14">
        <v>2.11</v>
      </c>
      <c r="M256" s="14">
        <v>2</v>
      </c>
      <c r="N256" s="14">
        <v>0.27</v>
      </c>
      <c r="O256" s="14">
        <v>1.04</v>
      </c>
      <c r="P256" s="14">
        <v>4.68</v>
      </c>
      <c r="Q256" s="14">
        <v>1.1200000000000001</v>
      </c>
      <c r="R256" s="14">
        <v>3.48</v>
      </c>
      <c r="S256">
        <v>510</v>
      </c>
    </row>
    <row r="257" spans="3:19" x14ac:dyDescent="0.25">
      <c r="C257" s="15" t="s">
        <v>297</v>
      </c>
      <c r="D257" s="14">
        <v>224</v>
      </c>
      <c r="E257" s="14" t="s">
        <v>26</v>
      </c>
      <c r="F257" s="14" t="s">
        <v>14</v>
      </c>
      <c r="G257" s="14">
        <v>13.34</v>
      </c>
      <c r="H257" s="14">
        <v>0.94</v>
      </c>
      <c r="I257" s="14">
        <v>2.36</v>
      </c>
      <c r="J257" s="14">
        <v>17</v>
      </c>
      <c r="K257" s="14">
        <v>110</v>
      </c>
      <c r="L257" s="14">
        <v>2.5299999999999998</v>
      </c>
      <c r="M257" s="14">
        <v>1.3</v>
      </c>
      <c r="N257" s="14">
        <v>0.55000000000000004</v>
      </c>
      <c r="O257" s="14">
        <v>0.42</v>
      </c>
      <c r="P257" s="14">
        <v>3.17</v>
      </c>
      <c r="Q257" s="14">
        <v>1.02</v>
      </c>
      <c r="R257" s="14">
        <v>1.93</v>
      </c>
      <c r="S257">
        <v>750</v>
      </c>
    </row>
    <row r="258" spans="3:19" x14ac:dyDescent="0.25">
      <c r="C258" s="15" t="s">
        <v>298</v>
      </c>
      <c r="D258" s="14">
        <v>225</v>
      </c>
      <c r="E258" s="14" t="s">
        <v>26</v>
      </c>
      <c r="F258" s="14" t="s">
        <v>14</v>
      </c>
      <c r="G258" s="14">
        <v>12.21</v>
      </c>
      <c r="H258" s="14">
        <v>1.19</v>
      </c>
      <c r="I258" s="14">
        <v>1.75</v>
      </c>
      <c r="J258" s="14">
        <v>16.8</v>
      </c>
      <c r="K258" s="14">
        <v>151</v>
      </c>
      <c r="L258" s="14">
        <v>1.85</v>
      </c>
      <c r="M258" s="14">
        <v>1.28</v>
      </c>
      <c r="N258" s="14">
        <v>0.14000000000000001</v>
      </c>
      <c r="O258" s="14">
        <v>2.5</v>
      </c>
      <c r="P258" s="14">
        <v>2.85</v>
      </c>
      <c r="Q258" s="14">
        <v>1.28</v>
      </c>
      <c r="R258" s="14">
        <v>3.07</v>
      </c>
      <c r="S258">
        <v>718</v>
      </c>
    </row>
    <row r="259" spans="3:19" x14ac:dyDescent="0.25">
      <c r="C259" s="15" t="s">
        <v>299</v>
      </c>
      <c r="D259" s="14">
        <v>226</v>
      </c>
      <c r="E259" s="14" t="s">
        <v>26</v>
      </c>
      <c r="F259" s="14" t="s">
        <v>14</v>
      </c>
      <c r="G259" s="14">
        <v>12.29</v>
      </c>
      <c r="H259" s="14">
        <v>1.61</v>
      </c>
      <c r="I259" s="14">
        <v>2.21</v>
      </c>
      <c r="J259" s="14">
        <v>20.399999999999999</v>
      </c>
      <c r="K259" s="14">
        <v>103</v>
      </c>
      <c r="L259" s="14">
        <v>1.1000000000000001</v>
      </c>
      <c r="M259" s="14">
        <v>1.02</v>
      </c>
      <c r="N259" s="14">
        <v>0.37</v>
      </c>
      <c r="O259" s="14">
        <v>1.46</v>
      </c>
      <c r="P259" s="14">
        <v>3.05</v>
      </c>
      <c r="Q259" s="14">
        <v>0.90600000000000003</v>
      </c>
      <c r="R259" s="14">
        <v>1.82</v>
      </c>
      <c r="S259">
        <v>870</v>
      </c>
    </row>
    <row r="260" spans="3:19" x14ac:dyDescent="0.25">
      <c r="C260" s="15" t="s">
        <v>300</v>
      </c>
      <c r="D260" s="14">
        <v>227</v>
      </c>
      <c r="E260" s="14" t="s">
        <v>26</v>
      </c>
      <c r="F260" s="14" t="s">
        <v>14</v>
      </c>
      <c r="G260" s="14">
        <v>13.86</v>
      </c>
      <c r="H260" s="14">
        <v>1.51</v>
      </c>
      <c r="I260" s="14">
        <v>2.67</v>
      </c>
      <c r="J260" s="14">
        <v>25</v>
      </c>
      <c r="K260" s="14">
        <v>86</v>
      </c>
      <c r="L260" s="14">
        <v>2.95</v>
      </c>
      <c r="M260" s="14">
        <v>2.86</v>
      </c>
      <c r="N260" s="14">
        <v>0.21</v>
      </c>
      <c r="O260" s="14">
        <v>1.87</v>
      </c>
      <c r="P260" s="14">
        <v>3.38</v>
      </c>
      <c r="Q260" s="14">
        <v>1.36</v>
      </c>
      <c r="R260" s="14">
        <v>3.16</v>
      </c>
      <c r="S260">
        <v>410</v>
      </c>
    </row>
    <row r="261" spans="3:19" x14ac:dyDescent="0.25">
      <c r="C261" s="15" t="s">
        <v>301</v>
      </c>
      <c r="D261" s="14">
        <v>228</v>
      </c>
      <c r="E261" s="14" t="s">
        <v>26</v>
      </c>
      <c r="F261" s="14" t="s">
        <v>14</v>
      </c>
      <c r="G261" s="14">
        <v>13.49</v>
      </c>
      <c r="H261" s="14">
        <v>1.66</v>
      </c>
      <c r="I261" s="14">
        <v>2.2400000000000002</v>
      </c>
      <c r="J261" s="14">
        <v>24</v>
      </c>
      <c r="K261" s="14">
        <v>87</v>
      </c>
      <c r="L261" s="14">
        <v>1.88</v>
      </c>
      <c r="M261" s="14">
        <v>1.84</v>
      </c>
      <c r="N261" s="14">
        <v>0.27</v>
      </c>
      <c r="O261" s="14">
        <v>1.03</v>
      </c>
      <c r="P261" s="14">
        <v>3.74</v>
      </c>
      <c r="Q261" s="14">
        <v>0.98</v>
      </c>
      <c r="R261" s="14">
        <v>2.78</v>
      </c>
      <c r="S261">
        <v>472</v>
      </c>
    </row>
    <row r="262" spans="3:19" x14ac:dyDescent="0.25">
      <c r="C262" s="15" t="s">
        <v>302</v>
      </c>
      <c r="D262" s="14">
        <v>229</v>
      </c>
      <c r="E262" s="14" t="s">
        <v>26</v>
      </c>
      <c r="F262" s="14" t="s">
        <v>14</v>
      </c>
      <c r="G262" s="14">
        <v>12.99</v>
      </c>
      <c r="H262" s="14">
        <v>1.67</v>
      </c>
      <c r="I262" s="14">
        <v>2.6</v>
      </c>
      <c r="J262" s="14">
        <v>30</v>
      </c>
      <c r="K262" s="14">
        <v>139</v>
      </c>
      <c r="L262" s="14">
        <v>3.3</v>
      </c>
      <c r="M262" s="14">
        <v>2.89</v>
      </c>
      <c r="N262" s="14">
        <v>0.21</v>
      </c>
      <c r="O262" s="14">
        <v>1.96</v>
      </c>
      <c r="P262" s="14">
        <v>3.35</v>
      </c>
      <c r="Q262" s="14">
        <v>1.31</v>
      </c>
      <c r="R262" s="14">
        <v>3.5</v>
      </c>
      <c r="S262">
        <v>985</v>
      </c>
    </row>
    <row r="263" spans="3:19" x14ac:dyDescent="0.25">
      <c r="C263" s="15" t="s">
        <v>303</v>
      </c>
      <c r="D263" s="14">
        <v>230</v>
      </c>
      <c r="E263" s="14" t="s">
        <v>26</v>
      </c>
      <c r="F263" s="14" t="s">
        <v>14</v>
      </c>
      <c r="G263" s="14">
        <v>11.96</v>
      </c>
      <c r="H263" s="14">
        <v>1.0900000000000001</v>
      </c>
      <c r="I263" s="14">
        <v>2.2999999999999998</v>
      </c>
      <c r="J263" s="14">
        <v>21</v>
      </c>
      <c r="K263" s="14">
        <v>101</v>
      </c>
      <c r="L263" s="14">
        <v>3.38</v>
      </c>
      <c r="M263" s="14">
        <v>2.14</v>
      </c>
      <c r="N263" s="14">
        <v>0.13</v>
      </c>
      <c r="O263" s="14">
        <v>1.65</v>
      </c>
      <c r="P263" s="14">
        <v>3.21</v>
      </c>
      <c r="Q263" s="14">
        <v>0.99</v>
      </c>
      <c r="R263" s="14">
        <v>3.13</v>
      </c>
      <c r="S263">
        <v>886</v>
      </c>
    </row>
    <row r="264" spans="3:19" x14ac:dyDescent="0.25">
      <c r="C264" s="15" t="s">
        <v>304</v>
      </c>
      <c r="D264" s="14">
        <v>231</v>
      </c>
      <c r="E264" s="14" t="s">
        <v>26</v>
      </c>
      <c r="F264" s="14" t="s">
        <v>14</v>
      </c>
      <c r="G264" s="14">
        <v>11.66</v>
      </c>
      <c r="H264" s="14">
        <v>1.88</v>
      </c>
      <c r="I264" s="14">
        <v>1.92</v>
      </c>
      <c r="J264" s="14">
        <v>16</v>
      </c>
      <c r="K264" s="14">
        <v>97</v>
      </c>
      <c r="L264" s="14">
        <v>1.61</v>
      </c>
      <c r="M264" s="14">
        <v>1.57</v>
      </c>
      <c r="N264" s="14">
        <v>0.34</v>
      </c>
      <c r="O264" s="14">
        <v>1.1499999999999999</v>
      </c>
      <c r="P264" s="14">
        <v>3.8</v>
      </c>
      <c r="Q264" s="14">
        <v>1.23</v>
      </c>
      <c r="R264" s="14">
        <v>2.14</v>
      </c>
      <c r="S264">
        <v>428</v>
      </c>
    </row>
    <row r="265" spans="3:19" x14ac:dyDescent="0.25">
      <c r="C265" s="15" t="s">
        <v>305</v>
      </c>
      <c r="D265" s="14">
        <v>232</v>
      </c>
      <c r="E265" s="14" t="s">
        <v>26</v>
      </c>
      <c r="F265" s="14" t="s">
        <v>14</v>
      </c>
      <c r="G265" s="14">
        <v>13.03</v>
      </c>
      <c r="H265" s="14">
        <v>0.9</v>
      </c>
      <c r="I265" s="14">
        <v>1.71</v>
      </c>
      <c r="J265" s="14">
        <v>16</v>
      </c>
      <c r="K265" s="14">
        <v>86</v>
      </c>
      <c r="L265" s="14">
        <v>1.95</v>
      </c>
      <c r="M265" s="14">
        <v>2.0299999999999998</v>
      </c>
      <c r="N265" s="14">
        <v>0.24</v>
      </c>
      <c r="O265" s="14">
        <v>1.46</v>
      </c>
      <c r="P265" s="14">
        <v>4.5999999999999996</v>
      </c>
      <c r="Q265" s="14">
        <v>1.19</v>
      </c>
      <c r="R265" s="14">
        <v>2.48</v>
      </c>
      <c r="S265">
        <v>392</v>
      </c>
    </row>
    <row r="266" spans="3:19" x14ac:dyDescent="0.25">
      <c r="C266" s="15" t="s">
        <v>306</v>
      </c>
      <c r="D266" s="14">
        <v>233</v>
      </c>
      <c r="E266" s="14" t="s">
        <v>26</v>
      </c>
      <c r="F266" s="14" t="s">
        <v>14</v>
      </c>
      <c r="G266" s="14">
        <v>11.84</v>
      </c>
      <c r="H266" s="14">
        <v>2.89</v>
      </c>
      <c r="I266" s="14">
        <v>2.23</v>
      </c>
      <c r="J266" s="14">
        <v>18</v>
      </c>
      <c r="K266" s="14">
        <v>112</v>
      </c>
      <c r="L266" s="14">
        <v>1.72</v>
      </c>
      <c r="M266" s="14">
        <v>1.32</v>
      </c>
      <c r="N266" s="14">
        <v>0.43</v>
      </c>
      <c r="O266" s="14">
        <v>0.95</v>
      </c>
      <c r="P266" s="14">
        <v>2.65</v>
      </c>
      <c r="Q266" s="14">
        <v>0.96</v>
      </c>
      <c r="R266" s="14">
        <v>2.52</v>
      </c>
      <c r="S266">
        <v>500</v>
      </c>
    </row>
    <row r="267" spans="3:19" x14ac:dyDescent="0.25">
      <c r="C267" s="15" t="s">
        <v>307</v>
      </c>
      <c r="D267" s="14">
        <v>234</v>
      </c>
      <c r="E267" s="14" t="s">
        <v>26</v>
      </c>
      <c r="F267" s="14" t="s">
        <v>14</v>
      </c>
      <c r="G267" s="14">
        <v>12.33</v>
      </c>
      <c r="H267" s="14">
        <v>0.99</v>
      </c>
      <c r="I267" s="14">
        <v>1.95</v>
      </c>
      <c r="J267" s="14">
        <v>14.8</v>
      </c>
      <c r="K267" s="14">
        <v>136</v>
      </c>
      <c r="L267" s="14">
        <v>1.9</v>
      </c>
      <c r="M267" s="14">
        <v>1.85</v>
      </c>
      <c r="N267" s="14">
        <v>0.35</v>
      </c>
      <c r="O267" s="14">
        <v>2.76</v>
      </c>
      <c r="P267" s="14">
        <v>3.4</v>
      </c>
      <c r="Q267" s="14">
        <v>1.06</v>
      </c>
      <c r="R267" s="14">
        <v>2.31</v>
      </c>
      <c r="S267">
        <v>750</v>
      </c>
    </row>
    <row r="268" spans="3:19" x14ac:dyDescent="0.25">
      <c r="C268" s="15" t="s">
        <v>308</v>
      </c>
      <c r="D268" s="14">
        <v>235</v>
      </c>
      <c r="E268" s="14" t="s">
        <v>26</v>
      </c>
      <c r="F268" s="14" t="s">
        <v>14</v>
      </c>
      <c r="G268" s="14">
        <v>12.7</v>
      </c>
      <c r="H268" s="14">
        <v>3.87</v>
      </c>
      <c r="I268" s="14">
        <v>2.4</v>
      </c>
      <c r="J268" s="14">
        <v>23</v>
      </c>
      <c r="K268" s="14">
        <v>101</v>
      </c>
      <c r="L268" s="14">
        <v>2.83</v>
      </c>
      <c r="M268" s="14">
        <v>2.5499999999999998</v>
      </c>
      <c r="N268" s="14">
        <v>0.43</v>
      </c>
      <c r="O268" s="14">
        <v>1.95</v>
      </c>
      <c r="P268" s="14">
        <v>2.57</v>
      </c>
      <c r="Q268" s="14">
        <v>1.19</v>
      </c>
      <c r="R268" s="14">
        <v>3.13</v>
      </c>
      <c r="S268">
        <v>463</v>
      </c>
    </row>
    <row r="269" spans="3:19" x14ac:dyDescent="0.25">
      <c r="C269" s="15" t="s">
        <v>309</v>
      </c>
      <c r="D269" s="14">
        <v>236</v>
      </c>
      <c r="E269" s="14" t="s">
        <v>26</v>
      </c>
      <c r="F269" s="14" t="s">
        <v>14</v>
      </c>
      <c r="G269" s="14">
        <v>12</v>
      </c>
      <c r="H269" s="14">
        <v>0.92</v>
      </c>
      <c r="I269" s="14">
        <v>2</v>
      </c>
      <c r="J269" s="14">
        <v>19</v>
      </c>
      <c r="K269" s="14">
        <v>86</v>
      </c>
      <c r="L269" s="14">
        <v>2.42</v>
      </c>
      <c r="M269" s="14">
        <v>2.2599999999999998</v>
      </c>
      <c r="N269" s="14">
        <v>0.3</v>
      </c>
      <c r="O269" s="14">
        <v>1.43</v>
      </c>
      <c r="P269" s="14">
        <v>2.5</v>
      </c>
      <c r="Q269" s="14">
        <v>1.38</v>
      </c>
      <c r="R269" s="14">
        <v>3.12</v>
      </c>
      <c r="S269">
        <v>278</v>
      </c>
    </row>
    <row r="270" spans="3:19" x14ac:dyDescent="0.25">
      <c r="C270" s="15" t="s">
        <v>310</v>
      </c>
      <c r="D270" s="14">
        <v>237</v>
      </c>
      <c r="E270" s="14" t="s">
        <v>26</v>
      </c>
      <c r="F270" s="14" t="s">
        <v>14</v>
      </c>
      <c r="G270" s="14">
        <v>12.72</v>
      </c>
      <c r="H270" s="14">
        <v>1.81</v>
      </c>
      <c r="I270" s="14">
        <v>2.2000000000000002</v>
      </c>
      <c r="J270" s="14">
        <v>18.8</v>
      </c>
      <c r="K270" s="14">
        <v>86</v>
      </c>
      <c r="L270" s="14">
        <v>2.2000000000000002</v>
      </c>
      <c r="M270" s="14">
        <v>2.5299999999999998</v>
      </c>
      <c r="N270" s="14">
        <v>0.26</v>
      </c>
      <c r="O270" s="14">
        <v>1.77</v>
      </c>
      <c r="P270" s="14">
        <v>3.9</v>
      </c>
      <c r="Q270" s="14">
        <v>1.1599999999999999</v>
      </c>
      <c r="R270" s="14">
        <v>3.14</v>
      </c>
      <c r="S270">
        <v>714</v>
      </c>
    </row>
    <row r="271" spans="3:19" x14ac:dyDescent="0.25">
      <c r="C271" s="15" t="s">
        <v>311</v>
      </c>
      <c r="D271" s="14">
        <v>238</v>
      </c>
      <c r="E271" s="14" t="s">
        <v>26</v>
      </c>
      <c r="F271" s="14" t="s">
        <v>14</v>
      </c>
      <c r="G271" s="14">
        <v>12.08</v>
      </c>
      <c r="H271" s="14">
        <v>1.1299999999999999</v>
      </c>
      <c r="I271" s="14">
        <v>2.5099999999999998</v>
      </c>
      <c r="J271" s="14">
        <v>24</v>
      </c>
      <c r="K271" s="14">
        <v>78</v>
      </c>
      <c r="L271" s="14">
        <v>2</v>
      </c>
      <c r="M271" s="14">
        <v>1.58</v>
      </c>
      <c r="N271" s="14">
        <v>0.4</v>
      </c>
      <c r="O271" s="14">
        <v>1.4</v>
      </c>
      <c r="P271" s="14">
        <v>2.2000000000000002</v>
      </c>
      <c r="Q271" s="14">
        <v>1.31</v>
      </c>
      <c r="R271" s="14">
        <v>2.72</v>
      </c>
      <c r="S271">
        <v>630</v>
      </c>
    </row>
    <row r="272" spans="3:19" x14ac:dyDescent="0.25">
      <c r="C272" s="15" t="s">
        <v>312</v>
      </c>
      <c r="D272" s="14">
        <v>239</v>
      </c>
      <c r="E272" s="14" t="s">
        <v>26</v>
      </c>
      <c r="F272" s="14" t="s">
        <v>14</v>
      </c>
      <c r="G272" s="14">
        <v>13.05</v>
      </c>
      <c r="H272" s="14">
        <v>3.86</v>
      </c>
      <c r="I272" s="14">
        <v>2.3199999999999998</v>
      </c>
      <c r="J272" s="14">
        <v>22.5</v>
      </c>
      <c r="K272" s="14">
        <v>85</v>
      </c>
      <c r="L272" s="14">
        <v>1.65</v>
      </c>
      <c r="M272" s="14">
        <v>1.59</v>
      </c>
      <c r="N272" s="14">
        <v>0.61</v>
      </c>
      <c r="O272" s="14">
        <v>1.62</v>
      </c>
      <c r="P272" s="14">
        <v>4.8</v>
      </c>
      <c r="Q272" s="14">
        <v>0.84</v>
      </c>
      <c r="R272" s="14">
        <v>2.0099999999999998</v>
      </c>
      <c r="S272">
        <v>515</v>
      </c>
    </row>
    <row r="273" spans="3:19" x14ac:dyDescent="0.25">
      <c r="C273" s="15" t="s">
        <v>313</v>
      </c>
      <c r="D273" s="14">
        <v>240</v>
      </c>
      <c r="E273" s="14" t="s">
        <v>26</v>
      </c>
      <c r="F273" s="14" t="s">
        <v>14</v>
      </c>
      <c r="G273" s="14">
        <v>11.84</v>
      </c>
      <c r="H273" s="14">
        <v>0.89</v>
      </c>
      <c r="I273" s="14">
        <v>2.58</v>
      </c>
      <c r="J273" s="14">
        <v>18</v>
      </c>
      <c r="K273" s="14">
        <v>94</v>
      </c>
      <c r="L273" s="14">
        <v>2.2000000000000002</v>
      </c>
      <c r="M273" s="14">
        <v>2.21</v>
      </c>
      <c r="N273" s="14">
        <v>0.22</v>
      </c>
      <c r="O273" s="14">
        <v>2.35</v>
      </c>
      <c r="P273" s="14">
        <v>3.05</v>
      </c>
      <c r="Q273" s="14">
        <v>0.79</v>
      </c>
      <c r="R273" s="14">
        <v>3.08</v>
      </c>
      <c r="S273">
        <v>520</v>
      </c>
    </row>
    <row r="274" spans="3:19" x14ac:dyDescent="0.25">
      <c r="C274" s="15" t="s">
        <v>314</v>
      </c>
      <c r="D274" s="14">
        <v>241</v>
      </c>
      <c r="E274" s="14" t="s">
        <v>26</v>
      </c>
      <c r="F274" s="14" t="s">
        <v>14</v>
      </c>
      <c r="G274" s="14">
        <v>12.67</v>
      </c>
      <c r="H274" s="14">
        <v>0.98</v>
      </c>
      <c r="I274" s="14">
        <v>2.2400000000000002</v>
      </c>
      <c r="J274" s="14">
        <v>18</v>
      </c>
      <c r="K274" s="14">
        <v>99</v>
      </c>
      <c r="L274" s="14">
        <v>2.2000000000000002</v>
      </c>
      <c r="M274" s="14">
        <v>1.94</v>
      </c>
      <c r="N274" s="14">
        <v>0.3</v>
      </c>
      <c r="O274" s="14">
        <v>1.46</v>
      </c>
      <c r="P274" s="14">
        <v>2.62</v>
      </c>
      <c r="Q274" s="14">
        <v>1.23</v>
      </c>
      <c r="R274" s="14">
        <v>3.16</v>
      </c>
      <c r="S274">
        <v>450</v>
      </c>
    </row>
    <row r="275" spans="3:19" x14ac:dyDescent="0.25">
      <c r="C275" s="15" t="s">
        <v>315</v>
      </c>
      <c r="D275" s="14">
        <v>242</v>
      </c>
      <c r="E275" s="14" t="s">
        <v>26</v>
      </c>
      <c r="F275" s="14" t="s">
        <v>14</v>
      </c>
      <c r="G275" s="14">
        <v>12.16</v>
      </c>
      <c r="H275" s="14">
        <v>1.61</v>
      </c>
      <c r="I275" s="14">
        <v>2.31</v>
      </c>
      <c r="J275" s="14">
        <v>22.8</v>
      </c>
      <c r="K275" s="14">
        <v>90</v>
      </c>
      <c r="L275" s="14">
        <v>1.78</v>
      </c>
      <c r="M275" s="14">
        <v>1.69</v>
      </c>
      <c r="N275" s="14">
        <v>0.43</v>
      </c>
      <c r="O275" s="14">
        <v>1.56</v>
      </c>
      <c r="P275" s="14">
        <v>2.4500000000000002</v>
      </c>
      <c r="Q275" s="14">
        <v>1.33</v>
      </c>
      <c r="R275" s="14">
        <v>2.2599999999999998</v>
      </c>
      <c r="S275">
        <v>495</v>
      </c>
    </row>
    <row r="276" spans="3:19" x14ac:dyDescent="0.25">
      <c r="C276" s="15" t="s">
        <v>316</v>
      </c>
      <c r="D276" s="14">
        <v>243</v>
      </c>
      <c r="E276" s="14" t="s">
        <v>26</v>
      </c>
      <c r="F276" s="14" t="s">
        <v>14</v>
      </c>
      <c r="G276" s="14">
        <v>11.65</v>
      </c>
      <c r="H276" s="14">
        <v>1.67</v>
      </c>
      <c r="I276" s="14">
        <v>2.62</v>
      </c>
      <c r="J276" s="14">
        <v>26</v>
      </c>
      <c r="K276" s="14">
        <v>88</v>
      </c>
      <c r="L276" s="14">
        <v>1.92</v>
      </c>
      <c r="M276" s="14">
        <v>1.61</v>
      </c>
      <c r="N276" s="14">
        <v>0.4</v>
      </c>
      <c r="O276" s="14">
        <v>1.34</v>
      </c>
      <c r="P276" s="14">
        <v>2.6</v>
      </c>
      <c r="Q276" s="14">
        <v>1.36</v>
      </c>
      <c r="R276" s="14">
        <v>3.21</v>
      </c>
      <c r="S276">
        <v>562</v>
      </c>
    </row>
    <row r="277" spans="3:19" x14ac:dyDescent="0.25">
      <c r="C277" s="15" t="s">
        <v>317</v>
      </c>
      <c r="D277" s="14">
        <v>244</v>
      </c>
      <c r="E277" s="14" t="s">
        <v>26</v>
      </c>
      <c r="F277" s="14" t="s">
        <v>14</v>
      </c>
      <c r="G277" s="14">
        <v>11.64</v>
      </c>
      <c r="H277" s="14">
        <v>2.06</v>
      </c>
      <c r="I277" s="14">
        <v>2.46</v>
      </c>
      <c r="J277" s="14">
        <v>21.6</v>
      </c>
      <c r="K277" s="14">
        <v>84</v>
      </c>
      <c r="L277" s="14">
        <v>1.95</v>
      </c>
      <c r="M277" s="14">
        <v>1.69</v>
      </c>
      <c r="N277" s="14">
        <v>0.48</v>
      </c>
      <c r="O277" s="14">
        <v>1.35</v>
      </c>
      <c r="P277" s="14">
        <v>2.8</v>
      </c>
      <c r="Q277" s="14">
        <v>1</v>
      </c>
      <c r="R277" s="14">
        <v>2.75</v>
      </c>
      <c r="S277">
        <v>680</v>
      </c>
    </row>
    <row r="278" spans="3:19" x14ac:dyDescent="0.25">
      <c r="C278" s="15" t="s">
        <v>318</v>
      </c>
      <c r="D278" s="14">
        <v>245</v>
      </c>
      <c r="E278" s="14" t="s">
        <v>26</v>
      </c>
      <c r="F278" s="14" t="s">
        <v>14</v>
      </c>
      <c r="G278" s="14">
        <v>12.08</v>
      </c>
      <c r="H278" s="14">
        <v>1.33</v>
      </c>
      <c r="I278" s="14">
        <v>2.2999999999999998</v>
      </c>
      <c r="J278" s="14">
        <v>23.6</v>
      </c>
      <c r="K278" s="14">
        <v>70</v>
      </c>
      <c r="L278" s="14">
        <v>2.2000000000000002</v>
      </c>
      <c r="M278" s="14">
        <v>1.59</v>
      </c>
      <c r="N278" s="14">
        <v>0.42</v>
      </c>
      <c r="O278" s="14">
        <v>1.38</v>
      </c>
      <c r="P278" s="14">
        <v>1.74</v>
      </c>
      <c r="Q278" s="14">
        <v>1.07</v>
      </c>
      <c r="R278" s="14">
        <v>3.21</v>
      </c>
      <c r="S278">
        <v>625</v>
      </c>
    </row>
    <row r="279" spans="3:19" x14ac:dyDescent="0.25">
      <c r="C279" s="15" t="s">
        <v>319</v>
      </c>
      <c r="D279" s="14">
        <v>246</v>
      </c>
      <c r="E279" s="14" t="s">
        <v>26</v>
      </c>
      <c r="F279" s="14" t="s">
        <v>14</v>
      </c>
      <c r="G279" s="14">
        <v>12.08</v>
      </c>
      <c r="H279" s="14">
        <v>1.83</v>
      </c>
      <c r="I279" s="14">
        <v>2.3199999999999998</v>
      </c>
      <c r="J279" s="14">
        <v>18.5</v>
      </c>
      <c r="K279" s="14">
        <v>81</v>
      </c>
      <c r="L279" s="14">
        <v>1.6</v>
      </c>
      <c r="M279" s="14">
        <v>1.5</v>
      </c>
      <c r="N279" s="14">
        <v>0.52</v>
      </c>
      <c r="O279" s="14">
        <v>1.64</v>
      </c>
      <c r="P279" s="14">
        <v>2.4</v>
      </c>
      <c r="Q279" s="14">
        <v>1.08</v>
      </c>
      <c r="R279" s="14">
        <v>2.27</v>
      </c>
      <c r="S279">
        <v>480</v>
      </c>
    </row>
    <row r="280" spans="3:19" x14ac:dyDescent="0.25">
      <c r="C280" s="15" t="s">
        <v>320</v>
      </c>
      <c r="D280" s="14">
        <v>247</v>
      </c>
      <c r="E280" s="14" t="s">
        <v>26</v>
      </c>
      <c r="F280" s="14" t="s">
        <v>14</v>
      </c>
      <c r="G280" s="14">
        <v>12</v>
      </c>
      <c r="H280" s="14">
        <v>1.51</v>
      </c>
      <c r="I280" s="14">
        <v>2.42</v>
      </c>
      <c r="J280" s="14">
        <v>22</v>
      </c>
      <c r="K280" s="14">
        <v>86</v>
      </c>
      <c r="L280" s="14">
        <v>1.45</v>
      </c>
      <c r="M280" s="14">
        <v>1.25</v>
      </c>
      <c r="N280" s="14">
        <v>0.5</v>
      </c>
      <c r="O280" s="14">
        <v>1.63</v>
      </c>
      <c r="P280" s="14">
        <v>3.6</v>
      </c>
      <c r="Q280" s="14">
        <v>1.05</v>
      </c>
      <c r="R280" s="14">
        <v>2.65</v>
      </c>
      <c r="S280">
        <v>450</v>
      </c>
    </row>
    <row r="281" spans="3:19" x14ac:dyDescent="0.25">
      <c r="C281" s="15" t="s">
        <v>321</v>
      </c>
      <c r="D281" s="14">
        <v>248</v>
      </c>
      <c r="E281" s="14" t="s">
        <v>26</v>
      </c>
      <c r="F281" s="14" t="s">
        <v>14</v>
      </c>
      <c r="G281" s="14">
        <v>12.69</v>
      </c>
      <c r="H281" s="14">
        <v>1.53</v>
      </c>
      <c r="I281" s="14">
        <v>2.2599999999999998</v>
      </c>
      <c r="J281" s="14">
        <v>20.7</v>
      </c>
      <c r="K281" s="14">
        <v>80</v>
      </c>
      <c r="L281" s="14">
        <v>1.38</v>
      </c>
      <c r="M281" s="14">
        <v>1.46</v>
      </c>
      <c r="N281" s="14">
        <v>0.57999999999999996</v>
      </c>
      <c r="O281" s="14">
        <v>1.62</v>
      </c>
      <c r="P281" s="14">
        <v>3.05</v>
      </c>
      <c r="Q281" s="14">
        <v>0.96</v>
      </c>
      <c r="R281" s="14">
        <v>2.06</v>
      </c>
      <c r="S281">
        <v>495</v>
      </c>
    </row>
    <row r="282" spans="3:19" x14ac:dyDescent="0.25">
      <c r="C282" s="15" t="s">
        <v>322</v>
      </c>
      <c r="D282" s="14">
        <v>249</v>
      </c>
      <c r="E282" s="14" t="s">
        <v>26</v>
      </c>
      <c r="F282" s="14" t="s">
        <v>14</v>
      </c>
      <c r="G282" s="14">
        <v>12.29</v>
      </c>
      <c r="H282" s="14">
        <v>2.83</v>
      </c>
      <c r="I282" s="14">
        <v>2.2200000000000002</v>
      </c>
      <c r="J282" s="14">
        <v>18</v>
      </c>
      <c r="K282" s="14">
        <v>88</v>
      </c>
      <c r="L282" s="14">
        <v>2.4500000000000002</v>
      </c>
      <c r="M282" s="14">
        <v>2.25</v>
      </c>
      <c r="N282" s="14">
        <v>0.25</v>
      </c>
      <c r="O282" s="14">
        <v>1.99</v>
      </c>
      <c r="P282" s="14">
        <v>2.15</v>
      </c>
      <c r="Q282" s="14">
        <v>1.1499999999999999</v>
      </c>
      <c r="R282" s="14">
        <v>3.3</v>
      </c>
      <c r="S282">
        <v>290</v>
      </c>
    </row>
    <row r="283" spans="3:19" x14ac:dyDescent="0.25">
      <c r="C283" s="15" t="s">
        <v>323</v>
      </c>
      <c r="D283" s="14">
        <v>250</v>
      </c>
      <c r="E283" s="14" t="s">
        <v>26</v>
      </c>
      <c r="F283" s="14" t="s">
        <v>14</v>
      </c>
      <c r="G283" s="14">
        <v>11.62</v>
      </c>
      <c r="H283" s="14">
        <v>1.99</v>
      </c>
      <c r="I283" s="14">
        <v>2.2799999999999998</v>
      </c>
      <c r="J283" s="14">
        <v>18</v>
      </c>
      <c r="K283" s="14">
        <v>98</v>
      </c>
      <c r="L283" s="14">
        <v>3.02</v>
      </c>
      <c r="M283" s="14">
        <v>2.2599999999999998</v>
      </c>
      <c r="N283" s="14">
        <v>0.17</v>
      </c>
      <c r="O283" s="14">
        <v>1.35</v>
      </c>
      <c r="P283" s="14">
        <v>3.25</v>
      </c>
      <c r="Q283" s="14">
        <v>1.1599999999999999</v>
      </c>
      <c r="R283" s="14">
        <v>2.96</v>
      </c>
      <c r="S283">
        <v>345</v>
      </c>
    </row>
    <row r="284" spans="3:19" x14ac:dyDescent="0.25">
      <c r="C284" s="15" t="s">
        <v>324</v>
      </c>
      <c r="D284" s="14">
        <v>251</v>
      </c>
      <c r="E284" s="14" t="s">
        <v>26</v>
      </c>
      <c r="F284" s="14" t="s">
        <v>14</v>
      </c>
      <c r="G284" s="14">
        <v>12.47</v>
      </c>
      <c r="H284" s="14">
        <v>1.52</v>
      </c>
      <c r="I284" s="14">
        <v>2.2000000000000002</v>
      </c>
      <c r="J284" s="14">
        <v>19</v>
      </c>
      <c r="K284" s="14">
        <v>162</v>
      </c>
      <c r="L284" s="14">
        <v>2.5</v>
      </c>
      <c r="M284" s="14">
        <v>2.27</v>
      </c>
      <c r="N284" s="14">
        <v>0.32</v>
      </c>
      <c r="O284" s="14">
        <v>3.28</v>
      </c>
      <c r="P284" s="14">
        <v>2.6</v>
      </c>
      <c r="Q284" s="14">
        <v>1.1599999999999999</v>
      </c>
      <c r="R284" s="14">
        <v>2.63</v>
      </c>
      <c r="S284">
        <v>937</v>
      </c>
    </row>
    <row r="285" spans="3:19" x14ac:dyDescent="0.25">
      <c r="C285" s="15" t="s">
        <v>325</v>
      </c>
      <c r="D285" s="14">
        <v>252</v>
      </c>
      <c r="E285" s="14" t="s">
        <v>26</v>
      </c>
      <c r="F285" s="14" t="s">
        <v>14</v>
      </c>
      <c r="G285" s="14">
        <v>11.81</v>
      </c>
      <c r="H285" s="14">
        <v>2.12</v>
      </c>
      <c r="I285" s="14">
        <v>2.74</v>
      </c>
      <c r="J285" s="14">
        <v>21.5</v>
      </c>
      <c r="K285" s="14">
        <v>134</v>
      </c>
      <c r="L285" s="14">
        <v>1.6</v>
      </c>
      <c r="M285" s="14">
        <v>0.99</v>
      </c>
      <c r="N285" s="14">
        <v>0.14000000000000001</v>
      </c>
      <c r="O285" s="14">
        <v>1.56</v>
      </c>
      <c r="P285" s="14">
        <v>2.5</v>
      </c>
      <c r="Q285" s="14">
        <v>0.95</v>
      </c>
      <c r="R285" s="14">
        <v>2.2599999999999998</v>
      </c>
      <c r="S285">
        <v>625</v>
      </c>
    </row>
    <row r="286" spans="3:19" x14ac:dyDescent="0.25">
      <c r="C286" s="15" t="s">
        <v>326</v>
      </c>
      <c r="D286" s="14">
        <v>253</v>
      </c>
      <c r="E286" s="14" t="s">
        <v>26</v>
      </c>
      <c r="F286" s="14" t="s">
        <v>14</v>
      </c>
      <c r="G286" s="14">
        <v>12.29</v>
      </c>
      <c r="H286" s="14">
        <v>1.41</v>
      </c>
      <c r="I286" s="14">
        <v>1.98</v>
      </c>
      <c r="J286" s="14">
        <v>16</v>
      </c>
      <c r="K286" s="14">
        <v>85</v>
      </c>
      <c r="L286" s="14">
        <v>2.5499999999999998</v>
      </c>
      <c r="M286" s="14">
        <v>2.5</v>
      </c>
      <c r="N286" s="14">
        <v>0.28999999999999998</v>
      </c>
      <c r="O286" s="14">
        <v>1.77</v>
      </c>
      <c r="P286" s="14">
        <v>2.9</v>
      </c>
      <c r="Q286" s="14">
        <v>1.23</v>
      </c>
      <c r="R286" s="14">
        <v>2.74</v>
      </c>
      <c r="S286">
        <v>428</v>
      </c>
    </row>
    <row r="287" spans="3:19" x14ac:dyDescent="0.25">
      <c r="C287" s="15" t="s">
        <v>327</v>
      </c>
      <c r="D287" s="14">
        <v>254</v>
      </c>
      <c r="E287" s="14" t="s">
        <v>26</v>
      </c>
      <c r="F287" s="14" t="s">
        <v>14</v>
      </c>
      <c r="G287" s="14">
        <v>12.37</v>
      </c>
      <c r="H287" s="14">
        <v>1.07</v>
      </c>
      <c r="I287" s="14">
        <v>2.1</v>
      </c>
      <c r="J287" s="14">
        <v>18.5</v>
      </c>
      <c r="K287" s="14">
        <v>88</v>
      </c>
      <c r="L287" s="14">
        <v>3.52</v>
      </c>
      <c r="M287" s="14">
        <v>3.75</v>
      </c>
      <c r="N287" s="14">
        <v>0.24</v>
      </c>
      <c r="O287" s="14">
        <v>1.95</v>
      </c>
      <c r="P287" s="14">
        <v>4.5</v>
      </c>
      <c r="Q287" s="14">
        <v>1.04</v>
      </c>
      <c r="R287" s="14">
        <v>2.77</v>
      </c>
      <c r="S287">
        <v>660</v>
      </c>
    </row>
    <row r="288" spans="3:19" x14ac:dyDescent="0.25">
      <c r="C288" s="15" t="s">
        <v>328</v>
      </c>
      <c r="D288" s="14">
        <v>255</v>
      </c>
      <c r="E288" s="14" t="s">
        <v>26</v>
      </c>
      <c r="F288" s="14" t="s">
        <v>14</v>
      </c>
      <c r="G288" s="14">
        <v>12.29</v>
      </c>
      <c r="H288" s="14">
        <v>3.17</v>
      </c>
      <c r="I288" s="14">
        <v>2.21</v>
      </c>
      <c r="J288" s="14">
        <v>18</v>
      </c>
      <c r="K288" s="14">
        <v>88</v>
      </c>
      <c r="L288" s="14">
        <v>2.85</v>
      </c>
      <c r="M288" s="14">
        <v>2.99</v>
      </c>
      <c r="N288" s="14">
        <v>0.45</v>
      </c>
      <c r="O288" s="14">
        <v>2.81</v>
      </c>
      <c r="P288" s="14">
        <v>2.2999999999999998</v>
      </c>
      <c r="Q288" s="14">
        <v>1.42</v>
      </c>
      <c r="R288" s="14">
        <v>2.83</v>
      </c>
      <c r="S288">
        <v>406</v>
      </c>
    </row>
    <row r="289" spans="3:19" x14ac:dyDescent="0.25">
      <c r="C289" s="15" t="s">
        <v>329</v>
      </c>
      <c r="D289" s="14">
        <v>256</v>
      </c>
      <c r="E289" s="14" t="s">
        <v>26</v>
      </c>
      <c r="F289" s="14" t="s">
        <v>14</v>
      </c>
      <c r="G289" s="14">
        <v>12.08</v>
      </c>
      <c r="H289" s="14">
        <v>2.08</v>
      </c>
      <c r="I289" s="14">
        <v>1.7</v>
      </c>
      <c r="J289" s="14">
        <v>17.5</v>
      </c>
      <c r="K289" s="14">
        <v>97</v>
      </c>
      <c r="L289" s="14">
        <v>2.23</v>
      </c>
      <c r="M289" s="14">
        <v>2.17</v>
      </c>
      <c r="N289" s="14">
        <v>0.26</v>
      </c>
      <c r="O289" s="14">
        <v>1.4</v>
      </c>
      <c r="P289" s="14">
        <v>3.3</v>
      </c>
      <c r="Q289" s="14">
        <v>1.27</v>
      </c>
      <c r="R289" s="14">
        <v>2.96</v>
      </c>
      <c r="S289">
        <v>710</v>
      </c>
    </row>
    <row r="290" spans="3:19" x14ac:dyDescent="0.25">
      <c r="C290" s="15" t="s">
        <v>330</v>
      </c>
      <c r="D290" s="14">
        <v>257</v>
      </c>
      <c r="E290" s="14" t="s">
        <v>26</v>
      </c>
      <c r="F290" s="14" t="s">
        <v>14</v>
      </c>
      <c r="G290" s="14">
        <v>12.6</v>
      </c>
      <c r="H290" s="14">
        <v>1.34</v>
      </c>
      <c r="I290" s="14">
        <v>1.9</v>
      </c>
      <c r="J290" s="14">
        <v>18.5</v>
      </c>
      <c r="K290" s="14">
        <v>88</v>
      </c>
      <c r="L290" s="14">
        <v>1.45</v>
      </c>
      <c r="M290" s="14">
        <v>1.36</v>
      </c>
      <c r="N290" s="14">
        <v>0.28999999999999998</v>
      </c>
      <c r="O290" s="14">
        <v>1.35</v>
      </c>
      <c r="P290" s="14">
        <v>2.4500000000000002</v>
      </c>
      <c r="Q290" s="14">
        <v>1.04</v>
      </c>
      <c r="R290" s="14">
        <v>2.77</v>
      </c>
      <c r="S290">
        <v>562</v>
      </c>
    </row>
    <row r="291" spans="3:19" x14ac:dyDescent="0.25">
      <c r="C291" s="15" t="s">
        <v>331</v>
      </c>
      <c r="D291" s="14">
        <v>258</v>
      </c>
      <c r="E291" s="14" t="s">
        <v>26</v>
      </c>
      <c r="F291" s="14" t="s">
        <v>14</v>
      </c>
      <c r="G291" s="14">
        <v>12.34</v>
      </c>
      <c r="H291" s="14">
        <v>2.4500000000000002</v>
      </c>
      <c r="I291" s="14">
        <v>2.46</v>
      </c>
      <c r="J291" s="14">
        <v>21</v>
      </c>
      <c r="K291" s="14">
        <v>98</v>
      </c>
      <c r="L291" s="14">
        <v>2.56</v>
      </c>
      <c r="M291" s="14">
        <v>2.11</v>
      </c>
      <c r="N291" s="14">
        <v>0.34</v>
      </c>
      <c r="O291" s="14">
        <v>1.31</v>
      </c>
      <c r="P291" s="14">
        <v>2.8</v>
      </c>
      <c r="Q291" s="14">
        <v>0.8</v>
      </c>
      <c r="R291" s="14">
        <v>3.38</v>
      </c>
      <c r="S291">
        <v>438</v>
      </c>
    </row>
    <row r="292" spans="3:19" x14ac:dyDescent="0.25">
      <c r="C292" s="15" t="s">
        <v>332</v>
      </c>
      <c r="D292" s="14">
        <v>259</v>
      </c>
      <c r="E292" s="14" t="s">
        <v>26</v>
      </c>
      <c r="F292" s="14" t="s">
        <v>14</v>
      </c>
      <c r="G292" s="14">
        <v>11.82</v>
      </c>
      <c r="H292" s="14">
        <v>1.72</v>
      </c>
      <c r="I292" s="14">
        <v>1.88</v>
      </c>
      <c r="J292" s="14">
        <v>19.5</v>
      </c>
      <c r="K292" s="14">
        <v>86</v>
      </c>
      <c r="L292" s="14">
        <v>2.5</v>
      </c>
      <c r="M292" s="14">
        <v>1.64</v>
      </c>
      <c r="N292" s="14">
        <v>0.37</v>
      </c>
      <c r="O292" s="14">
        <v>1.42</v>
      </c>
      <c r="P292" s="14">
        <v>2.06</v>
      </c>
      <c r="Q292" s="14">
        <v>0.94</v>
      </c>
      <c r="R292" s="14">
        <v>2.44</v>
      </c>
      <c r="S292">
        <v>415</v>
      </c>
    </row>
    <row r="293" spans="3:19" x14ac:dyDescent="0.25">
      <c r="C293" s="15" t="s">
        <v>333</v>
      </c>
      <c r="D293" s="14">
        <v>260</v>
      </c>
      <c r="E293" s="14" t="s">
        <v>26</v>
      </c>
      <c r="F293" s="14" t="s">
        <v>14</v>
      </c>
      <c r="G293" s="14">
        <v>12.51</v>
      </c>
      <c r="H293" s="14">
        <v>1.73</v>
      </c>
      <c r="I293" s="14">
        <v>1.98</v>
      </c>
      <c r="J293" s="14">
        <v>20.5</v>
      </c>
      <c r="K293" s="14">
        <v>85</v>
      </c>
      <c r="L293" s="14">
        <v>2.2000000000000002</v>
      </c>
      <c r="M293" s="14">
        <v>1.92</v>
      </c>
      <c r="N293" s="14">
        <v>0.32</v>
      </c>
      <c r="O293" s="14">
        <v>1.48</v>
      </c>
      <c r="P293" s="14">
        <v>2.94</v>
      </c>
      <c r="Q293" s="14">
        <v>1.04</v>
      </c>
      <c r="R293" s="14">
        <v>3.57</v>
      </c>
      <c r="S293">
        <v>672</v>
      </c>
    </row>
    <row r="294" spans="3:19" x14ac:dyDescent="0.25">
      <c r="C294" s="15" t="s">
        <v>334</v>
      </c>
      <c r="D294" s="14">
        <v>261</v>
      </c>
      <c r="E294" s="14" t="s">
        <v>26</v>
      </c>
      <c r="F294" s="14" t="s">
        <v>14</v>
      </c>
      <c r="G294" s="14">
        <v>12.42</v>
      </c>
      <c r="H294" s="14">
        <v>2.5499999999999998</v>
      </c>
      <c r="I294" s="14">
        <v>2.27</v>
      </c>
      <c r="J294" s="14">
        <v>22</v>
      </c>
      <c r="K294" s="14">
        <v>90</v>
      </c>
      <c r="L294" s="14">
        <v>1.68</v>
      </c>
      <c r="M294" s="14">
        <v>1.84</v>
      </c>
      <c r="N294" s="14">
        <v>0.66</v>
      </c>
      <c r="O294" s="14">
        <v>1.42</v>
      </c>
      <c r="P294" s="14">
        <v>2.7</v>
      </c>
      <c r="Q294" s="14">
        <v>0.86</v>
      </c>
      <c r="R294" s="14">
        <v>3.3</v>
      </c>
      <c r="S294">
        <v>315</v>
      </c>
    </row>
    <row r="295" spans="3:19" x14ac:dyDescent="0.25">
      <c r="C295" s="15" t="s">
        <v>335</v>
      </c>
      <c r="D295" s="14">
        <v>262</v>
      </c>
      <c r="E295" s="14" t="s">
        <v>26</v>
      </c>
      <c r="F295" s="14" t="s">
        <v>14</v>
      </c>
      <c r="G295" s="14">
        <v>12.25</v>
      </c>
      <c r="H295" s="14">
        <v>1.73</v>
      </c>
      <c r="I295" s="14">
        <v>2.12</v>
      </c>
      <c r="J295" s="14">
        <v>19</v>
      </c>
      <c r="K295" s="14">
        <v>80</v>
      </c>
      <c r="L295" s="14">
        <v>1.65</v>
      </c>
      <c r="M295" s="14">
        <v>2.0299999999999998</v>
      </c>
      <c r="N295" s="14">
        <v>0.37</v>
      </c>
      <c r="O295" s="14">
        <v>1.63</v>
      </c>
      <c r="P295" s="14">
        <v>3.4</v>
      </c>
      <c r="Q295" s="14">
        <v>1</v>
      </c>
      <c r="R295" s="14">
        <v>3.17</v>
      </c>
      <c r="S295">
        <v>510</v>
      </c>
    </row>
    <row r="296" spans="3:19" x14ac:dyDescent="0.25">
      <c r="C296" s="15" t="s">
        <v>336</v>
      </c>
      <c r="D296" s="14">
        <v>263</v>
      </c>
      <c r="E296" s="14" t="s">
        <v>26</v>
      </c>
      <c r="F296" s="14" t="s">
        <v>14</v>
      </c>
      <c r="G296" s="14">
        <v>12.72</v>
      </c>
      <c r="H296" s="14">
        <v>1.75</v>
      </c>
      <c r="I296" s="14">
        <v>2.2799999999999998</v>
      </c>
      <c r="J296" s="14">
        <v>22.5</v>
      </c>
      <c r="K296" s="14">
        <v>84</v>
      </c>
      <c r="L296" s="14">
        <v>1.38</v>
      </c>
      <c r="M296" s="14">
        <v>1.76</v>
      </c>
      <c r="N296" s="14">
        <v>0.48</v>
      </c>
      <c r="O296" s="14">
        <v>1.63</v>
      </c>
      <c r="P296" s="14">
        <v>3.3</v>
      </c>
      <c r="Q296" s="14">
        <v>0.88</v>
      </c>
      <c r="R296" s="14">
        <v>2.42</v>
      </c>
      <c r="S296">
        <v>488</v>
      </c>
    </row>
    <row r="297" spans="3:19" x14ac:dyDescent="0.25">
      <c r="C297" s="15" t="s">
        <v>337</v>
      </c>
      <c r="D297" s="14">
        <v>264</v>
      </c>
      <c r="E297" s="14" t="s">
        <v>26</v>
      </c>
      <c r="F297" s="14" t="s">
        <v>14</v>
      </c>
      <c r="G297" s="14">
        <v>12.22</v>
      </c>
      <c r="H297" s="14">
        <v>1.29</v>
      </c>
      <c r="I297" s="14">
        <v>1.94</v>
      </c>
      <c r="J297" s="14">
        <v>19</v>
      </c>
      <c r="K297" s="14">
        <v>92</v>
      </c>
      <c r="L297" s="14">
        <v>2.36</v>
      </c>
      <c r="M297" s="14">
        <v>2.04</v>
      </c>
      <c r="N297" s="14">
        <v>0.39</v>
      </c>
      <c r="O297" s="14">
        <v>2.08</v>
      </c>
      <c r="P297" s="14">
        <v>2.7</v>
      </c>
      <c r="Q297" s="14">
        <v>0.86</v>
      </c>
      <c r="R297" s="14">
        <v>3.02</v>
      </c>
      <c r="S297">
        <v>312</v>
      </c>
    </row>
    <row r="298" spans="3:19" x14ac:dyDescent="0.25">
      <c r="C298" s="15" t="s">
        <v>338</v>
      </c>
      <c r="D298" s="14">
        <v>265</v>
      </c>
      <c r="E298" s="14" t="s">
        <v>26</v>
      </c>
      <c r="F298" s="14" t="s">
        <v>14</v>
      </c>
      <c r="G298" s="14">
        <v>11.61</v>
      </c>
      <c r="H298" s="14">
        <v>1.35</v>
      </c>
      <c r="I298" s="14">
        <v>2.7</v>
      </c>
      <c r="J298" s="14">
        <v>20</v>
      </c>
      <c r="K298" s="14">
        <v>94</v>
      </c>
      <c r="L298" s="14">
        <v>2.74</v>
      </c>
      <c r="M298" s="14">
        <v>2.92</v>
      </c>
      <c r="N298" s="14">
        <v>0.28999999999999998</v>
      </c>
      <c r="O298" s="14">
        <v>2.4900000000000002</v>
      </c>
      <c r="P298" s="14">
        <v>2.65</v>
      </c>
      <c r="Q298" s="14">
        <v>0.96</v>
      </c>
      <c r="R298" s="14">
        <v>3.26</v>
      </c>
      <c r="S298">
        <v>680</v>
      </c>
    </row>
    <row r="299" spans="3:19" x14ac:dyDescent="0.25">
      <c r="C299" s="15" t="s">
        <v>339</v>
      </c>
      <c r="D299" s="14">
        <v>266</v>
      </c>
      <c r="E299" s="14" t="s">
        <v>26</v>
      </c>
      <c r="F299" s="14" t="s">
        <v>14</v>
      </c>
      <c r="G299" s="14">
        <v>11.46</v>
      </c>
      <c r="H299" s="14">
        <v>3.74</v>
      </c>
      <c r="I299" s="14">
        <v>1.82</v>
      </c>
      <c r="J299" s="14">
        <v>19.5</v>
      </c>
      <c r="K299" s="14">
        <v>107</v>
      </c>
      <c r="L299" s="14">
        <v>3.18</v>
      </c>
      <c r="M299" s="14">
        <v>2.58</v>
      </c>
      <c r="N299" s="14">
        <v>0.24</v>
      </c>
      <c r="O299" s="14">
        <v>3.58</v>
      </c>
      <c r="P299" s="14">
        <v>2.9</v>
      </c>
      <c r="Q299" s="14">
        <v>0.75</v>
      </c>
      <c r="R299" s="14">
        <v>2.81</v>
      </c>
      <c r="S299">
        <v>562</v>
      </c>
    </row>
    <row r="300" spans="3:19" x14ac:dyDescent="0.25">
      <c r="C300" s="15" t="s">
        <v>340</v>
      </c>
      <c r="D300" s="14">
        <v>267</v>
      </c>
      <c r="E300" s="14" t="s">
        <v>26</v>
      </c>
      <c r="F300" s="14" t="s">
        <v>14</v>
      </c>
      <c r="G300" s="14">
        <v>12.52</v>
      </c>
      <c r="H300" s="14">
        <v>2.4300000000000002</v>
      </c>
      <c r="I300" s="14">
        <v>2.17</v>
      </c>
      <c r="J300" s="14">
        <v>21</v>
      </c>
      <c r="K300" s="14">
        <v>88</v>
      </c>
      <c r="L300" s="14">
        <v>2.5499999999999998</v>
      </c>
      <c r="M300" s="14">
        <v>2.27</v>
      </c>
      <c r="N300" s="14">
        <v>0.26</v>
      </c>
      <c r="O300" s="14">
        <v>1.22</v>
      </c>
      <c r="P300" s="14">
        <v>2</v>
      </c>
      <c r="Q300" s="14">
        <v>0.9</v>
      </c>
      <c r="R300" s="14">
        <v>2.78</v>
      </c>
      <c r="S300">
        <v>325</v>
      </c>
    </row>
    <row r="301" spans="3:19" x14ac:dyDescent="0.25">
      <c r="C301" s="15" t="s">
        <v>341</v>
      </c>
      <c r="D301" s="14">
        <v>268</v>
      </c>
      <c r="E301" s="14" t="s">
        <v>26</v>
      </c>
      <c r="F301" s="14" t="s">
        <v>14</v>
      </c>
      <c r="G301" s="14">
        <v>11.76</v>
      </c>
      <c r="H301" s="14">
        <v>2.68</v>
      </c>
      <c r="I301" s="14">
        <v>2.92</v>
      </c>
      <c r="J301" s="14">
        <v>20</v>
      </c>
      <c r="K301" s="14">
        <v>103</v>
      </c>
      <c r="L301" s="14">
        <v>1.75</v>
      </c>
      <c r="M301" s="14">
        <v>2.0299999999999998</v>
      </c>
      <c r="N301" s="14">
        <v>0.6</v>
      </c>
      <c r="O301" s="14">
        <v>1.05</v>
      </c>
      <c r="P301" s="14">
        <v>3.8</v>
      </c>
      <c r="Q301" s="14">
        <v>1.23</v>
      </c>
      <c r="R301" s="14">
        <v>2.5</v>
      </c>
      <c r="S301">
        <v>607</v>
      </c>
    </row>
    <row r="302" spans="3:19" x14ac:dyDescent="0.25">
      <c r="C302" s="15" t="s">
        <v>342</v>
      </c>
      <c r="D302" s="14">
        <v>269</v>
      </c>
      <c r="E302" s="14" t="s">
        <v>26</v>
      </c>
      <c r="F302" s="14" t="s">
        <v>14</v>
      </c>
      <c r="G302" s="14">
        <v>11.41</v>
      </c>
      <c r="H302" s="14">
        <v>0.74</v>
      </c>
      <c r="I302" s="14">
        <v>2.5</v>
      </c>
      <c r="J302" s="14">
        <v>21</v>
      </c>
      <c r="K302" s="14">
        <v>88</v>
      </c>
      <c r="L302" s="14">
        <v>2.48</v>
      </c>
      <c r="M302" s="14">
        <v>2.0099999999999998</v>
      </c>
      <c r="N302" s="14">
        <v>0.42</v>
      </c>
      <c r="O302" s="14">
        <v>1.44</v>
      </c>
      <c r="P302" s="14">
        <v>3.08</v>
      </c>
      <c r="Q302" s="14">
        <v>1.1000000000000001</v>
      </c>
      <c r="R302" s="14">
        <v>2.31</v>
      </c>
      <c r="S302">
        <v>434</v>
      </c>
    </row>
    <row r="303" spans="3:19" x14ac:dyDescent="0.25">
      <c r="C303" s="15" t="s">
        <v>343</v>
      </c>
      <c r="D303" s="14">
        <v>270</v>
      </c>
      <c r="E303" s="14" t="s">
        <v>26</v>
      </c>
      <c r="F303" s="14" t="s">
        <v>14</v>
      </c>
      <c r="G303" s="14">
        <v>12.08</v>
      </c>
      <c r="H303" s="14">
        <v>1.39</v>
      </c>
      <c r="I303" s="14">
        <v>2.5</v>
      </c>
      <c r="J303" s="14">
        <v>22.5</v>
      </c>
      <c r="K303" s="14">
        <v>84</v>
      </c>
      <c r="L303" s="14">
        <v>2.56</v>
      </c>
      <c r="M303" s="14">
        <v>2.29</v>
      </c>
      <c r="N303" s="14">
        <v>0.43</v>
      </c>
      <c r="O303" s="14">
        <v>1.04</v>
      </c>
      <c r="P303" s="14">
        <v>2.9</v>
      </c>
      <c r="Q303" s="14">
        <v>0.93</v>
      </c>
      <c r="R303" s="14">
        <v>3.19</v>
      </c>
      <c r="S303">
        <v>385</v>
      </c>
    </row>
    <row r="304" spans="3:19" x14ac:dyDescent="0.25">
      <c r="C304" s="15" t="s">
        <v>344</v>
      </c>
      <c r="D304" s="14">
        <v>271</v>
      </c>
      <c r="E304" s="14" t="s">
        <v>26</v>
      </c>
      <c r="F304" s="14" t="s">
        <v>14</v>
      </c>
      <c r="G304" s="14">
        <v>11.03</v>
      </c>
      <c r="H304" s="14">
        <v>1.51</v>
      </c>
      <c r="I304" s="14">
        <v>2.2000000000000002</v>
      </c>
      <c r="J304" s="14">
        <v>21.5</v>
      </c>
      <c r="K304" s="14">
        <v>85</v>
      </c>
      <c r="L304" s="14">
        <v>2.46</v>
      </c>
      <c r="M304" s="14">
        <v>2.17</v>
      </c>
      <c r="N304" s="14">
        <v>0.52</v>
      </c>
      <c r="O304" s="14">
        <v>2.0099999999999998</v>
      </c>
      <c r="P304" s="14">
        <v>1.9</v>
      </c>
      <c r="Q304" s="14">
        <v>1.71</v>
      </c>
      <c r="R304" s="14">
        <v>2.87</v>
      </c>
      <c r="S304">
        <v>407</v>
      </c>
    </row>
    <row r="305" spans="3:19" x14ac:dyDescent="0.25">
      <c r="C305" s="15" t="s">
        <v>345</v>
      </c>
      <c r="D305" s="14">
        <v>272</v>
      </c>
      <c r="E305" s="14" t="s">
        <v>26</v>
      </c>
      <c r="F305" s="14" t="s">
        <v>14</v>
      </c>
      <c r="G305" s="14">
        <v>11.82</v>
      </c>
      <c r="H305" s="14">
        <v>1.47</v>
      </c>
      <c r="I305" s="14">
        <v>1.99</v>
      </c>
      <c r="J305" s="14">
        <v>20.8</v>
      </c>
      <c r="K305" s="14">
        <v>86</v>
      </c>
      <c r="L305" s="14">
        <v>1.98</v>
      </c>
      <c r="M305" s="14">
        <v>1.6</v>
      </c>
      <c r="N305" s="14">
        <v>0.3</v>
      </c>
      <c r="O305" s="14">
        <v>1.53</v>
      </c>
      <c r="P305" s="14">
        <v>1.95</v>
      </c>
      <c r="Q305" s="14">
        <v>0.95</v>
      </c>
      <c r="R305" s="14">
        <v>3.33</v>
      </c>
      <c r="S305">
        <v>495</v>
      </c>
    </row>
    <row r="306" spans="3:19" x14ac:dyDescent="0.25">
      <c r="C306" s="15" t="s">
        <v>346</v>
      </c>
      <c r="D306" s="14">
        <v>273</v>
      </c>
      <c r="E306" s="14" t="s">
        <v>26</v>
      </c>
      <c r="F306" s="14" t="s">
        <v>14</v>
      </c>
      <c r="G306" s="14">
        <v>12.42</v>
      </c>
      <c r="H306" s="14">
        <v>1.61</v>
      </c>
      <c r="I306" s="14">
        <v>2.19</v>
      </c>
      <c r="J306" s="14">
        <v>22.5</v>
      </c>
      <c r="K306" s="14">
        <v>108</v>
      </c>
      <c r="L306" s="14">
        <v>2</v>
      </c>
      <c r="M306" s="14">
        <v>2.09</v>
      </c>
      <c r="N306" s="14">
        <v>0.34</v>
      </c>
      <c r="O306" s="14">
        <v>1.61</v>
      </c>
      <c r="P306" s="14">
        <v>2.06</v>
      </c>
      <c r="Q306" s="14">
        <v>1.06</v>
      </c>
      <c r="R306" s="14">
        <v>2.96</v>
      </c>
      <c r="S306">
        <v>345</v>
      </c>
    </row>
    <row r="307" spans="3:19" x14ac:dyDescent="0.25">
      <c r="C307" s="15" t="s">
        <v>347</v>
      </c>
      <c r="D307" s="14">
        <v>274</v>
      </c>
      <c r="E307" s="14" t="s">
        <v>26</v>
      </c>
      <c r="F307" s="14" t="s">
        <v>14</v>
      </c>
      <c r="G307" s="14">
        <v>12.77</v>
      </c>
      <c r="H307" s="14">
        <v>3.43</v>
      </c>
      <c r="I307" s="14">
        <v>1.98</v>
      </c>
      <c r="J307" s="14">
        <v>16</v>
      </c>
      <c r="K307" s="14">
        <v>80</v>
      </c>
      <c r="L307" s="14">
        <v>1.63</v>
      </c>
      <c r="M307" s="14">
        <v>1.25</v>
      </c>
      <c r="N307" s="14">
        <v>0.43</v>
      </c>
      <c r="O307" s="14">
        <v>0.83</v>
      </c>
      <c r="P307" s="14">
        <v>3.4</v>
      </c>
      <c r="Q307" s="14">
        <v>0.7</v>
      </c>
      <c r="R307" s="14">
        <v>2.12</v>
      </c>
      <c r="S307">
        <v>372</v>
      </c>
    </row>
    <row r="308" spans="3:19" x14ac:dyDescent="0.25">
      <c r="C308" s="15" t="s">
        <v>348</v>
      </c>
      <c r="D308" s="14">
        <v>275</v>
      </c>
      <c r="E308" s="14" t="s">
        <v>26</v>
      </c>
      <c r="F308" s="14" t="s">
        <v>14</v>
      </c>
      <c r="G308" s="14">
        <v>12</v>
      </c>
      <c r="H308" s="14">
        <v>3.43</v>
      </c>
      <c r="I308" s="14">
        <v>2</v>
      </c>
      <c r="J308" s="14">
        <v>19</v>
      </c>
      <c r="K308" s="14">
        <v>87</v>
      </c>
      <c r="L308" s="14">
        <v>2</v>
      </c>
      <c r="M308" s="14">
        <v>1.64</v>
      </c>
      <c r="N308" s="14">
        <v>0.37</v>
      </c>
      <c r="O308" s="14">
        <v>1.87</v>
      </c>
      <c r="P308" s="14">
        <v>1.28</v>
      </c>
      <c r="Q308" s="14">
        <v>0.93</v>
      </c>
      <c r="R308" s="14">
        <v>3.05</v>
      </c>
      <c r="S308">
        <v>564</v>
      </c>
    </row>
    <row r="309" spans="3:19" x14ac:dyDescent="0.25">
      <c r="C309" s="15" t="s">
        <v>349</v>
      </c>
      <c r="D309" s="14">
        <v>276</v>
      </c>
      <c r="E309" s="14" t="s">
        <v>26</v>
      </c>
      <c r="F309" s="14" t="s">
        <v>14</v>
      </c>
      <c r="G309" s="14">
        <v>11.45</v>
      </c>
      <c r="H309" s="14">
        <v>2.4</v>
      </c>
      <c r="I309" s="14">
        <v>2.42</v>
      </c>
      <c r="J309" s="14">
        <v>20</v>
      </c>
      <c r="K309" s="14">
        <v>96</v>
      </c>
      <c r="L309" s="14">
        <v>2.9</v>
      </c>
      <c r="M309" s="14">
        <v>2.79</v>
      </c>
      <c r="N309" s="14">
        <v>0.32</v>
      </c>
      <c r="O309" s="14">
        <v>1.83</v>
      </c>
      <c r="P309" s="14">
        <v>3.25</v>
      </c>
      <c r="Q309" s="14">
        <v>0.8</v>
      </c>
      <c r="R309" s="14">
        <v>3.39</v>
      </c>
      <c r="S309">
        <v>625</v>
      </c>
    </row>
    <row r="310" spans="3:19" x14ac:dyDescent="0.25">
      <c r="C310" s="15" t="s">
        <v>350</v>
      </c>
      <c r="D310" s="14">
        <v>277</v>
      </c>
      <c r="E310" s="14" t="s">
        <v>26</v>
      </c>
      <c r="F310" s="14" t="s">
        <v>14</v>
      </c>
      <c r="G310" s="14">
        <v>11.56</v>
      </c>
      <c r="H310" s="14">
        <v>2.0499999999999998</v>
      </c>
      <c r="I310" s="14">
        <v>3.23</v>
      </c>
      <c r="J310" s="14">
        <v>28.5</v>
      </c>
      <c r="K310" s="14">
        <v>119</v>
      </c>
      <c r="L310" s="14">
        <v>3.18</v>
      </c>
      <c r="M310" s="14">
        <v>5.08</v>
      </c>
      <c r="N310" s="14">
        <v>0.47</v>
      </c>
      <c r="O310" s="14">
        <v>1.87</v>
      </c>
      <c r="P310" s="14">
        <v>6</v>
      </c>
      <c r="Q310" s="14">
        <v>0.93</v>
      </c>
      <c r="R310" s="14">
        <v>3.69</v>
      </c>
      <c r="S310">
        <v>465</v>
      </c>
    </row>
    <row r="311" spans="3:19" x14ac:dyDescent="0.25">
      <c r="C311" s="15" t="s">
        <v>351</v>
      </c>
      <c r="D311" s="14">
        <v>278</v>
      </c>
      <c r="E311" s="14" t="s">
        <v>26</v>
      </c>
      <c r="F311" s="14" t="s">
        <v>14</v>
      </c>
      <c r="G311" s="14">
        <v>12.42</v>
      </c>
      <c r="H311" s="14">
        <v>4.43</v>
      </c>
      <c r="I311" s="14">
        <v>2.73</v>
      </c>
      <c r="J311" s="14">
        <v>26.5</v>
      </c>
      <c r="K311" s="14">
        <v>102</v>
      </c>
      <c r="L311" s="14">
        <v>2.2000000000000002</v>
      </c>
      <c r="M311" s="14">
        <v>2.13</v>
      </c>
      <c r="N311" s="14">
        <v>0.43</v>
      </c>
      <c r="O311" s="14">
        <v>1.71</v>
      </c>
      <c r="P311" s="14">
        <v>2.08</v>
      </c>
      <c r="Q311" s="14">
        <v>0.92</v>
      </c>
      <c r="R311" s="14">
        <v>3.12</v>
      </c>
      <c r="S311">
        <v>365</v>
      </c>
    </row>
    <row r="312" spans="3:19" x14ac:dyDescent="0.25">
      <c r="C312" s="15" t="s">
        <v>352</v>
      </c>
      <c r="D312" s="14">
        <v>279</v>
      </c>
      <c r="E312" s="14" t="s">
        <v>26</v>
      </c>
      <c r="F312" s="14" t="s">
        <v>14</v>
      </c>
      <c r="G312" s="14">
        <v>13.05</v>
      </c>
      <c r="H312" s="14">
        <v>5.8</v>
      </c>
      <c r="I312" s="14">
        <v>2.13</v>
      </c>
      <c r="J312" s="14">
        <v>21.5</v>
      </c>
      <c r="K312" s="14">
        <v>86</v>
      </c>
      <c r="L312" s="14">
        <v>2.62</v>
      </c>
      <c r="M312" s="14">
        <v>2.65</v>
      </c>
      <c r="N312" s="14">
        <v>0.3653822629969421</v>
      </c>
      <c r="O312" s="14">
        <v>2.0099999999999998</v>
      </c>
      <c r="P312" s="14">
        <v>2.6</v>
      </c>
      <c r="Q312" s="14">
        <v>0.73</v>
      </c>
      <c r="R312" s="14">
        <v>3.1</v>
      </c>
      <c r="S312">
        <v>380</v>
      </c>
    </row>
    <row r="313" spans="3:19" x14ac:dyDescent="0.25">
      <c r="C313" s="15" t="s">
        <v>353</v>
      </c>
      <c r="D313" s="14">
        <v>280</v>
      </c>
      <c r="E313" s="14" t="s">
        <v>26</v>
      </c>
      <c r="F313" s="14" t="s">
        <v>14</v>
      </c>
      <c r="G313" s="14">
        <v>11.87</v>
      </c>
      <c r="H313" s="14">
        <v>4.3099999999999996</v>
      </c>
      <c r="I313" s="14">
        <v>2.39</v>
      </c>
      <c r="J313" s="14">
        <v>21</v>
      </c>
      <c r="K313" s="14">
        <v>82</v>
      </c>
      <c r="L313" s="14">
        <v>2.86</v>
      </c>
      <c r="M313" s="14">
        <v>3.03</v>
      </c>
      <c r="N313" s="14">
        <v>0.21</v>
      </c>
      <c r="O313" s="14">
        <v>2.91</v>
      </c>
      <c r="P313" s="14">
        <v>2.8</v>
      </c>
      <c r="Q313" s="14">
        <v>0.75</v>
      </c>
      <c r="R313" s="14">
        <v>3.64</v>
      </c>
      <c r="S313">
        <v>380</v>
      </c>
    </row>
    <row r="314" spans="3:19" x14ac:dyDescent="0.25">
      <c r="C314" s="15" t="s">
        <v>354</v>
      </c>
      <c r="D314" s="14">
        <v>281</v>
      </c>
      <c r="E314" s="14" t="s">
        <v>26</v>
      </c>
      <c r="F314" s="14" t="s">
        <v>14</v>
      </c>
      <c r="G314" s="14">
        <v>12.07</v>
      </c>
      <c r="H314" s="14">
        <v>2.16</v>
      </c>
      <c r="I314" s="14">
        <v>2.17</v>
      </c>
      <c r="J314" s="14">
        <v>21</v>
      </c>
      <c r="K314" s="14">
        <v>85</v>
      </c>
      <c r="L314" s="14">
        <v>2.6</v>
      </c>
      <c r="M314" s="14">
        <v>2.65</v>
      </c>
      <c r="N314" s="14">
        <v>0.37</v>
      </c>
      <c r="O314" s="14">
        <v>1.35</v>
      </c>
      <c r="P314" s="14">
        <v>2.76</v>
      </c>
      <c r="Q314" s="14">
        <v>0.86</v>
      </c>
      <c r="R314" s="14">
        <v>3.28</v>
      </c>
      <c r="S314">
        <v>378</v>
      </c>
    </row>
    <row r="315" spans="3:19" x14ac:dyDescent="0.25">
      <c r="C315" s="15" t="s">
        <v>355</v>
      </c>
      <c r="D315" s="14">
        <v>282</v>
      </c>
      <c r="E315" s="14" t="s">
        <v>26</v>
      </c>
      <c r="F315" s="14" t="s">
        <v>14</v>
      </c>
      <c r="G315" s="14">
        <v>12.43</v>
      </c>
      <c r="H315" s="14">
        <v>1.53</v>
      </c>
      <c r="I315" s="14">
        <v>2.29</v>
      </c>
      <c r="J315" s="14">
        <v>21.5</v>
      </c>
      <c r="K315" s="14">
        <v>86</v>
      </c>
      <c r="L315" s="14">
        <v>2.74</v>
      </c>
      <c r="M315" s="14">
        <v>3.15</v>
      </c>
      <c r="N315" s="14">
        <v>0.39</v>
      </c>
      <c r="O315" s="14">
        <v>1.77</v>
      </c>
      <c r="P315" s="14">
        <v>3.94</v>
      </c>
      <c r="Q315" s="14">
        <v>0.69</v>
      </c>
      <c r="R315" s="14">
        <v>2.84</v>
      </c>
      <c r="S315">
        <v>352</v>
      </c>
    </row>
    <row r="316" spans="3:19" x14ac:dyDescent="0.25">
      <c r="C316" s="15" t="s">
        <v>356</v>
      </c>
      <c r="D316" s="14">
        <v>283</v>
      </c>
      <c r="E316" s="14" t="s">
        <v>26</v>
      </c>
      <c r="F316" s="14" t="s">
        <v>14</v>
      </c>
      <c r="G316" s="14">
        <v>11.79</v>
      </c>
      <c r="H316" s="14">
        <v>2.13</v>
      </c>
      <c r="I316" s="14">
        <v>2.78</v>
      </c>
      <c r="J316" s="14">
        <v>28.5</v>
      </c>
      <c r="K316" s="14">
        <v>92</v>
      </c>
      <c r="L316" s="14">
        <v>2.13</v>
      </c>
      <c r="M316" s="14">
        <v>2.2400000000000002</v>
      </c>
      <c r="N316" s="14">
        <v>0.57999999999999996</v>
      </c>
      <c r="O316" s="14">
        <v>1.76</v>
      </c>
      <c r="P316" s="14">
        <v>3</v>
      </c>
      <c r="Q316" s="14">
        <v>0.97</v>
      </c>
      <c r="R316" s="14">
        <v>2.44</v>
      </c>
      <c r="S316">
        <v>466</v>
      </c>
    </row>
    <row r="317" spans="3:19" x14ac:dyDescent="0.25">
      <c r="C317" s="15" t="s">
        <v>357</v>
      </c>
      <c r="D317" s="14">
        <v>284</v>
      </c>
      <c r="E317" s="14" t="s">
        <v>26</v>
      </c>
      <c r="F317" s="14" t="s">
        <v>14</v>
      </c>
      <c r="G317" s="14">
        <v>12.37</v>
      </c>
      <c r="H317" s="14">
        <v>1.63</v>
      </c>
      <c r="I317" s="14">
        <v>2.2999999999999998</v>
      </c>
      <c r="J317" s="14">
        <v>24.5</v>
      </c>
      <c r="K317" s="14">
        <v>88</v>
      </c>
      <c r="L317" s="14">
        <v>2.2200000000000002</v>
      </c>
      <c r="M317" s="14">
        <v>2.4500000000000002</v>
      </c>
      <c r="N317" s="14">
        <v>0.4</v>
      </c>
      <c r="O317" s="14">
        <v>1.9</v>
      </c>
      <c r="P317" s="14">
        <v>2.12</v>
      </c>
      <c r="Q317" s="14">
        <v>0.89</v>
      </c>
      <c r="R317" s="14">
        <v>2.78</v>
      </c>
      <c r="S317">
        <v>342</v>
      </c>
    </row>
    <row r="318" spans="3:19" x14ac:dyDescent="0.25">
      <c r="C318" s="15" t="s">
        <v>358</v>
      </c>
      <c r="D318" s="14">
        <v>285</v>
      </c>
      <c r="E318" s="14" t="s">
        <v>26</v>
      </c>
      <c r="F318" s="14" t="s">
        <v>14</v>
      </c>
      <c r="G318" s="14">
        <v>12.04</v>
      </c>
      <c r="H318" s="14">
        <v>4.3</v>
      </c>
      <c r="I318" s="14">
        <v>2.38</v>
      </c>
      <c r="J318" s="14">
        <v>22</v>
      </c>
      <c r="K318" s="14">
        <v>80</v>
      </c>
      <c r="L318" s="14">
        <v>2.1</v>
      </c>
      <c r="M318" s="14">
        <v>1.75</v>
      </c>
      <c r="N318" s="14">
        <v>0.42</v>
      </c>
      <c r="O318" s="14">
        <v>1.35</v>
      </c>
      <c r="P318" s="14">
        <v>2.6</v>
      </c>
      <c r="Q318" s="14">
        <v>0.79</v>
      </c>
      <c r="R318" s="14">
        <v>2.57</v>
      </c>
      <c r="S318">
        <v>580</v>
      </c>
    </row>
    <row r="319" spans="3:19" x14ac:dyDescent="0.25">
      <c r="C319" s="15" t="s">
        <v>359</v>
      </c>
      <c r="D319" s="14">
        <v>286</v>
      </c>
      <c r="E319" s="14" t="s">
        <v>26</v>
      </c>
      <c r="F319" s="14" t="s">
        <v>15</v>
      </c>
      <c r="G319" s="14">
        <v>12.86</v>
      </c>
      <c r="H319" s="14">
        <v>1.35</v>
      </c>
      <c r="I319" s="14">
        <v>2.3199999999999998</v>
      </c>
      <c r="J319" s="14">
        <v>18</v>
      </c>
      <c r="K319" s="14">
        <v>122</v>
      </c>
      <c r="L319" s="14">
        <v>1.51</v>
      </c>
      <c r="M319" s="14">
        <v>1.25</v>
      </c>
      <c r="N319" s="14">
        <v>0.21</v>
      </c>
      <c r="O319" s="14">
        <v>0.94</v>
      </c>
      <c r="P319" s="14">
        <v>4.0999999999999996</v>
      </c>
      <c r="Q319" s="14">
        <v>0.76</v>
      </c>
      <c r="R319" s="14">
        <v>1.29</v>
      </c>
      <c r="S319">
        <v>630</v>
      </c>
    </row>
    <row r="320" spans="3:19" x14ac:dyDescent="0.25">
      <c r="C320" s="15" t="s">
        <v>360</v>
      </c>
      <c r="D320" s="14">
        <v>287</v>
      </c>
      <c r="E320" s="14" t="s">
        <v>26</v>
      </c>
      <c r="F320" s="14" t="s">
        <v>15</v>
      </c>
      <c r="G320" s="14">
        <v>12.88</v>
      </c>
      <c r="H320" s="14">
        <v>2.99</v>
      </c>
      <c r="I320" s="14">
        <v>2.4</v>
      </c>
      <c r="J320" s="14">
        <v>20</v>
      </c>
      <c r="K320" s="14">
        <v>104</v>
      </c>
      <c r="L320" s="14">
        <v>1.3</v>
      </c>
      <c r="M320" s="14">
        <v>1.22</v>
      </c>
      <c r="N320" s="14">
        <v>0.24</v>
      </c>
      <c r="O320" s="14">
        <v>0.83</v>
      </c>
      <c r="P320" s="14">
        <v>5.4</v>
      </c>
      <c r="Q320" s="14">
        <v>0.74</v>
      </c>
      <c r="R320" s="14">
        <v>1.42</v>
      </c>
      <c r="S320">
        <v>530</v>
      </c>
    </row>
    <row r="321" spans="3:19" x14ac:dyDescent="0.25">
      <c r="C321" s="15" t="s">
        <v>361</v>
      </c>
      <c r="D321" s="14">
        <v>288</v>
      </c>
      <c r="E321" s="14" t="s">
        <v>26</v>
      </c>
      <c r="F321" s="14" t="s">
        <v>15</v>
      </c>
      <c r="G321" s="14">
        <v>12.81</v>
      </c>
      <c r="H321" s="14">
        <v>2.31</v>
      </c>
      <c r="I321" s="14">
        <v>2.4</v>
      </c>
      <c r="J321" s="14">
        <v>24</v>
      </c>
      <c r="K321" s="14">
        <v>98</v>
      </c>
      <c r="L321" s="14">
        <v>1.1499999999999999</v>
      </c>
      <c r="M321" s="14">
        <v>1.0900000000000001</v>
      </c>
      <c r="N321" s="14">
        <v>0.27</v>
      </c>
      <c r="O321" s="14">
        <v>0.83</v>
      </c>
      <c r="P321" s="14">
        <v>5.7</v>
      </c>
      <c r="Q321" s="14">
        <v>0.66</v>
      </c>
      <c r="R321" s="14">
        <v>1.36</v>
      </c>
      <c r="S321">
        <v>560</v>
      </c>
    </row>
    <row r="322" spans="3:19" x14ac:dyDescent="0.25">
      <c r="C322" s="15" t="s">
        <v>362</v>
      </c>
      <c r="D322" s="14">
        <v>289</v>
      </c>
      <c r="E322" s="14" t="s">
        <v>26</v>
      </c>
      <c r="F322" s="14" t="s">
        <v>15</v>
      </c>
      <c r="G322" s="14">
        <v>12.7</v>
      </c>
      <c r="H322" s="14">
        <v>3.55</v>
      </c>
      <c r="I322" s="14">
        <v>2.36</v>
      </c>
      <c r="J322" s="14">
        <v>21.5</v>
      </c>
      <c r="K322" s="14">
        <v>106</v>
      </c>
      <c r="L322" s="14">
        <v>1.7</v>
      </c>
      <c r="M322" s="14">
        <v>1.2</v>
      </c>
      <c r="N322" s="14">
        <v>0.17</v>
      </c>
      <c r="O322" s="14">
        <v>0.84</v>
      </c>
      <c r="P322" s="14">
        <v>5</v>
      </c>
      <c r="Q322" s="14">
        <v>0.78</v>
      </c>
      <c r="R322" s="14">
        <v>1.29</v>
      </c>
      <c r="S322">
        <v>600</v>
      </c>
    </row>
    <row r="323" spans="3:19" x14ac:dyDescent="0.25">
      <c r="C323" s="15" t="s">
        <v>363</v>
      </c>
      <c r="D323" s="14">
        <v>290</v>
      </c>
      <c r="E323" s="14" t="s">
        <v>26</v>
      </c>
      <c r="F323" s="14" t="s">
        <v>15</v>
      </c>
      <c r="G323" s="14">
        <v>12.51</v>
      </c>
      <c r="H323" s="14">
        <v>1.24</v>
      </c>
      <c r="I323" s="14">
        <v>2.25</v>
      </c>
      <c r="J323" s="14">
        <v>17.5</v>
      </c>
      <c r="K323" s="14">
        <v>85</v>
      </c>
      <c r="L323" s="14">
        <v>2</v>
      </c>
      <c r="M323" s="14">
        <v>0.57999999999999996</v>
      </c>
      <c r="N323" s="14">
        <v>0.6</v>
      </c>
      <c r="O323" s="14">
        <v>1.25</v>
      </c>
      <c r="P323" s="14">
        <v>5.45</v>
      </c>
      <c r="Q323" s="14">
        <v>0.75</v>
      </c>
      <c r="R323" s="14">
        <v>1.51</v>
      </c>
      <c r="S323">
        <v>650</v>
      </c>
    </row>
    <row r="324" spans="3:19" x14ac:dyDescent="0.25">
      <c r="C324" s="15" t="s">
        <v>364</v>
      </c>
      <c r="D324" s="14">
        <v>291</v>
      </c>
      <c r="E324" s="14" t="s">
        <v>26</v>
      </c>
      <c r="F324" s="14" t="s">
        <v>15</v>
      </c>
      <c r="G324" s="14">
        <v>12.6</v>
      </c>
      <c r="H324" s="14">
        <v>2.46</v>
      </c>
      <c r="I324" s="14">
        <v>2.2000000000000002</v>
      </c>
      <c r="J324" s="14">
        <v>18.5</v>
      </c>
      <c r="K324" s="14">
        <v>94</v>
      </c>
      <c r="L324" s="14">
        <v>1.62</v>
      </c>
      <c r="M324" s="14">
        <v>0.66</v>
      </c>
      <c r="N324" s="14">
        <v>0.63</v>
      </c>
      <c r="O324" s="14">
        <v>0.94</v>
      </c>
      <c r="P324" s="14">
        <v>7.1</v>
      </c>
      <c r="Q324" s="14">
        <v>0.73</v>
      </c>
      <c r="R324" s="14">
        <v>1.58</v>
      </c>
      <c r="S324">
        <v>695</v>
      </c>
    </row>
    <row r="325" spans="3:19" x14ac:dyDescent="0.25">
      <c r="C325" s="15" t="s">
        <v>365</v>
      </c>
      <c r="D325" s="14">
        <v>292</v>
      </c>
      <c r="E325" s="14" t="s">
        <v>26</v>
      </c>
      <c r="F325" s="14" t="s">
        <v>15</v>
      </c>
      <c r="G325" s="14">
        <v>12.25</v>
      </c>
      <c r="H325" s="14">
        <v>4.72</v>
      </c>
      <c r="I325" s="14">
        <v>2.54</v>
      </c>
      <c r="J325" s="14">
        <v>21</v>
      </c>
      <c r="K325" s="14">
        <v>89</v>
      </c>
      <c r="L325" s="14">
        <v>1.38</v>
      </c>
      <c r="M325" s="14">
        <v>0.47</v>
      </c>
      <c r="N325" s="14">
        <v>0.53</v>
      </c>
      <c r="O325" s="14">
        <v>0.8</v>
      </c>
      <c r="P325" s="14">
        <v>3.85</v>
      </c>
      <c r="Q325" s="14">
        <v>0.75</v>
      </c>
      <c r="R325" s="14">
        <v>1.27</v>
      </c>
      <c r="S325">
        <v>720</v>
      </c>
    </row>
    <row r="326" spans="3:19" x14ac:dyDescent="0.25">
      <c r="C326" s="15" t="s">
        <v>366</v>
      </c>
      <c r="D326" s="14">
        <v>293</v>
      </c>
      <c r="E326" s="14" t="s">
        <v>26</v>
      </c>
      <c r="F326" s="14" t="s">
        <v>15</v>
      </c>
      <c r="G326" s="14">
        <v>12.53</v>
      </c>
      <c r="H326" s="14">
        <v>5.51</v>
      </c>
      <c r="I326" s="14">
        <v>2.64</v>
      </c>
      <c r="J326" s="14">
        <v>25</v>
      </c>
      <c r="K326" s="14">
        <v>96</v>
      </c>
      <c r="L326" s="14">
        <v>1.79</v>
      </c>
      <c r="M326" s="14">
        <v>0.6</v>
      </c>
      <c r="N326" s="14">
        <v>0.63</v>
      </c>
      <c r="O326" s="14">
        <v>1.1000000000000001</v>
      </c>
      <c r="P326" s="14">
        <v>5</v>
      </c>
      <c r="Q326" s="14">
        <v>0.82</v>
      </c>
      <c r="R326" s="14">
        <v>1.69</v>
      </c>
      <c r="S326">
        <v>515</v>
      </c>
    </row>
    <row r="327" spans="3:19" x14ac:dyDescent="0.25">
      <c r="C327" s="15" t="s">
        <v>367</v>
      </c>
      <c r="D327" s="14">
        <v>294</v>
      </c>
      <c r="E327" s="14" t="s">
        <v>26</v>
      </c>
      <c r="F327" s="14" t="s">
        <v>15</v>
      </c>
      <c r="G327" s="14">
        <v>13.49</v>
      </c>
      <c r="H327" s="14">
        <v>3.59</v>
      </c>
      <c r="I327" s="14">
        <v>2.19</v>
      </c>
      <c r="J327" s="14">
        <v>19.5</v>
      </c>
      <c r="K327" s="14">
        <v>88</v>
      </c>
      <c r="L327" s="14">
        <v>1.62</v>
      </c>
      <c r="M327" s="14">
        <v>0.48</v>
      </c>
      <c r="N327" s="14">
        <v>0.57999999999999996</v>
      </c>
      <c r="O327" s="14">
        <v>0.88</v>
      </c>
      <c r="P327" s="14">
        <v>5.7</v>
      </c>
      <c r="Q327" s="14">
        <v>0.81</v>
      </c>
      <c r="R327" s="14">
        <v>1.82</v>
      </c>
      <c r="S327">
        <v>580</v>
      </c>
    </row>
    <row r="328" spans="3:19" x14ac:dyDescent="0.25">
      <c r="C328" s="15" t="s">
        <v>368</v>
      </c>
      <c r="D328" s="14">
        <v>295</v>
      </c>
      <c r="E328" s="14" t="s">
        <v>26</v>
      </c>
      <c r="F328" s="14" t="s">
        <v>15</v>
      </c>
      <c r="G328" s="14">
        <v>12.84</v>
      </c>
      <c r="H328" s="14">
        <v>2.96</v>
      </c>
      <c r="I328" s="14">
        <v>2.61</v>
      </c>
      <c r="J328" s="14">
        <v>24</v>
      </c>
      <c r="K328" s="14">
        <v>101</v>
      </c>
      <c r="L328" s="14">
        <v>2.3199999999999998</v>
      </c>
      <c r="M328" s="14">
        <v>0.6</v>
      </c>
      <c r="N328" s="14">
        <v>0.53</v>
      </c>
      <c r="O328" s="14">
        <v>0.81</v>
      </c>
      <c r="P328" s="14">
        <v>4.92</v>
      </c>
      <c r="Q328" s="14">
        <v>0.89</v>
      </c>
      <c r="R328" s="14">
        <v>2.15</v>
      </c>
      <c r="S328">
        <v>590</v>
      </c>
    </row>
    <row r="329" spans="3:19" x14ac:dyDescent="0.25">
      <c r="C329" s="15" t="s">
        <v>369</v>
      </c>
      <c r="D329" s="14">
        <v>296</v>
      </c>
      <c r="E329" s="14" t="s">
        <v>26</v>
      </c>
      <c r="F329" s="14" t="s">
        <v>15</v>
      </c>
      <c r="G329" s="14">
        <v>12.93</v>
      </c>
      <c r="H329" s="14">
        <v>2.81</v>
      </c>
      <c r="I329" s="14">
        <v>2.7</v>
      </c>
      <c r="J329" s="14">
        <v>21</v>
      </c>
      <c r="K329" s="14">
        <v>96</v>
      </c>
      <c r="L329" s="14">
        <v>1.54</v>
      </c>
      <c r="M329" s="14">
        <v>0.5</v>
      </c>
      <c r="N329" s="14">
        <v>0.53</v>
      </c>
      <c r="O329" s="14">
        <v>0.75</v>
      </c>
      <c r="P329" s="14">
        <v>4.5999999999999996</v>
      </c>
      <c r="Q329" s="14">
        <v>0.77</v>
      </c>
      <c r="R329" s="14">
        <v>2.31</v>
      </c>
      <c r="S329">
        <v>600</v>
      </c>
    </row>
    <row r="330" spans="3:19" x14ac:dyDescent="0.25">
      <c r="C330" s="15" t="s">
        <v>370</v>
      </c>
      <c r="D330" s="14">
        <v>297</v>
      </c>
      <c r="E330" s="14" t="s">
        <v>26</v>
      </c>
      <c r="F330" s="14" t="s">
        <v>15</v>
      </c>
      <c r="G330" s="14">
        <v>13.36</v>
      </c>
      <c r="H330" s="14">
        <v>2.56</v>
      </c>
      <c r="I330" s="14">
        <v>2.35</v>
      </c>
      <c r="J330" s="14">
        <v>20</v>
      </c>
      <c r="K330" s="14">
        <v>89</v>
      </c>
      <c r="L330" s="14">
        <v>1.4</v>
      </c>
      <c r="M330" s="14">
        <v>0.5</v>
      </c>
      <c r="N330" s="14">
        <v>0.37</v>
      </c>
      <c r="O330" s="14">
        <v>0.64</v>
      </c>
      <c r="P330" s="14">
        <v>5.6</v>
      </c>
      <c r="Q330" s="14">
        <v>0.7</v>
      </c>
      <c r="R330" s="14">
        <v>2.4700000000000002</v>
      </c>
      <c r="S330">
        <v>780</v>
      </c>
    </row>
    <row r="331" spans="3:19" x14ac:dyDescent="0.25">
      <c r="C331" s="15" t="s">
        <v>371</v>
      </c>
      <c r="D331" s="14">
        <v>298</v>
      </c>
      <c r="E331" s="14" t="s">
        <v>26</v>
      </c>
      <c r="F331" s="14" t="s">
        <v>15</v>
      </c>
      <c r="G331" s="14">
        <v>13.52</v>
      </c>
      <c r="H331" s="14">
        <v>3.17</v>
      </c>
      <c r="I331" s="14">
        <v>2.72</v>
      </c>
      <c r="J331" s="14">
        <v>23.5</v>
      </c>
      <c r="K331" s="14">
        <v>97</v>
      </c>
      <c r="L331" s="14">
        <v>1.55</v>
      </c>
      <c r="M331" s="14">
        <v>0.52</v>
      </c>
      <c r="N331" s="14">
        <v>0.5</v>
      </c>
      <c r="O331" s="14">
        <v>0.55000000000000004</v>
      </c>
      <c r="P331" s="14">
        <v>4.3499999999999996</v>
      </c>
      <c r="Q331" s="14">
        <v>0.89</v>
      </c>
      <c r="R331" s="14">
        <v>2.06</v>
      </c>
      <c r="S331">
        <v>520</v>
      </c>
    </row>
    <row r="332" spans="3:19" x14ac:dyDescent="0.25">
      <c r="C332" s="15" t="s">
        <v>372</v>
      </c>
      <c r="D332" s="14">
        <v>299</v>
      </c>
      <c r="E332" s="14" t="s">
        <v>26</v>
      </c>
      <c r="F332" s="14" t="s">
        <v>15</v>
      </c>
      <c r="G332" s="14">
        <v>13.62</v>
      </c>
      <c r="H332" s="14">
        <v>4.95</v>
      </c>
      <c r="I332" s="14">
        <v>2.35</v>
      </c>
      <c r="J332" s="14">
        <v>20</v>
      </c>
      <c r="K332" s="14">
        <v>92</v>
      </c>
      <c r="L332" s="14">
        <v>2</v>
      </c>
      <c r="M332" s="14">
        <v>0.8</v>
      </c>
      <c r="N332" s="14">
        <v>0.47</v>
      </c>
      <c r="O332" s="14">
        <v>1.02</v>
      </c>
      <c r="P332" s="14">
        <v>4.4000000000000004</v>
      </c>
      <c r="Q332" s="14">
        <v>0.91</v>
      </c>
      <c r="R332" s="14">
        <v>2.0499999999999998</v>
      </c>
      <c r="S332">
        <v>550</v>
      </c>
    </row>
    <row r="333" spans="3:19" x14ac:dyDescent="0.25">
      <c r="C333" s="15" t="s">
        <v>373</v>
      </c>
      <c r="D333" s="14">
        <v>300</v>
      </c>
      <c r="E333" s="14" t="s">
        <v>26</v>
      </c>
      <c r="F333" s="14" t="s">
        <v>15</v>
      </c>
      <c r="G333" s="14">
        <v>12.25</v>
      </c>
      <c r="H333" s="14">
        <v>3.88</v>
      </c>
      <c r="I333" s="14">
        <v>2.2000000000000002</v>
      </c>
      <c r="J333" s="14">
        <v>18.5</v>
      </c>
      <c r="K333" s="14">
        <v>112</v>
      </c>
      <c r="L333" s="14">
        <v>1.38</v>
      </c>
      <c r="M333" s="14">
        <v>0.78</v>
      </c>
      <c r="N333" s="14">
        <v>0.28999999999999998</v>
      </c>
      <c r="O333" s="14">
        <v>1.1399999999999999</v>
      </c>
      <c r="P333" s="14">
        <v>8.2100000000000009</v>
      </c>
      <c r="Q333" s="14">
        <v>0.65</v>
      </c>
      <c r="R333" s="14">
        <v>2</v>
      </c>
      <c r="S333">
        <v>855</v>
      </c>
    </row>
    <row r="334" spans="3:19" x14ac:dyDescent="0.25">
      <c r="C334" s="15" t="s">
        <v>374</v>
      </c>
      <c r="D334" s="14">
        <v>301</v>
      </c>
      <c r="E334" s="14" t="s">
        <v>26</v>
      </c>
      <c r="F334" s="14" t="s">
        <v>15</v>
      </c>
      <c r="G334" s="14">
        <v>13.16</v>
      </c>
      <c r="H334" s="14">
        <v>3.57</v>
      </c>
      <c r="I334" s="14">
        <v>2.15</v>
      </c>
      <c r="J334" s="14">
        <v>21</v>
      </c>
      <c r="K334" s="14">
        <v>102</v>
      </c>
      <c r="L334" s="14">
        <v>1.5</v>
      </c>
      <c r="M334" s="14">
        <v>0.55000000000000004</v>
      </c>
      <c r="N334" s="14">
        <v>0.43</v>
      </c>
      <c r="O334" s="14">
        <v>1.3</v>
      </c>
      <c r="P334" s="14">
        <v>4</v>
      </c>
      <c r="Q334" s="14">
        <v>0.6</v>
      </c>
      <c r="R334" s="14">
        <v>1.68</v>
      </c>
      <c r="S334">
        <v>830</v>
      </c>
    </row>
    <row r="335" spans="3:19" x14ac:dyDescent="0.25">
      <c r="C335" s="15" t="s">
        <v>375</v>
      </c>
      <c r="D335" s="14">
        <v>302</v>
      </c>
      <c r="E335" s="14" t="s">
        <v>26</v>
      </c>
      <c r="F335" s="14" t="s">
        <v>15</v>
      </c>
      <c r="G335" s="14">
        <v>13.88</v>
      </c>
      <c r="H335" s="14">
        <v>5.04</v>
      </c>
      <c r="I335" s="14">
        <v>2.23</v>
      </c>
      <c r="J335" s="14">
        <v>20</v>
      </c>
      <c r="K335" s="14">
        <v>80</v>
      </c>
      <c r="L335" s="14">
        <v>0.98</v>
      </c>
      <c r="M335" s="14">
        <v>0.34</v>
      </c>
      <c r="N335" s="14">
        <v>0.4</v>
      </c>
      <c r="O335" s="14">
        <v>0.68</v>
      </c>
      <c r="P335" s="14">
        <v>4.9000000000000004</v>
      </c>
      <c r="Q335" s="14">
        <v>0.57999999999999996</v>
      </c>
      <c r="R335" s="14">
        <v>1.33</v>
      </c>
      <c r="S335">
        <v>415</v>
      </c>
    </row>
    <row r="336" spans="3:19" x14ac:dyDescent="0.25">
      <c r="C336" s="15" t="s">
        <v>376</v>
      </c>
      <c r="D336" s="14">
        <v>303</v>
      </c>
      <c r="E336" s="14" t="s">
        <v>26</v>
      </c>
      <c r="F336" s="14" t="s">
        <v>15</v>
      </c>
      <c r="G336" s="14">
        <v>12.87</v>
      </c>
      <c r="H336" s="14">
        <v>4.6100000000000003</v>
      </c>
      <c r="I336" s="14">
        <v>2.48</v>
      </c>
      <c r="J336" s="14">
        <v>21.5</v>
      </c>
      <c r="K336" s="14">
        <v>86</v>
      </c>
      <c r="L336" s="14">
        <v>1.7</v>
      </c>
      <c r="M336" s="14">
        <v>0.65</v>
      </c>
      <c r="N336" s="14">
        <v>0.47</v>
      </c>
      <c r="O336" s="14">
        <v>0.86</v>
      </c>
      <c r="P336" s="14">
        <v>7.65</v>
      </c>
      <c r="Q336" s="14">
        <v>0.54</v>
      </c>
      <c r="R336" s="14">
        <v>1.86</v>
      </c>
      <c r="S336">
        <v>625</v>
      </c>
    </row>
    <row r="337" spans="3:19" x14ac:dyDescent="0.25">
      <c r="C337" s="15" t="s">
        <v>377</v>
      </c>
      <c r="D337" s="14">
        <v>304</v>
      </c>
      <c r="E337" s="14" t="s">
        <v>26</v>
      </c>
      <c r="F337" s="14" t="s">
        <v>15</v>
      </c>
      <c r="G337" s="14">
        <v>13.32</v>
      </c>
      <c r="H337" s="14">
        <v>3.24</v>
      </c>
      <c r="I337" s="14">
        <v>2.38</v>
      </c>
      <c r="J337" s="14">
        <v>21.5</v>
      </c>
      <c r="K337" s="14">
        <v>92</v>
      </c>
      <c r="L337" s="14">
        <v>1.93</v>
      </c>
      <c r="M337" s="14">
        <v>0.76</v>
      </c>
      <c r="N337" s="14">
        <v>0.45</v>
      </c>
      <c r="O337" s="14">
        <v>1.25</v>
      </c>
      <c r="P337" s="14">
        <v>8.42</v>
      </c>
      <c r="Q337" s="14">
        <v>0.55000000000000004</v>
      </c>
      <c r="R337" s="14">
        <v>1.62</v>
      </c>
      <c r="S337">
        <v>650</v>
      </c>
    </row>
    <row r="338" spans="3:19" x14ac:dyDescent="0.25">
      <c r="C338" s="15" t="s">
        <v>378</v>
      </c>
      <c r="D338" s="14">
        <v>305</v>
      </c>
      <c r="E338" s="14" t="s">
        <v>26</v>
      </c>
      <c r="F338" s="14" t="s">
        <v>15</v>
      </c>
      <c r="G338" s="14">
        <v>13.08</v>
      </c>
      <c r="H338" s="14">
        <v>3.9</v>
      </c>
      <c r="I338" s="14">
        <v>2.36</v>
      </c>
      <c r="J338" s="14">
        <v>21.5</v>
      </c>
      <c r="K338" s="14">
        <v>113</v>
      </c>
      <c r="L338" s="14">
        <v>1.41</v>
      </c>
      <c r="M338" s="14">
        <v>1.39</v>
      </c>
      <c r="N338" s="14">
        <v>0.34</v>
      </c>
      <c r="O338" s="14">
        <v>1.1399999999999999</v>
      </c>
      <c r="P338" s="14">
        <v>9.4</v>
      </c>
      <c r="Q338" s="14">
        <v>0.56999999999999995</v>
      </c>
      <c r="R338" s="14">
        <v>1.33</v>
      </c>
      <c r="S338">
        <v>550</v>
      </c>
    </row>
    <row r="339" spans="3:19" x14ac:dyDescent="0.25">
      <c r="C339" s="15" t="s">
        <v>379</v>
      </c>
      <c r="D339" s="14">
        <v>306</v>
      </c>
      <c r="E339" s="14" t="s">
        <v>26</v>
      </c>
      <c r="F339" s="14" t="s">
        <v>15</v>
      </c>
      <c r="G339" s="14">
        <v>13.5</v>
      </c>
      <c r="H339" s="14">
        <v>3.12</v>
      </c>
      <c r="I339" s="14">
        <v>2.62</v>
      </c>
      <c r="J339" s="14">
        <v>24</v>
      </c>
      <c r="K339" s="14">
        <v>123</v>
      </c>
      <c r="L339" s="14">
        <v>1.4</v>
      </c>
      <c r="M339" s="14">
        <v>1.57</v>
      </c>
      <c r="N339" s="14">
        <v>0.22</v>
      </c>
      <c r="O339" s="14">
        <v>1.25</v>
      </c>
      <c r="P339" s="14">
        <v>8.6</v>
      </c>
      <c r="Q339" s="14">
        <v>0.59</v>
      </c>
      <c r="R339" s="14">
        <v>1.3</v>
      </c>
      <c r="S339">
        <v>500</v>
      </c>
    </row>
    <row r="340" spans="3:19" x14ac:dyDescent="0.25">
      <c r="C340" s="15" t="s">
        <v>380</v>
      </c>
      <c r="D340" s="14">
        <v>307</v>
      </c>
      <c r="E340" s="14" t="s">
        <v>26</v>
      </c>
      <c r="F340" s="14" t="s">
        <v>15</v>
      </c>
      <c r="G340" s="14">
        <v>12.79</v>
      </c>
      <c r="H340" s="14">
        <v>2.67</v>
      </c>
      <c r="I340" s="14">
        <v>2.48</v>
      </c>
      <c r="J340" s="14">
        <v>22</v>
      </c>
      <c r="K340" s="14">
        <v>112</v>
      </c>
      <c r="L340" s="14">
        <v>1.48</v>
      </c>
      <c r="M340" s="14">
        <v>1.36</v>
      </c>
      <c r="N340" s="14">
        <v>0.24</v>
      </c>
      <c r="O340" s="14">
        <v>1.26</v>
      </c>
      <c r="P340" s="14">
        <v>10.8</v>
      </c>
      <c r="Q340" s="14">
        <v>0.48</v>
      </c>
      <c r="R340" s="14">
        <v>1.47</v>
      </c>
      <c r="S340">
        <v>480</v>
      </c>
    </row>
    <row r="341" spans="3:19" x14ac:dyDescent="0.25">
      <c r="C341" s="15" t="s">
        <v>381</v>
      </c>
      <c r="D341" s="14">
        <v>308</v>
      </c>
      <c r="E341" s="14" t="s">
        <v>26</v>
      </c>
      <c r="F341" s="14" t="s">
        <v>15</v>
      </c>
      <c r="G341" s="14">
        <v>13.11</v>
      </c>
      <c r="H341" s="14">
        <v>1.9</v>
      </c>
      <c r="I341" s="14">
        <v>2.75</v>
      </c>
      <c r="J341" s="14">
        <v>25.5</v>
      </c>
      <c r="K341" s="14">
        <v>116</v>
      </c>
      <c r="L341" s="14">
        <v>2.2000000000000002</v>
      </c>
      <c r="M341" s="14">
        <v>1.28</v>
      </c>
      <c r="N341" s="14">
        <v>0.26</v>
      </c>
      <c r="O341" s="14">
        <v>1.56</v>
      </c>
      <c r="P341" s="14">
        <v>7.1</v>
      </c>
      <c r="Q341" s="14">
        <v>0.61</v>
      </c>
      <c r="R341" s="14">
        <v>1.33</v>
      </c>
      <c r="S341">
        <v>425</v>
      </c>
    </row>
    <row r="342" spans="3:19" x14ac:dyDescent="0.25">
      <c r="C342" s="15" t="s">
        <v>382</v>
      </c>
      <c r="D342" s="14">
        <v>309</v>
      </c>
      <c r="E342" s="14" t="s">
        <v>26</v>
      </c>
      <c r="F342" s="14" t="s">
        <v>15</v>
      </c>
      <c r="G342" s="14">
        <v>13.23</v>
      </c>
      <c r="H342" s="14">
        <v>3.3</v>
      </c>
      <c r="I342" s="14">
        <v>2.2799999999999998</v>
      </c>
      <c r="J342" s="14">
        <v>18.5</v>
      </c>
      <c r="K342" s="14">
        <v>98</v>
      </c>
      <c r="L342" s="14">
        <v>1.8</v>
      </c>
      <c r="M342" s="14">
        <v>0.83</v>
      </c>
      <c r="N342" s="14">
        <v>0.61</v>
      </c>
      <c r="O342" s="14">
        <v>1.87</v>
      </c>
      <c r="P342" s="14">
        <v>10.52</v>
      </c>
      <c r="Q342" s="14">
        <v>0.56000000000000005</v>
      </c>
      <c r="R342" s="14">
        <v>1.51</v>
      </c>
      <c r="S342">
        <v>675</v>
      </c>
    </row>
    <row r="343" spans="3:19" x14ac:dyDescent="0.25">
      <c r="C343" s="15" t="s">
        <v>383</v>
      </c>
      <c r="D343" s="14">
        <v>310</v>
      </c>
      <c r="E343" s="14" t="s">
        <v>26</v>
      </c>
      <c r="F343" s="14" t="s">
        <v>15</v>
      </c>
      <c r="G343" s="14">
        <v>12.58</v>
      </c>
      <c r="H343" s="14">
        <v>1.29</v>
      </c>
      <c r="I343" s="14">
        <v>2.1</v>
      </c>
      <c r="J343" s="14">
        <v>20</v>
      </c>
      <c r="K343" s="14">
        <v>103</v>
      </c>
      <c r="L343" s="14">
        <v>1.48</v>
      </c>
      <c r="M343" s="14">
        <v>0.57999999999999996</v>
      </c>
      <c r="N343" s="14">
        <v>0.53</v>
      </c>
      <c r="O343" s="14">
        <v>1.4</v>
      </c>
      <c r="P343" s="14">
        <v>7.6</v>
      </c>
      <c r="Q343" s="14">
        <v>0.57999999999999996</v>
      </c>
      <c r="R343" s="14">
        <v>1.55</v>
      </c>
      <c r="S343">
        <v>640</v>
      </c>
    </row>
    <row r="344" spans="3:19" x14ac:dyDescent="0.25">
      <c r="C344" s="15" t="s">
        <v>384</v>
      </c>
      <c r="D344" s="14">
        <v>311</v>
      </c>
      <c r="E344" s="14" t="s">
        <v>26</v>
      </c>
      <c r="F344" s="14" t="s">
        <v>15</v>
      </c>
      <c r="G344" s="14">
        <v>13.17</v>
      </c>
      <c r="H344" s="14">
        <v>5.19</v>
      </c>
      <c r="I344" s="14">
        <v>2.3199999999999998</v>
      </c>
      <c r="J344" s="14">
        <v>22</v>
      </c>
      <c r="K344" s="14">
        <v>93</v>
      </c>
      <c r="L344" s="14">
        <v>1.74</v>
      </c>
      <c r="M344" s="14">
        <v>0.63</v>
      </c>
      <c r="N344" s="14">
        <v>0.61</v>
      </c>
      <c r="O344" s="14">
        <v>1.55</v>
      </c>
      <c r="P344" s="14">
        <v>7.9</v>
      </c>
      <c r="Q344" s="14">
        <v>0.6</v>
      </c>
      <c r="R344" s="14">
        <v>1.48</v>
      </c>
      <c r="S344">
        <v>725</v>
      </c>
    </row>
    <row r="345" spans="3:19" x14ac:dyDescent="0.25">
      <c r="C345" s="15" t="s">
        <v>385</v>
      </c>
      <c r="D345" s="14">
        <v>312</v>
      </c>
      <c r="E345" s="14" t="s">
        <v>26</v>
      </c>
      <c r="F345" s="14" t="s">
        <v>15</v>
      </c>
      <c r="G345" s="14">
        <v>13.84</v>
      </c>
      <c r="H345" s="14">
        <v>4.12</v>
      </c>
      <c r="I345" s="14">
        <v>2.38</v>
      </c>
      <c r="J345" s="14">
        <v>19.5</v>
      </c>
      <c r="K345" s="14">
        <v>89</v>
      </c>
      <c r="L345" s="14">
        <v>1.8</v>
      </c>
      <c r="M345" s="14">
        <v>0.83</v>
      </c>
      <c r="N345" s="14">
        <v>0.48</v>
      </c>
      <c r="O345" s="14">
        <v>1.56</v>
      </c>
      <c r="P345" s="14">
        <v>9.01</v>
      </c>
      <c r="Q345" s="14">
        <v>0.56999999999999995</v>
      </c>
      <c r="R345" s="14">
        <v>1.64</v>
      </c>
      <c r="S345">
        <v>480</v>
      </c>
    </row>
    <row r="346" spans="3:19" x14ac:dyDescent="0.25">
      <c r="C346" s="15" t="s">
        <v>386</v>
      </c>
      <c r="D346" s="14">
        <v>313</v>
      </c>
      <c r="E346" s="14" t="s">
        <v>26</v>
      </c>
      <c r="F346" s="14" t="s">
        <v>15</v>
      </c>
      <c r="G346" s="14">
        <v>12.45</v>
      </c>
      <c r="H346" s="14">
        <v>3.03</v>
      </c>
      <c r="I346" s="14">
        <v>2.64</v>
      </c>
      <c r="J346" s="14">
        <v>27</v>
      </c>
      <c r="K346" s="14">
        <v>97</v>
      </c>
      <c r="L346" s="14">
        <v>1.9</v>
      </c>
      <c r="M346" s="14">
        <v>0.57999999999999996</v>
      </c>
      <c r="N346" s="14">
        <v>0.63</v>
      </c>
      <c r="O346" s="14">
        <v>1.1399999999999999</v>
      </c>
      <c r="P346" s="14">
        <v>7.5</v>
      </c>
      <c r="Q346" s="14">
        <v>0.67</v>
      </c>
      <c r="R346" s="14">
        <v>1.73</v>
      </c>
      <c r="S346">
        <v>880</v>
      </c>
    </row>
    <row r="347" spans="3:19" x14ac:dyDescent="0.25">
      <c r="C347" s="15" t="s">
        <v>387</v>
      </c>
      <c r="D347" s="14">
        <v>314</v>
      </c>
      <c r="E347" s="14" t="s">
        <v>26</v>
      </c>
      <c r="F347" s="14" t="s">
        <v>15</v>
      </c>
      <c r="G347" s="14">
        <v>14.34</v>
      </c>
      <c r="H347" s="14">
        <v>1.68</v>
      </c>
      <c r="I347" s="14">
        <v>2.7</v>
      </c>
      <c r="J347" s="14">
        <v>25</v>
      </c>
      <c r="K347" s="14">
        <v>98</v>
      </c>
      <c r="L347" s="14">
        <v>2.8</v>
      </c>
      <c r="M347" s="14">
        <v>1.31</v>
      </c>
      <c r="N347" s="14">
        <v>0.53</v>
      </c>
      <c r="O347" s="14">
        <v>2.7</v>
      </c>
      <c r="P347" s="14">
        <v>13</v>
      </c>
      <c r="Q347" s="14">
        <v>0.56999999999999995</v>
      </c>
      <c r="R347" s="14">
        <v>1.96</v>
      </c>
      <c r="S347">
        <v>660</v>
      </c>
    </row>
    <row r="348" spans="3:19" x14ac:dyDescent="0.25">
      <c r="C348" s="15" t="s">
        <v>388</v>
      </c>
      <c r="D348" s="14">
        <v>315</v>
      </c>
      <c r="E348" s="14" t="s">
        <v>26</v>
      </c>
      <c r="F348" s="14" t="s">
        <v>15</v>
      </c>
      <c r="G348" s="14">
        <v>13.48</v>
      </c>
      <c r="H348" s="14">
        <v>1.67</v>
      </c>
      <c r="I348" s="14">
        <v>2.64</v>
      </c>
      <c r="J348" s="14">
        <v>22.5</v>
      </c>
      <c r="K348" s="14">
        <v>89</v>
      </c>
      <c r="L348" s="14">
        <v>2.6</v>
      </c>
      <c r="M348" s="14">
        <v>1.1000000000000001</v>
      </c>
      <c r="N348" s="14">
        <v>0.52</v>
      </c>
      <c r="O348" s="14">
        <v>2.29</v>
      </c>
      <c r="P348" s="14">
        <v>11.75</v>
      </c>
      <c r="Q348" s="14">
        <v>0.56999999999999995</v>
      </c>
      <c r="R348" s="14">
        <v>1.78</v>
      </c>
      <c r="S348">
        <v>620</v>
      </c>
    </row>
    <row r="349" spans="3:19" x14ac:dyDescent="0.25">
      <c r="C349" s="15" t="s">
        <v>389</v>
      </c>
      <c r="D349" s="14">
        <v>316</v>
      </c>
      <c r="E349" s="14" t="s">
        <v>26</v>
      </c>
      <c r="F349" s="14" t="s">
        <v>15</v>
      </c>
      <c r="G349" s="14">
        <v>12.36</v>
      </c>
      <c r="H349" s="14">
        <v>3.83</v>
      </c>
      <c r="I349" s="14">
        <v>2.38</v>
      </c>
      <c r="J349" s="14">
        <v>21</v>
      </c>
      <c r="K349" s="14">
        <v>88</v>
      </c>
      <c r="L349" s="14">
        <v>2.2999999999999998</v>
      </c>
      <c r="M349" s="14">
        <v>0.92</v>
      </c>
      <c r="N349" s="14">
        <v>0.5</v>
      </c>
      <c r="O349" s="14">
        <v>1.04</v>
      </c>
      <c r="P349" s="14">
        <v>7.65</v>
      </c>
      <c r="Q349" s="14">
        <v>0.56000000000000005</v>
      </c>
      <c r="R349" s="14">
        <v>1.58</v>
      </c>
      <c r="S349">
        <v>520</v>
      </c>
    </row>
    <row r="350" spans="3:19" x14ac:dyDescent="0.25">
      <c r="C350" s="15" t="s">
        <v>390</v>
      </c>
      <c r="D350" s="14">
        <v>317</v>
      </c>
      <c r="E350" s="14" t="s">
        <v>26</v>
      </c>
      <c r="F350" s="14" t="s">
        <v>15</v>
      </c>
      <c r="G350" s="14">
        <v>13.69</v>
      </c>
      <c r="H350" s="14">
        <v>3.26</v>
      </c>
      <c r="I350" s="14">
        <v>2.54</v>
      </c>
      <c r="J350" s="14">
        <v>20</v>
      </c>
      <c r="K350" s="14">
        <v>107</v>
      </c>
      <c r="L350" s="14">
        <v>1.83</v>
      </c>
      <c r="M350" s="14">
        <v>0.56000000000000005</v>
      </c>
      <c r="N350" s="14">
        <v>0.5</v>
      </c>
      <c r="O350" s="14">
        <v>0.8</v>
      </c>
      <c r="P350" s="14">
        <v>5.88</v>
      </c>
      <c r="Q350" s="14">
        <v>0.96</v>
      </c>
      <c r="R350" s="14">
        <v>1.82</v>
      </c>
      <c r="S350">
        <v>680</v>
      </c>
    </row>
    <row r="351" spans="3:19" x14ac:dyDescent="0.25">
      <c r="C351" s="15" t="s">
        <v>391</v>
      </c>
      <c r="D351" s="14">
        <v>318</v>
      </c>
      <c r="E351" s="14" t="s">
        <v>26</v>
      </c>
      <c r="F351" s="14" t="s">
        <v>15</v>
      </c>
      <c r="G351" s="14">
        <v>12.85</v>
      </c>
      <c r="H351" s="14">
        <v>3.27</v>
      </c>
      <c r="I351" s="14">
        <v>2.58</v>
      </c>
      <c r="J351" s="14">
        <v>22</v>
      </c>
      <c r="K351" s="14">
        <v>106</v>
      </c>
      <c r="L351" s="14">
        <v>1.65</v>
      </c>
      <c r="M351" s="14">
        <v>0.6</v>
      </c>
      <c r="N351" s="14">
        <v>0.6</v>
      </c>
      <c r="O351" s="14">
        <v>0.96</v>
      </c>
      <c r="P351" s="14">
        <v>5.58</v>
      </c>
      <c r="Q351" s="14">
        <v>0.87</v>
      </c>
      <c r="R351" s="14">
        <v>2.11</v>
      </c>
      <c r="S351">
        <v>570</v>
      </c>
    </row>
    <row r="352" spans="3:19" x14ac:dyDescent="0.25">
      <c r="C352" s="15" t="s">
        <v>392</v>
      </c>
      <c r="D352" s="14">
        <v>319</v>
      </c>
      <c r="E352" s="14" t="s">
        <v>26</v>
      </c>
      <c r="F352" s="14" t="s">
        <v>15</v>
      </c>
      <c r="G352" s="14">
        <v>12.96</v>
      </c>
      <c r="H352" s="14">
        <v>3.45</v>
      </c>
      <c r="I352" s="14">
        <v>2.35</v>
      </c>
      <c r="J352" s="14">
        <v>18.5</v>
      </c>
      <c r="K352" s="14">
        <v>106</v>
      </c>
      <c r="L352" s="14">
        <v>1.39</v>
      </c>
      <c r="M352" s="14">
        <v>0.7</v>
      </c>
      <c r="N352" s="14">
        <v>0.4</v>
      </c>
      <c r="O352" s="14">
        <v>0.94</v>
      </c>
      <c r="P352" s="14">
        <v>5.28</v>
      </c>
      <c r="Q352" s="14">
        <v>0.68</v>
      </c>
      <c r="R352" s="14">
        <v>1.75</v>
      </c>
      <c r="S352">
        <v>675</v>
      </c>
    </row>
    <row r="353" spans="3:19" x14ac:dyDescent="0.25">
      <c r="C353" s="15" t="s">
        <v>393</v>
      </c>
      <c r="D353" s="14">
        <v>320</v>
      </c>
      <c r="E353" s="14" t="s">
        <v>26</v>
      </c>
      <c r="F353" s="14" t="s">
        <v>15</v>
      </c>
      <c r="G353" s="14">
        <v>13.78</v>
      </c>
      <c r="H353" s="14">
        <v>2.76</v>
      </c>
      <c r="I353" s="14">
        <v>2.2999999999999998</v>
      </c>
      <c r="J353" s="14">
        <v>19.68231707317074</v>
      </c>
      <c r="K353" s="14">
        <v>90</v>
      </c>
      <c r="L353" s="14">
        <v>1.35</v>
      </c>
      <c r="M353" s="14">
        <v>0.68</v>
      </c>
      <c r="N353" s="14">
        <v>0.41</v>
      </c>
      <c r="O353" s="14">
        <v>1.03</v>
      </c>
      <c r="P353" s="14">
        <v>9.58</v>
      </c>
      <c r="Q353" s="14">
        <v>0.7</v>
      </c>
      <c r="R353" s="14">
        <v>1.68</v>
      </c>
      <c r="S353">
        <v>615</v>
      </c>
    </row>
    <row r="354" spans="3:19" x14ac:dyDescent="0.25">
      <c r="C354" s="15" t="s">
        <v>394</v>
      </c>
      <c r="D354" s="14">
        <v>321</v>
      </c>
      <c r="E354" s="14" t="s">
        <v>26</v>
      </c>
      <c r="F354" s="14" t="s">
        <v>15</v>
      </c>
      <c r="G354" s="14">
        <v>13.73</v>
      </c>
      <c r="H354" s="14">
        <v>4.3600000000000003</v>
      </c>
      <c r="I354" s="14">
        <v>2.2599999999999998</v>
      </c>
      <c r="J354" s="14">
        <v>22.5</v>
      </c>
      <c r="K354" s="14">
        <v>88</v>
      </c>
      <c r="L354" s="14">
        <v>1.28</v>
      </c>
      <c r="M354" s="14">
        <v>0.47</v>
      </c>
      <c r="N354" s="14">
        <v>0.52</v>
      </c>
      <c r="O354" s="14">
        <v>1.1499999999999999</v>
      </c>
      <c r="P354" s="14">
        <v>6.62</v>
      </c>
      <c r="Q354" s="14">
        <v>0.78</v>
      </c>
      <c r="R354" s="14">
        <v>1.75</v>
      </c>
      <c r="S354">
        <v>520</v>
      </c>
    </row>
    <row r="355" spans="3:19" x14ac:dyDescent="0.25">
      <c r="C355" s="15" t="s">
        <v>395</v>
      </c>
      <c r="D355" s="14">
        <v>322</v>
      </c>
      <c r="E355" s="14" t="s">
        <v>26</v>
      </c>
      <c r="F355" s="14" t="s">
        <v>15</v>
      </c>
      <c r="G355" s="14">
        <v>13.45</v>
      </c>
      <c r="H355" s="14">
        <v>3.7</v>
      </c>
      <c r="I355" s="14">
        <v>2.6</v>
      </c>
      <c r="J355" s="14">
        <v>23</v>
      </c>
      <c r="K355" s="14">
        <v>111</v>
      </c>
      <c r="L355" s="14">
        <v>1.7</v>
      </c>
      <c r="M355" s="14">
        <v>0.92</v>
      </c>
      <c r="N355" s="14">
        <v>0.43</v>
      </c>
      <c r="O355" s="14">
        <v>1.46</v>
      </c>
      <c r="P355" s="14">
        <v>10.68</v>
      </c>
      <c r="Q355" s="14">
        <v>0.85</v>
      </c>
      <c r="R355" s="14">
        <v>1.56</v>
      </c>
      <c r="S355">
        <v>695</v>
      </c>
    </row>
    <row r="356" spans="3:19" x14ac:dyDescent="0.25">
      <c r="C356" s="15" t="s">
        <v>396</v>
      </c>
      <c r="D356" s="14">
        <v>323</v>
      </c>
      <c r="E356" s="14" t="s">
        <v>26</v>
      </c>
      <c r="F356" s="14" t="s">
        <v>15</v>
      </c>
      <c r="G356" s="14">
        <v>12.82</v>
      </c>
      <c r="H356" s="14">
        <v>3.37</v>
      </c>
      <c r="I356" s="14">
        <v>2.2999999999999998</v>
      </c>
      <c r="J356" s="14">
        <v>19.5</v>
      </c>
      <c r="K356" s="14">
        <v>88</v>
      </c>
      <c r="L356" s="14">
        <v>1.48</v>
      </c>
      <c r="M356" s="14">
        <v>0.66</v>
      </c>
      <c r="N356" s="14">
        <v>0.4</v>
      </c>
      <c r="O356" s="14">
        <v>0.97</v>
      </c>
      <c r="P356" s="14">
        <v>10.26</v>
      </c>
      <c r="Q356" s="14">
        <v>0.72</v>
      </c>
      <c r="R356" s="14">
        <v>1.75</v>
      </c>
      <c r="S356">
        <v>685</v>
      </c>
    </row>
    <row r="357" spans="3:19" x14ac:dyDescent="0.25">
      <c r="C357" s="15" t="s">
        <v>397</v>
      </c>
      <c r="D357" s="14">
        <v>324</v>
      </c>
      <c r="E357" s="14" t="s">
        <v>26</v>
      </c>
      <c r="F357" s="14" t="s">
        <v>15</v>
      </c>
      <c r="G357" s="14">
        <v>13.58</v>
      </c>
      <c r="H357" s="14">
        <v>2.58</v>
      </c>
      <c r="I357" s="14">
        <v>2.69</v>
      </c>
      <c r="J357" s="14">
        <v>24.5</v>
      </c>
      <c r="K357" s="14">
        <v>105</v>
      </c>
      <c r="L357" s="14">
        <v>1.55</v>
      </c>
      <c r="M357" s="14">
        <v>0.84</v>
      </c>
      <c r="N357" s="14">
        <v>0.3653822629969421</v>
      </c>
      <c r="O357" s="14">
        <v>1.54</v>
      </c>
      <c r="P357" s="14">
        <v>8.66</v>
      </c>
      <c r="Q357" s="14">
        <v>0.74</v>
      </c>
      <c r="R357" s="14">
        <v>1.8</v>
      </c>
      <c r="S357">
        <v>750</v>
      </c>
    </row>
    <row r="358" spans="3:19" x14ac:dyDescent="0.25">
      <c r="C358" s="15" t="s">
        <v>398</v>
      </c>
      <c r="D358" s="14">
        <v>325</v>
      </c>
      <c r="E358" s="14" t="s">
        <v>26</v>
      </c>
      <c r="F358" s="14" t="s">
        <v>15</v>
      </c>
      <c r="G358" s="14">
        <v>13.4</v>
      </c>
      <c r="H358" s="14">
        <v>4.5999999999999996</v>
      </c>
      <c r="I358" s="14">
        <v>2.86</v>
      </c>
      <c r="J358" s="14">
        <v>25</v>
      </c>
      <c r="K358" s="14">
        <v>112</v>
      </c>
      <c r="L358" s="14">
        <v>1.98</v>
      </c>
      <c r="M358" s="14">
        <v>0.96</v>
      </c>
      <c r="N358" s="14">
        <v>0.27</v>
      </c>
      <c r="O358" s="14">
        <v>1.1100000000000001</v>
      </c>
      <c r="P358" s="14">
        <v>8.5</v>
      </c>
      <c r="Q358" s="14">
        <v>0.67</v>
      </c>
      <c r="R358" s="14">
        <v>1.92</v>
      </c>
      <c r="S358">
        <v>630</v>
      </c>
    </row>
    <row r="359" spans="3:19" x14ac:dyDescent="0.25">
      <c r="C359" s="15" t="s">
        <v>399</v>
      </c>
      <c r="D359" s="14">
        <v>326</v>
      </c>
      <c r="E359" s="14" t="s">
        <v>26</v>
      </c>
      <c r="F359" s="14" t="s">
        <v>15</v>
      </c>
      <c r="G359" s="14">
        <v>12.2</v>
      </c>
      <c r="H359" s="14">
        <v>3.03</v>
      </c>
      <c r="I359" s="14">
        <v>2.3199999999999998</v>
      </c>
      <c r="J359" s="14">
        <v>19</v>
      </c>
      <c r="K359" s="14">
        <v>96</v>
      </c>
      <c r="L359" s="14">
        <v>1.25</v>
      </c>
      <c r="M359" s="14">
        <v>0.49</v>
      </c>
      <c r="N359" s="14">
        <v>0.4</v>
      </c>
      <c r="O359" s="14">
        <v>0.73</v>
      </c>
      <c r="P359" s="14">
        <v>5.5</v>
      </c>
      <c r="Q359" s="14">
        <v>0.66</v>
      </c>
      <c r="R359" s="14">
        <v>1.83</v>
      </c>
      <c r="S359">
        <v>510</v>
      </c>
    </row>
    <row r="360" spans="3:19" x14ac:dyDescent="0.25">
      <c r="C360" s="15" t="s">
        <v>400</v>
      </c>
      <c r="D360" s="14">
        <v>327</v>
      </c>
      <c r="E360" s="14" t="s">
        <v>26</v>
      </c>
      <c r="F360" s="14" t="s">
        <v>15</v>
      </c>
      <c r="G360" s="14">
        <v>12.77</v>
      </c>
      <c r="H360" s="14">
        <v>2.39</v>
      </c>
      <c r="I360" s="14">
        <v>2.2799999999999998</v>
      </c>
      <c r="J360" s="14">
        <v>19.5</v>
      </c>
      <c r="K360" s="14">
        <v>86</v>
      </c>
      <c r="L360" s="14">
        <v>1.39</v>
      </c>
      <c r="M360" s="14">
        <v>0.51</v>
      </c>
      <c r="N360" s="14">
        <v>0.48</v>
      </c>
      <c r="O360" s="14">
        <v>0.64</v>
      </c>
      <c r="P360" s="14">
        <v>9.8999989999999993</v>
      </c>
      <c r="Q360" s="14">
        <v>0.56999999999999995</v>
      </c>
      <c r="R360" s="14">
        <v>1.63</v>
      </c>
      <c r="S360">
        <v>470</v>
      </c>
    </row>
    <row r="361" spans="3:19" x14ac:dyDescent="0.25">
      <c r="C361" s="15" t="s">
        <v>401</v>
      </c>
      <c r="D361" s="14">
        <v>328</v>
      </c>
      <c r="E361" s="14" t="s">
        <v>26</v>
      </c>
      <c r="F361" s="14" t="s">
        <v>15</v>
      </c>
      <c r="G361" s="14">
        <v>14.16</v>
      </c>
      <c r="H361" s="14">
        <v>2.5099999999999998</v>
      </c>
      <c r="I361" s="14">
        <v>2.48</v>
      </c>
      <c r="J361" s="14">
        <v>20</v>
      </c>
      <c r="K361" s="14">
        <v>91</v>
      </c>
      <c r="L361" s="14">
        <v>1.68</v>
      </c>
      <c r="M361" s="14">
        <v>0.7</v>
      </c>
      <c r="N361" s="14">
        <v>0.44</v>
      </c>
      <c r="O361" s="14">
        <v>1.24</v>
      </c>
      <c r="P361" s="14">
        <v>9.6999999999999993</v>
      </c>
      <c r="Q361" s="14">
        <v>0.62</v>
      </c>
      <c r="R361" s="14">
        <v>1.71</v>
      </c>
      <c r="S361">
        <v>660</v>
      </c>
    </row>
    <row r="362" spans="3:19" x14ac:dyDescent="0.25">
      <c r="C362" s="15" t="s">
        <v>402</v>
      </c>
      <c r="D362" s="14">
        <v>329</v>
      </c>
      <c r="E362" s="14" t="s">
        <v>26</v>
      </c>
      <c r="F362" s="14" t="s">
        <v>15</v>
      </c>
      <c r="G362" s="14">
        <v>13.71</v>
      </c>
      <c r="H362" s="14">
        <v>5.65</v>
      </c>
      <c r="I362" s="14">
        <v>2.4500000000000002</v>
      </c>
      <c r="J362" s="14">
        <v>20.5</v>
      </c>
      <c r="K362" s="14">
        <v>95</v>
      </c>
      <c r="L362" s="14">
        <v>1.68</v>
      </c>
      <c r="M362" s="14">
        <v>0.61</v>
      </c>
      <c r="N362" s="14">
        <v>0.52</v>
      </c>
      <c r="O362" s="14">
        <v>1.06</v>
      </c>
      <c r="P362" s="14">
        <v>7.7</v>
      </c>
      <c r="Q362" s="14">
        <v>0.64</v>
      </c>
      <c r="R362" s="14">
        <v>1.74</v>
      </c>
      <c r="S362">
        <v>740</v>
      </c>
    </row>
  </sheetData>
  <mergeCells count="27">
    <mergeCell ref="F13:I13"/>
    <mergeCell ref="F14:I14"/>
    <mergeCell ref="F15:I15"/>
    <mergeCell ref="F16:I16"/>
    <mergeCell ref="C25:E25"/>
    <mergeCell ref="C26:E26"/>
    <mergeCell ref="C27:E27"/>
    <mergeCell ref="C28:E28"/>
    <mergeCell ref="F26:U26"/>
    <mergeCell ref="F27:U27"/>
    <mergeCell ref="F28:U28"/>
    <mergeCell ref="B4:C4"/>
    <mergeCell ref="D4:E4"/>
    <mergeCell ref="B3:E3"/>
    <mergeCell ref="J3:M3"/>
    <mergeCell ref="C24:E24"/>
    <mergeCell ref="C18:U18"/>
    <mergeCell ref="C19:E19"/>
    <mergeCell ref="C20:E20"/>
    <mergeCell ref="F19:U19"/>
    <mergeCell ref="C22:U22"/>
    <mergeCell ref="C23:E23"/>
    <mergeCell ref="C12:I12"/>
    <mergeCell ref="C13:E13"/>
    <mergeCell ref="C14:E14"/>
    <mergeCell ref="C15:E15"/>
    <mergeCell ref="C16:E16"/>
  </mergeCells>
  <hyperlinks>
    <hyperlink ref="B4" location="'Imputation'!$B$10:$B$10" display="Inputs" xr:uid="{AB0E8D7C-990A-4C88-929B-077C1A45CEC7}"/>
    <hyperlink ref="D4" location="'Imputation'!$B$31:$B$31" display="Transformed Data" xr:uid="{A58A2A66-4E95-4658-B6C1-E3933395AE4D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6BC8C-E5F8-4005-9200-F72D5B55E69C}">
  <dimension ref="B1:CV365"/>
  <sheetViews>
    <sheetView showGridLines="0" topLeftCell="A34" workbookViewId="0">
      <selection activeCell="G52" sqref="G52"/>
    </sheetView>
  </sheetViews>
  <sheetFormatPr defaultRowHeight="13.2" x14ac:dyDescent="0.25"/>
  <cols>
    <col min="3" max="3" width="11.5546875" customWidth="1"/>
    <col min="4" max="4" width="11.77734375" customWidth="1"/>
    <col min="5" max="5" width="17" customWidth="1"/>
    <col min="6" max="6" width="19.6640625" customWidth="1"/>
    <col min="7" max="7" width="13.88671875" customWidth="1"/>
    <col min="8" max="8" width="22.6640625" customWidth="1"/>
    <col min="9" max="9" width="20.33203125" customWidth="1"/>
    <col min="10" max="10" width="29.109375" bestFit="1" customWidth="1"/>
    <col min="11" max="11" width="19.88671875" customWidth="1"/>
    <col min="12" max="12" width="29.88671875" customWidth="1"/>
    <col min="13" max="13" width="25.33203125" customWidth="1"/>
    <col min="14" max="14" width="23.77734375" customWidth="1"/>
    <col min="15" max="15" width="14" customWidth="1"/>
    <col min="16" max="16" width="23.109375" customWidth="1"/>
    <col min="17" max="17" width="16.6640625" customWidth="1"/>
  </cols>
  <sheetData>
    <row r="1" spans="2:100" ht="18" x14ac:dyDescent="0.35">
      <c r="B1" s="12" t="s">
        <v>403</v>
      </c>
      <c r="N1" t="s">
        <v>826</v>
      </c>
      <c r="CV1" s="19" t="s">
        <v>825</v>
      </c>
    </row>
    <row r="3" spans="2:100" ht="15.6" x14ac:dyDescent="0.3">
      <c r="B3" s="21" t="s">
        <v>30</v>
      </c>
      <c r="C3" s="22"/>
      <c r="D3" s="22"/>
      <c r="E3" s="22"/>
      <c r="F3" s="22"/>
      <c r="G3" s="23"/>
      <c r="J3" s="21" t="s">
        <v>53</v>
      </c>
      <c r="K3" s="22"/>
      <c r="L3" s="22"/>
      <c r="M3" s="23"/>
    </row>
    <row r="4" spans="2:100" ht="13.8" x14ac:dyDescent="0.3">
      <c r="B4" s="20" t="s">
        <v>31</v>
      </c>
      <c r="C4" s="20"/>
      <c r="D4" s="20" t="s">
        <v>404</v>
      </c>
      <c r="E4" s="20"/>
      <c r="F4" s="20" t="s">
        <v>415</v>
      </c>
      <c r="G4" s="20"/>
      <c r="J4" s="18" t="s">
        <v>54</v>
      </c>
      <c r="K4" s="18" t="s">
        <v>55</v>
      </c>
      <c r="L4" s="18" t="s">
        <v>56</v>
      </c>
      <c r="M4" s="18" t="s">
        <v>57</v>
      </c>
    </row>
    <row r="5" spans="2:100" ht="13.8" x14ac:dyDescent="0.3">
      <c r="J5" s="16">
        <v>397</v>
      </c>
      <c r="K5" s="16">
        <v>4</v>
      </c>
      <c r="L5" s="16">
        <v>6</v>
      </c>
      <c r="M5" s="16">
        <v>407</v>
      </c>
    </row>
    <row r="10" spans="2:100" ht="18" x14ac:dyDescent="0.35">
      <c r="B10" s="13" t="s">
        <v>31</v>
      </c>
    </row>
    <row r="12" spans="2:100" ht="15.6" x14ac:dyDescent="0.3">
      <c r="C12" s="28" t="s">
        <v>33</v>
      </c>
      <c r="D12" s="28"/>
      <c r="E12" s="28"/>
      <c r="F12" s="28"/>
      <c r="G12" s="28"/>
      <c r="H12" s="28"/>
      <c r="I12" s="28"/>
    </row>
    <row r="13" spans="2:100" ht="13.8" x14ac:dyDescent="0.3">
      <c r="C13" s="24" t="s">
        <v>34</v>
      </c>
      <c r="D13" s="24"/>
      <c r="E13" s="25"/>
      <c r="F13" s="29" t="s">
        <v>48</v>
      </c>
      <c r="G13" s="29"/>
      <c r="H13" s="29"/>
      <c r="I13" s="29"/>
    </row>
    <row r="14" spans="2:100" ht="13.8" x14ac:dyDescent="0.3">
      <c r="C14" s="24" t="s">
        <v>35</v>
      </c>
      <c r="D14" s="24"/>
      <c r="E14" s="25"/>
      <c r="F14" s="29" t="s">
        <v>410</v>
      </c>
      <c r="G14" s="29"/>
      <c r="H14" s="29"/>
      <c r="I14" s="29"/>
    </row>
    <row r="15" spans="2:100" ht="13.8" x14ac:dyDescent="0.3">
      <c r="C15" s="24" t="s">
        <v>36</v>
      </c>
      <c r="D15" s="24"/>
      <c r="E15" s="25"/>
      <c r="F15" s="29" t="s">
        <v>411</v>
      </c>
      <c r="G15" s="29"/>
      <c r="H15" s="29"/>
      <c r="I15" s="29"/>
    </row>
    <row r="16" spans="2:100" ht="13.8" x14ac:dyDescent="0.3">
      <c r="C16" s="24" t="s">
        <v>37</v>
      </c>
      <c r="D16" s="24"/>
      <c r="E16" s="25"/>
      <c r="F16" s="27">
        <v>329</v>
      </c>
      <c r="G16" s="27"/>
      <c r="H16" s="27"/>
      <c r="I16" s="27"/>
    </row>
    <row r="18" spans="2:19" ht="15.6" x14ac:dyDescent="0.3">
      <c r="C18" s="28" t="s">
        <v>38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</row>
    <row r="19" spans="2:19" ht="13.8" x14ac:dyDescent="0.3">
      <c r="C19" s="24" t="s">
        <v>39</v>
      </c>
      <c r="D19" s="24"/>
      <c r="E19" s="25"/>
      <c r="F19" s="27">
        <v>14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</row>
    <row r="20" spans="2:19" ht="13.8" x14ac:dyDescent="0.3">
      <c r="C20" s="24" t="s">
        <v>40</v>
      </c>
      <c r="D20" s="24"/>
      <c r="E20" s="25"/>
      <c r="F20" s="16" t="s">
        <v>0</v>
      </c>
      <c r="G20" s="16" t="s">
        <v>61</v>
      </c>
      <c r="H20" s="16" t="s">
        <v>62</v>
      </c>
      <c r="I20" s="16" t="s">
        <v>63</v>
      </c>
      <c r="J20" s="16" t="s">
        <v>64</v>
      </c>
      <c r="K20" s="16" t="s">
        <v>65</v>
      </c>
      <c r="L20" s="16" t="s">
        <v>66</v>
      </c>
      <c r="M20" s="16" t="s">
        <v>67</v>
      </c>
      <c r="N20" s="16" t="s">
        <v>68</v>
      </c>
      <c r="O20" s="16" t="s">
        <v>69</v>
      </c>
      <c r="P20" s="16" t="s">
        <v>70</v>
      </c>
      <c r="Q20" s="16" t="s">
        <v>71</v>
      </c>
      <c r="R20" s="16" t="s">
        <v>72</v>
      </c>
      <c r="S20" s="16" t="s">
        <v>73</v>
      </c>
    </row>
    <row r="22" spans="2:19" ht="15.6" x14ac:dyDescent="0.3">
      <c r="C22" s="28" t="s">
        <v>405</v>
      </c>
      <c r="D22" s="28"/>
      <c r="E22" s="28"/>
      <c r="F22" s="28"/>
      <c r="G22" s="28"/>
      <c r="H22" s="28"/>
      <c r="I22" s="28"/>
    </row>
    <row r="23" spans="2:19" ht="13.8" x14ac:dyDescent="0.3">
      <c r="C23" s="24" t="s">
        <v>406</v>
      </c>
      <c r="D23" s="24"/>
      <c r="E23" s="25"/>
      <c r="F23" s="27" t="s">
        <v>412</v>
      </c>
      <c r="G23" s="27"/>
      <c r="H23" s="27"/>
      <c r="I23" s="27"/>
    </row>
    <row r="24" spans="2:19" ht="13.8" x14ac:dyDescent="0.3">
      <c r="C24" s="24" t="s">
        <v>407</v>
      </c>
      <c r="D24" s="24"/>
      <c r="E24" s="25"/>
      <c r="F24" s="27">
        <v>12345</v>
      </c>
      <c r="G24" s="27"/>
      <c r="H24" s="27"/>
      <c r="I24" s="27"/>
    </row>
    <row r="25" spans="2:19" ht="13.8" x14ac:dyDescent="0.3">
      <c r="C25" s="24" t="s">
        <v>408</v>
      </c>
      <c r="D25" s="24"/>
      <c r="E25" s="25"/>
      <c r="F25" s="27">
        <v>0.55000000000000004</v>
      </c>
      <c r="G25" s="27"/>
      <c r="H25" s="27"/>
      <c r="I25" s="27"/>
    </row>
    <row r="26" spans="2:19" ht="13.8" x14ac:dyDescent="0.3">
      <c r="C26" s="24" t="s">
        <v>409</v>
      </c>
      <c r="D26" s="24"/>
      <c r="E26" s="25"/>
      <c r="F26" s="27">
        <v>0.45</v>
      </c>
      <c r="G26" s="27"/>
      <c r="H26" s="27"/>
      <c r="I26" s="27"/>
    </row>
    <row r="28" spans="2:19" ht="18" x14ac:dyDescent="0.35">
      <c r="B28" s="13" t="s">
        <v>404</v>
      </c>
    </row>
    <row r="30" spans="2:19" x14ac:dyDescent="0.25">
      <c r="C30" s="15" t="s">
        <v>416</v>
      </c>
      <c r="D30" t="s">
        <v>417</v>
      </c>
    </row>
    <row r="31" spans="2:19" x14ac:dyDescent="0.25">
      <c r="C31" s="15" t="s">
        <v>418</v>
      </c>
      <c r="D31">
        <v>181</v>
      </c>
    </row>
    <row r="32" spans="2:19" x14ac:dyDescent="0.25">
      <c r="C32" s="15" t="s">
        <v>419</v>
      </c>
      <c r="D32">
        <v>148</v>
      </c>
    </row>
    <row r="34" spans="2:17" ht="18" x14ac:dyDescent="0.35">
      <c r="B34" s="13" t="s">
        <v>415</v>
      </c>
    </row>
    <row r="36" spans="2:17" x14ac:dyDescent="0.25">
      <c r="C36" s="15" t="s">
        <v>60</v>
      </c>
      <c r="D36" t="s">
        <v>0</v>
      </c>
      <c r="E36" t="s">
        <v>61</v>
      </c>
      <c r="F36" t="s">
        <v>62</v>
      </c>
      <c r="G36" t="s">
        <v>63</v>
      </c>
      <c r="H36" t="s">
        <v>64</v>
      </c>
      <c r="I36" t="s">
        <v>65</v>
      </c>
      <c r="J36" t="s">
        <v>66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</row>
    <row r="37" spans="2:17" x14ac:dyDescent="0.25">
      <c r="C37" s="15" t="s">
        <v>74</v>
      </c>
      <c r="D37" s="14" t="s">
        <v>13</v>
      </c>
      <c r="E37" s="14">
        <v>14.23</v>
      </c>
      <c r="F37" s="14">
        <v>1.71</v>
      </c>
      <c r="G37" s="14">
        <v>2.4300000000000002</v>
      </c>
      <c r="H37" s="14">
        <v>15.6</v>
      </c>
      <c r="I37" s="14">
        <v>127</v>
      </c>
      <c r="J37" s="14">
        <v>2.7999999999999901</v>
      </c>
      <c r="K37" s="14">
        <v>3.06</v>
      </c>
      <c r="L37" s="14">
        <v>0.28000000000000003</v>
      </c>
      <c r="M37" s="14">
        <v>2.29</v>
      </c>
      <c r="N37" s="14">
        <v>5.6399999999999899</v>
      </c>
      <c r="O37" s="14">
        <v>1.04</v>
      </c>
      <c r="P37" s="14">
        <v>3.9199999999999902</v>
      </c>
      <c r="Q37">
        <v>1065</v>
      </c>
    </row>
    <row r="38" spans="2:17" x14ac:dyDescent="0.25">
      <c r="C38" s="15" t="s">
        <v>78</v>
      </c>
      <c r="D38" s="14" t="s">
        <v>13</v>
      </c>
      <c r="E38" s="14">
        <v>13.24</v>
      </c>
      <c r="F38" s="14">
        <v>2.5899999999999901</v>
      </c>
      <c r="G38" s="14">
        <v>2.87</v>
      </c>
      <c r="H38" s="14">
        <v>21</v>
      </c>
      <c r="I38" s="14">
        <v>118</v>
      </c>
      <c r="J38" s="14">
        <v>2.7999999999999901</v>
      </c>
      <c r="K38" s="14">
        <v>2.6899999999999902</v>
      </c>
      <c r="L38" s="14">
        <v>0.39</v>
      </c>
      <c r="M38" s="14">
        <v>1.82</v>
      </c>
      <c r="N38" s="14">
        <v>4.32</v>
      </c>
      <c r="O38" s="14">
        <v>1.04</v>
      </c>
      <c r="P38" s="14">
        <v>2.93</v>
      </c>
      <c r="Q38">
        <v>735</v>
      </c>
    </row>
    <row r="39" spans="2:17" x14ac:dyDescent="0.25">
      <c r="C39" s="15" t="s">
        <v>81</v>
      </c>
      <c r="D39" s="14" t="s">
        <v>13</v>
      </c>
      <c r="E39" s="14">
        <v>14.06</v>
      </c>
      <c r="F39" s="14">
        <v>2.1499999999999901</v>
      </c>
      <c r="G39" s="14">
        <v>2.6099999999999901</v>
      </c>
      <c r="H39" s="14">
        <v>17.600000000000001</v>
      </c>
      <c r="I39" s="14">
        <v>121</v>
      </c>
      <c r="J39" s="14">
        <v>2.6</v>
      </c>
      <c r="K39" s="14">
        <v>2.50999999999999</v>
      </c>
      <c r="L39" s="14">
        <v>0.31</v>
      </c>
      <c r="M39" s="14">
        <v>1.25</v>
      </c>
      <c r="N39" s="14">
        <v>5.0499999999999901</v>
      </c>
      <c r="O39" s="14">
        <v>1.06</v>
      </c>
      <c r="P39" s="14">
        <v>3.58</v>
      </c>
      <c r="Q39">
        <v>1295</v>
      </c>
    </row>
    <row r="40" spans="2:17" x14ac:dyDescent="0.25">
      <c r="C40" s="15" t="s">
        <v>88</v>
      </c>
      <c r="D40" s="14" t="s">
        <v>13</v>
      </c>
      <c r="E40" s="14">
        <v>14.38</v>
      </c>
      <c r="F40" s="14">
        <v>1.87</v>
      </c>
      <c r="G40" s="14">
        <v>2.3799999999999901</v>
      </c>
      <c r="H40" s="14">
        <v>12</v>
      </c>
      <c r="I40" s="14">
        <v>102</v>
      </c>
      <c r="J40" s="14">
        <v>3.2999999999999901</v>
      </c>
      <c r="K40" s="14">
        <v>3.64</v>
      </c>
      <c r="L40" s="14">
        <v>0.28999999999999898</v>
      </c>
      <c r="M40" s="14">
        <v>2.96</v>
      </c>
      <c r="N40" s="14">
        <v>7.5</v>
      </c>
      <c r="O40" s="14">
        <v>1.2</v>
      </c>
      <c r="P40" s="14">
        <v>3</v>
      </c>
      <c r="Q40">
        <v>1547</v>
      </c>
    </row>
    <row r="41" spans="2:17" x14ac:dyDescent="0.25">
      <c r="C41" s="15" t="s">
        <v>91</v>
      </c>
      <c r="D41" s="14" t="s">
        <v>13</v>
      </c>
      <c r="E41" s="14">
        <v>13.83</v>
      </c>
      <c r="F41" s="14">
        <v>1.57</v>
      </c>
      <c r="G41" s="14">
        <v>2.62</v>
      </c>
      <c r="H41" s="14">
        <v>20</v>
      </c>
      <c r="I41" s="14">
        <v>115</v>
      </c>
      <c r="J41" s="14">
        <v>2.95</v>
      </c>
      <c r="K41" s="14">
        <v>3.3999999999999901</v>
      </c>
      <c r="L41" s="14">
        <v>0.4</v>
      </c>
      <c r="M41" s="14">
        <v>1.72</v>
      </c>
      <c r="N41" s="14">
        <v>6.5999999999999899</v>
      </c>
      <c r="O41" s="14">
        <v>1.1299999999999899</v>
      </c>
      <c r="P41" s="14">
        <v>2.5699999999999901</v>
      </c>
      <c r="Q41">
        <v>1130</v>
      </c>
    </row>
    <row r="42" spans="2:17" x14ac:dyDescent="0.25">
      <c r="C42" s="15" t="s">
        <v>93</v>
      </c>
      <c r="D42" s="14" t="s">
        <v>13</v>
      </c>
      <c r="E42" s="14">
        <v>13.64</v>
      </c>
      <c r="F42" s="14">
        <v>3.1</v>
      </c>
      <c r="G42" s="14">
        <v>2.56</v>
      </c>
      <c r="H42" s="14">
        <v>15.1999999999999</v>
      </c>
      <c r="I42" s="14">
        <v>116</v>
      </c>
      <c r="J42" s="14">
        <v>2.7</v>
      </c>
      <c r="K42" s="14">
        <v>3.02999999999999</v>
      </c>
      <c r="L42" s="14">
        <v>0.17</v>
      </c>
      <c r="M42" s="14">
        <v>1.6599999999999899</v>
      </c>
      <c r="N42" s="14">
        <v>5.0999999999999899</v>
      </c>
      <c r="O42" s="14">
        <v>0.95999999999999897</v>
      </c>
      <c r="P42" s="14">
        <v>3.3599999999999901</v>
      </c>
      <c r="Q42">
        <v>845</v>
      </c>
    </row>
    <row r="43" spans="2:17" x14ac:dyDescent="0.25">
      <c r="C43" s="15" t="s">
        <v>94</v>
      </c>
      <c r="D43" s="14" t="s">
        <v>13</v>
      </c>
      <c r="E43" s="14">
        <v>14.06</v>
      </c>
      <c r="F43" s="14">
        <v>1.6299999999999899</v>
      </c>
      <c r="G43" s="14">
        <v>2.27999999999999</v>
      </c>
      <c r="H43" s="14">
        <v>16</v>
      </c>
      <c r="I43" s="14">
        <v>126</v>
      </c>
      <c r="J43" s="14">
        <v>3</v>
      </c>
      <c r="K43" s="14">
        <v>3.1699999999999902</v>
      </c>
      <c r="L43" s="14">
        <v>0.23999999999999899</v>
      </c>
      <c r="M43" s="14">
        <v>2.1</v>
      </c>
      <c r="N43" s="14">
        <v>5.65</v>
      </c>
      <c r="O43" s="14">
        <v>1.0900000000000001</v>
      </c>
      <c r="P43" s="14">
        <v>3.71</v>
      </c>
      <c r="Q43">
        <v>780</v>
      </c>
    </row>
    <row r="44" spans="2:17" x14ac:dyDescent="0.25">
      <c r="C44" s="15" t="s">
        <v>95</v>
      </c>
      <c r="D44" s="14" t="s">
        <v>13</v>
      </c>
      <c r="E44" s="14">
        <v>12.93</v>
      </c>
      <c r="F44" s="14">
        <v>3.7999999999999901</v>
      </c>
      <c r="G44" s="14">
        <v>2.6499999999999901</v>
      </c>
      <c r="H44" s="14">
        <v>18.600000000000001</v>
      </c>
      <c r="I44" s="14">
        <v>102</v>
      </c>
      <c r="J44" s="14">
        <v>2.41</v>
      </c>
      <c r="K44" s="14">
        <v>2.41</v>
      </c>
      <c r="L44" s="14">
        <v>0.25</v>
      </c>
      <c r="M44" s="14">
        <v>1.98</v>
      </c>
      <c r="N44" s="14">
        <v>4.5</v>
      </c>
      <c r="O44" s="14">
        <v>1.03</v>
      </c>
      <c r="P44" s="14">
        <v>3.52</v>
      </c>
      <c r="Q44">
        <v>770</v>
      </c>
    </row>
    <row r="45" spans="2:17" x14ac:dyDescent="0.25">
      <c r="C45" s="15" t="s">
        <v>96</v>
      </c>
      <c r="D45" s="14" t="s">
        <v>13</v>
      </c>
      <c r="E45" s="14">
        <v>13.71</v>
      </c>
      <c r="F45" s="14">
        <v>1.86</v>
      </c>
      <c r="G45" s="14">
        <v>2.3599999999999901</v>
      </c>
      <c r="H45" s="14">
        <v>16.600000000000001</v>
      </c>
      <c r="I45" s="14">
        <v>101</v>
      </c>
      <c r="J45" s="14">
        <v>2.6099999999999901</v>
      </c>
      <c r="K45" s="14">
        <v>2.8799999999999901</v>
      </c>
      <c r="L45" s="14">
        <v>0.27</v>
      </c>
      <c r="M45" s="14">
        <v>1.68999999999999</v>
      </c>
      <c r="N45" s="14">
        <v>3.7999999999999901</v>
      </c>
      <c r="O45" s="14">
        <v>1.1100000000000001</v>
      </c>
      <c r="P45" s="14">
        <v>4</v>
      </c>
      <c r="Q45">
        <v>1035</v>
      </c>
    </row>
    <row r="46" spans="2:17" x14ac:dyDescent="0.25">
      <c r="C46" s="15" t="s">
        <v>98</v>
      </c>
      <c r="D46" s="14" t="s">
        <v>13</v>
      </c>
      <c r="E46" s="14">
        <v>13.5</v>
      </c>
      <c r="F46" s="14">
        <v>1.81</v>
      </c>
      <c r="G46" s="14">
        <v>2.6099999999999901</v>
      </c>
      <c r="H46" s="14">
        <v>20</v>
      </c>
      <c r="I46" s="14">
        <v>96</v>
      </c>
      <c r="J46" s="14">
        <v>2.52999999999999</v>
      </c>
      <c r="K46" s="14">
        <v>2.6099999999999901</v>
      </c>
      <c r="L46" s="14">
        <v>0.28000000000000003</v>
      </c>
      <c r="M46" s="14">
        <v>1.6599999999999899</v>
      </c>
      <c r="N46" s="14">
        <v>3.52</v>
      </c>
      <c r="O46" s="14">
        <v>1.1200000000000001</v>
      </c>
      <c r="P46" s="14">
        <v>3.8199999999999901</v>
      </c>
      <c r="Q46">
        <v>845</v>
      </c>
    </row>
    <row r="47" spans="2:17" x14ac:dyDescent="0.25">
      <c r="C47" s="15" t="s">
        <v>99</v>
      </c>
      <c r="D47" s="14" t="s">
        <v>13</v>
      </c>
      <c r="E47" s="14">
        <v>13.05</v>
      </c>
      <c r="F47" s="14">
        <v>2.0499999999999901</v>
      </c>
      <c r="G47" s="14">
        <v>3.22</v>
      </c>
      <c r="H47" s="14">
        <v>25</v>
      </c>
      <c r="I47" s="14">
        <v>124</v>
      </c>
      <c r="J47" s="14">
        <v>2.6299999999999901</v>
      </c>
      <c r="K47" s="14">
        <v>2.68</v>
      </c>
      <c r="L47" s="14">
        <v>0.46999999999999897</v>
      </c>
      <c r="M47" s="14">
        <v>1.9199999999999899</v>
      </c>
      <c r="N47" s="14">
        <v>3.58</v>
      </c>
      <c r="O47" s="14">
        <v>1.1299999999999899</v>
      </c>
      <c r="P47" s="14">
        <v>3.2</v>
      </c>
      <c r="Q47">
        <v>830</v>
      </c>
    </row>
    <row r="48" spans="2:17" x14ac:dyDescent="0.25">
      <c r="C48" s="15" t="s">
        <v>101</v>
      </c>
      <c r="D48" s="14" t="s">
        <v>13</v>
      </c>
      <c r="E48" s="14">
        <v>13.3</v>
      </c>
      <c r="F48" s="14">
        <v>1.72</v>
      </c>
      <c r="G48" s="14">
        <v>2.14</v>
      </c>
      <c r="H48" s="14">
        <v>17</v>
      </c>
      <c r="I48" s="14">
        <v>94</v>
      </c>
      <c r="J48" s="14">
        <v>2.3999999999999901</v>
      </c>
      <c r="K48" s="14">
        <v>2.1899999999999902</v>
      </c>
      <c r="L48" s="14">
        <v>0.27</v>
      </c>
      <c r="M48" s="14">
        <v>1.35</v>
      </c>
      <c r="N48" s="14">
        <v>3.95</v>
      </c>
      <c r="O48" s="14">
        <v>1.02</v>
      </c>
      <c r="P48" s="14">
        <v>2.77</v>
      </c>
      <c r="Q48">
        <v>1285</v>
      </c>
    </row>
    <row r="49" spans="3:17" x14ac:dyDescent="0.25">
      <c r="C49" s="15" t="s">
        <v>102</v>
      </c>
      <c r="D49" s="14" t="s">
        <v>13</v>
      </c>
      <c r="E49" s="14">
        <v>13.8699999999999</v>
      </c>
      <c r="F49" s="14">
        <v>1.8999999999999899</v>
      </c>
      <c r="G49" s="14">
        <v>2.7999999999999901</v>
      </c>
      <c r="H49" s="14">
        <v>19.399999999999899</v>
      </c>
      <c r="I49" s="14">
        <v>107</v>
      </c>
      <c r="J49" s="14">
        <v>2.95</v>
      </c>
      <c r="K49" s="14">
        <v>2.97</v>
      </c>
      <c r="L49" s="14">
        <v>0.37</v>
      </c>
      <c r="M49" s="14">
        <v>1.76</v>
      </c>
      <c r="N49" s="14">
        <v>4.5</v>
      </c>
      <c r="O49" s="14">
        <v>1.25</v>
      </c>
      <c r="P49" s="14">
        <v>3.3999999999999901</v>
      </c>
      <c r="Q49">
        <v>915</v>
      </c>
    </row>
    <row r="50" spans="3:17" x14ac:dyDescent="0.25">
      <c r="C50" s="15" t="s">
        <v>105</v>
      </c>
      <c r="D50" s="14" t="s">
        <v>13</v>
      </c>
      <c r="E50" s="14">
        <v>13.58</v>
      </c>
      <c r="F50" s="14">
        <v>1.6599999999999899</v>
      </c>
      <c r="G50" s="14">
        <v>2.3599999999999901</v>
      </c>
      <c r="H50" s="14">
        <v>19.100000000000001</v>
      </c>
      <c r="I50" s="14">
        <v>106</v>
      </c>
      <c r="J50" s="14">
        <v>2.8599999999999901</v>
      </c>
      <c r="K50" s="14">
        <v>3.1899999999999902</v>
      </c>
      <c r="L50" s="14">
        <v>0.22</v>
      </c>
      <c r="M50" s="14">
        <v>1.95</v>
      </c>
      <c r="N50" s="14">
        <v>6.9</v>
      </c>
      <c r="O50" s="14">
        <v>1.0900000000000001</v>
      </c>
      <c r="P50" s="14">
        <v>2.8799999999999901</v>
      </c>
      <c r="Q50">
        <v>1515</v>
      </c>
    </row>
    <row r="51" spans="3:17" x14ac:dyDescent="0.25">
      <c r="C51" s="15" t="s">
        <v>108</v>
      </c>
      <c r="D51" s="14" t="s">
        <v>13</v>
      </c>
      <c r="E51" s="14">
        <v>13.51</v>
      </c>
      <c r="F51" s="14">
        <v>1.8</v>
      </c>
      <c r="G51" s="14">
        <v>2.6499999999999901</v>
      </c>
      <c r="H51" s="14">
        <v>19</v>
      </c>
      <c r="I51" s="14">
        <v>110</v>
      </c>
      <c r="J51" s="14">
        <v>2.35</v>
      </c>
      <c r="K51" s="14">
        <v>2.52999999999999</v>
      </c>
      <c r="L51" s="14">
        <v>0.28999999999999898</v>
      </c>
      <c r="M51" s="14">
        <v>1.54</v>
      </c>
      <c r="N51" s="14">
        <v>4.2</v>
      </c>
      <c r="O51" s="14">
        <v>1.1000000000000001</v>
      </c>
      <c r="P51" s="14">
        <v>2.87</v>
      </c>
      <c r="Q51">
        <v>1095</v>
      </c>
    </row>
    <row r="52" spans="3:17" x14ac:dyDescent="0.25">
      <c r="C52" s="15" t="s">
        <v>110</v>
      </c>
      <c r="D52" s="14" t="s">
        <v>13</v>
      </c>
      <c r="E52" s="14">
        <v>13.2799999999999</v>
      </c>
      <c r="F52" s="14">
        <v>1.6399999999999899</v>
      </c>
      <c r="G52" s="14">
        <v>2.8399999999999901</v>
      </c>
      <c r="H52" s="14">
        <v>15.5</v>
      </c>
      <c r="I52" s="14">
        <v>110</v>
      </c>
      <c r="J52" s="14">
        <v>2.6</v>
      </c>
      <c r="K52" s="14">
        <v>2.68</v>
      </c>
      <c r="L52" s="14">
        <v>0.34</v>
      </c>
      <c r="M52" s="14">
        <v>1.36</v>
      </c>
      <c r="N52" s="14">
        <v>4.5999999999999899</v>
      </c>
      <c r="O52" s="14">
        <v>1.0900000000000001</v>
      </c>
      <c r="P52" s="14">
        <v>2.77999999999999</v>
      </c>
      <c r="Q52">
        <v>880</v>
      </c>
    </row>
    <row r="53" spans="3:17" x14ac:dyDescent="0.25">
      <c r="C53" s="15" t="s">
        <v>118</v>
      </c>
      <c r="D53" s="14" t="s">
        <v>13</v>
      </c>
      <c r="E53" s="14">
        <v>13.05</v>
      </c>
      <c r="F53" s="14">
        <v>1.77</v>
      </c>
      <c r="G53" s="14">
        <v>2.1</v>
      </c>
      <c r="H53" s="14">
        <v>17</v>
      </c>
      <c r="I53" s="14">
        <v>107</v>
      </c>
      <c r="J53" s="14">
        <v>3</v>
      </c>
      <c r="K53" s="14">
        <v>3</v>
      </c>
      <c r="L53" s="14">
        <v>0.28000000000000003</v>
      </c>
      <c r="M53" s="14">
        <v>2.02999999999999</v>
      </c>
      <c r="N53" s="14">
        <v>5.04</v>
      </c>
      <c r="O53" s="14">
        <v>0.88</v>
      </c>
      <c r="P53" s="14">
        <v>3.35</v>
      </c>
      <c r="Q53">
        <v>885</v>
      </c>
    </row>
    <row r="54" spans="3:17" x14ac:dyDescent="0.25">
      <c r="C54" s="15" t="s">
        <v>120</v>
      </c>
      <c r="D54" s="14" t="s">
        <v>13</v>
      </c>
      <c r="E54" s="14">
        <v>14.38</v>
      </c>
      <c r="F54" s="14">
        <v>3.5899999999999901</v>
      </c>
      <c r="G54" s="14">
        <v>2.27999999999999</v>
      </c>
      <c r="H54" s="14">
        <v>16</v>
      </c>
      <c r="I54" s="14">
        <v>102</v>
      </c>
      <c r="J54" s="14">
        <v>3.25</v>
      </c>
      <c r="K54" s="14">
        <v>3.1699999999999902</v>
      </c>
      <c r="L54" s="14">
        <v>0.27</v>
      </c>
      <c r="M54" s="14">
        <v>2.1899999999999902</v>
      </c>
      <c r="N54" s="14">
        <v>4.9000000000000004</v>
      </c>
      <c r="O54" s="14">
        <v>1.04</v>
      </c>
      <c r="P54" s="14">
        <v>3.4399999999999902</v>
      </c>
      <c r="Q54">
        <v>1065</v>
      </c>
    </row>
    <row r="55" spans="3:17" x14ac:dyDescent="0.25">
      <c r="C55" s="15" t="s">
        <v>121</v>
      </c>
      <c r="D55" s="14" t="s">
        <v>13</v>
      </c>
      <c r="E55" s="14">
        <v>13.9</v>
      </c>
      <c r="F55" s="14">
        <v>1.6799999999999899</v>
      </c>
      <c r="G55" s="14">
        <v>2.12</v>
      </c>
      <c r="H55" s="14">
        <v>16</v>
      </c>
      <c r="I55" s="14">
        <v>101</v>
      </c>
      <c r="J55" s="14">
        <v>3.1</v>
      </c>
      <c r="K55" s="14">
        <v>3.39</v>
      </c>
      <c r="L55" s="14">
        <v>0.20999999999999899</v>
      </c>
      <c r="M55" s="14">
        <v>2.14</v>
      </c>
      <c r="N55" s="14">
        <v>6.0999999999999899</v>
      </c>
      <c r="O55" s="14">
        <v>0.91</v>
      </c>
      <c r="P55" s="14">
        <v>3.33</v>
      </c>
      <c r="Q55">
        <v>985</v>
      </c>
    </row>
    <row r="56" spans="3:17" x14ac:dyDescent="0.25">
      <c r="C56" s="15" t="s">
        <v>122</v>
      </c>
      <c r="D56" s="14" t="s">
        <v>13</v>
      </c>
      <c r="E56" s="14">
        <v>14.1</v>
      </c>
      <c r="F56" s="14">
        <v>2.02</v>
      </c>
      <c r="G56" s="14">
        <v>2.3999999999999901</v>
      </c>
      <c r="H56" s="14">
        <v>18.8</v>
      </c>
      <c r="I56" s="14">
        <v>103</v>
      </c>
      <c r="J56" s="14">
        <v>2.75</v>
      </c>
      <c r="K56" s="14">
        <v>2.9199999999999902</v>
      </c>
      <c r="L56" s="14">
        <v>0.32</v>
      </c>
      <c r="M56" s="14">
        <v>2.3799999999999901</v>
      </c>
      <c r="N56" s="14">
        <v>6.2</v>
      </c>
      <c r="O56" s="14">
        <v>1.07</v>
      </c>
      <c r="P56" s="14">
        <v>2.75</v>
      </c>
      <c r="Q56">
        <v>1060</v>
      </c>
    </row>
    <row r="57" spans="3:17" x14ac:dyDescent="0.25">
      <c r="C57" s="15" t="s">
        <v>127</v>
      </c>
      <c r="D57" s="14" t="s">
        <v>13</v>
      </c>
      <c r="E57" s="14">
        <v>13.77</v>
      </c>
      <c r="F57" s="14">
        <v>1.8999999999999899</v>
      </c>
      <c r="G57" s="14">
        <v>2.68</v>
      </c>
      <c r="H57" s="14">
        <v>17.100000000000001</v>
      </c>
      <c r="I57" s="14">
        <v>115</v>
      </c>
      <c r="J57" s="14">
        <v>3</v>
      </c>
      <c r="K57" s="14">
        <v>2.79</v>
      </c>
      <c r="L57" s="14">
        <v>0.39</v>
      </c>
      <c r="M57" s="14">
        <v>1.6799999999999899</v>
      </c>
      <c r="N57" s="14">
        <v>6.2999999999999901</v>
      </c>
      <c r="O57" s="14">
        <v>1.1299999999999899</v>
      </c>
      <c r="P57" s="14">
        <v>2.93</v>
      </c>
      <c r="Q57">
        <v>1375</v>
      </c>
    </row>
    <row r="58" spans="3:17" x14ac:dyDescent="0.25">
      <c r="C58" s="15" t="s">
        <v>129</v>
      </c>
      <c r="D58" s="14" t="s">
        <v>13</v>
      </c>
      <c r="E58" s="14">
        <v>13.56</v>
      </c>
      <c r="F58" s="14">
        <v>1.73</v>
      </c>
      <c r="G58" s="14">
        <v>2.46</v>
      </c>
      <c r="H58" s="14">
        <v>20.5</v>
      </c>
      <c r="I58" s="14">
        <v>116</v>
      </c>
      <c r="J58" s="14">
        <v>2.96</v>
      </c>
      <c r="K58" s="14">
        <v>2.77999999999999</v>
      </c>
      <c r="L58" s="14">
        <v>0.2</v>
      </c>
      <c r="M58" s="14">
        <v>2.4500000000000002</v>
      </c>
      <c r="N58" s="14">
        <v>6.25</v>
      </c>
      <c r="O58" s="14">
        <v>0.97999999999999898</v>
      </c>
      <c r="P58" s="14">
        <v>3.02999999999999</v>
      </c>
      <c r="Q58">
        <v>1120</v>
      </c>
    </row>
    <row r="59" spans="3:17" x14ac:dyDescent="0.25">
      <c r="C59" s="15" t="s">
        <v>130</v>
      </c>
      <c r="D59" s="14" t="s">
        <v>13</v>
      </c>
      <c r="E59" s="14">
        <v>14.22</v>
      </c>
      <c r="F59" s="14">
        <v>1.7</v>
      </c>
      <c r="G59" s="14">
        <v>2.2999999999999901</v>
      </c>
      <c r="H59" s="14">
        <v>16.3</v>
      </c>
      <c r="I59" s="14">
        <v>118</v>
      </c>
      <c r="J59" s="14">
        <v>3.2</v>
      </c>
      <c r="K59" s="14">
        <v>3</v>
      </c>
      <c r="L59" s="14">
        <v>0.26</v>
      </c>
      <c r="M59" s="14">
        <v>2.02999999999999</v>
      </c>
      <c r="N59" s="14">
        <v>6.3799999999999901</v>
      </c>
      <c r="O59" s="14">
        <v>0.93999999999999895</v>
      </c>
      <c r="P59" s="14">
        <v>3.31</v>
      </c>
      <c r="Q59">
        <v>970</v>
      </c>
    </row>
    <row r="60" spans="3:17" x14ac:dyDescent="0.25">
      <c r="C60" s="15" t="s">
        <v>132</v>
      </c>
      <c r="D60" s="14" t="s">
        <v>13</v>
      </c>
      <c r="E60" s="14">
        <v>13.72</v>
      </c>
      <c r="F60" s="14">
        <v>1.4299999999999899</v>
      </c>
      <c r="G60" s="14">
        <v>2.5</v>
      </c>
      <c r="H60" s="14">
        <v>16.6999999999999</v>
      </c>
      <c r="I60" s="14">
        <v>108</v>
      </c>
      <c r="J60" s="14">
        <v>3.3999999999999901</v>
      </c>
      <c r="K60" s="14">
        <v>3.6699999999999902</v>
      </c>
      <c r="L60" s="14">
        <v>0.19</v>
      </c>
      <c r="M60" s="14">
        <v>2.04</v>
      </c>
      <c r="N60" s="14">
        <v>6.7999999999999901</v>
      </c>
      <c r="O60" s="14">
        <v>0.89</v>
      </c>
      <c r="P60" s="14">
        <v>2.87</v>
      </c>
      <c r="Q60">
        <v>1285</v>
      </c>
    </row>
    <row r="61" spans="3:17" x14ac:dyDescent="0.25">
      <c r="C61" s="15" t="s">
        <v>133</v>
      </c>
      <c r="D61" s="14" t="s">
        <v>14</v>
      </c>
      <c r="E61" s="14">
        <v>12.3699999999999</v>
      </c>
      <c r="F61" s="14">
        <v>0.93999999999999895</v>
      </c>
      <c r="G61" s="14">
        <v>1.36</v>
      </c>
      <c r="H61" s="14">
        <v>10.6</v>
      </c>
      <c r="I61" s="14">
        <v>88</v>
      </c>
      <c r="J61" s="14">
        <v>1.98</v>
      </c>
      <c r="K61" s="14">
        <v>0.56999999999999895</v>
      </c>
      <c r="L61" s="14">
        <v>0.28000000000000003</v>
      </c>
      <c r="M61" s="14">
        <v>0.41999999999999899</v>
      </c>
      <c r="N61" s="14">
        <v>1.95</v>
      </c>
      <c r="O61" s="14">
        <v>1.05</v>
      </c>
      <c r="P61" s="14">
        <v>1.82</v>
      </c>
      <c r="Q61">
        <v>520</v>
      </c>
    </row>
    <row r="62" spans="3:17" x14ac:dyDescent="0.25">
      <c r="C62" s="15" t="s">
        <v>134</v>
      </c>
      <c r="D62" s="14" t="s">
        <v>14</v>
      </c>
      <c r="E62" s="14">
        <v>12.33</v>
      </c>
      <c r="F62" s="14">
        <v>1.1000000000000001</v>
      </c>
      <c r="G62" s="14">
        <v>2.27999999999999</v>
      </c>
      <c r="H62" s="14">
        <v>16</v>
      </c>
      <c r="I62" s="14">
        <v>101</v>
      </c>
      <c r="J62" s="14">
        <v>2.0499999999999901</v>
      </c>
      <c r="K62" s="14">
        <v>1.0900000000000001</v>
      </c>
      <c r="L62" s="14">
        <v>0.63</v>
      </c>
      <c r="M62" s="14">
        <v>0.40999999999999898</v>
      </c>
      <c r="N62" s="14">
        <v>3.27</v>
      </c>
      <c r="O62" s="14">
        <v>1.25</v>
      </c>
      <c r="P62" s="14">
        <v>1.6699999999999899</v>
      </c>
      <c r="Q62">
        <v>680</v>
      </c>
    </row>
    <row r="63" spans="3:17" x14ac:dyDescent="0.25">
      <c r="C63" s="15" t="s">
        <v>135</v>
      </c>
      <c r="D63" s="14" t="s">
        <v>14</v>
      </c>
      <c r="E63" s="14">
        <v>12.64</v>
      </c>
      <c r="F63" s="14">
        <v>1.36</v>
      </c>
      <c r="G63" s="14">
        <v>2.02</v>
      </c>
      <c r="H63" s="14">
        <v>16.8</v>
      </c>
      <c r="I63" s="14">
        <v>100</v>
      </c>
      <c r="J63" s="14">
        <v>2.02</v>
      </c>
      <c r="K63" s="14">
        <v>1.4099999999999899</v>
      </c>
      <c r="L63" s="14">
        <v>0.53</v>
      </c>
      <c r="M63" s="14">
        <v>0.62</v>
      </c>
      <c r="N63" s="14">
        <v>5.75</v>
      </c>
      <c r="O63" s="14">
        <v>0.97999999999999898</v>
      </c>
      <c r="P63" s="14">
        <v>1.59</v>
      </c>
      <c r="Q63">
        <v>450</v>
      </c>
    </row>
    <row r="64" spans="3:17" x14ac:dyDescent="0.25">
      <c r="C64" s="15" t="s">
        <v>138</v>
      </c>
      <c r="D64" s="14" t="s">
        <v>14</v>
      </c>
      <c r="E64" s="14">
        <v>12.17</v>
      </c>
      <c r="F64" s="14">
        <v>1.45</v>
      </c>
      <c r="G64" s="14">
        <v>2.52999999999999</v>
      </c>
      <c r="H64" s="14">
        <v>19</v>
      </c>
      <c r="I64" s="14">
        <v>104</v>
      </c>
      <c r="J64" s="14">
        <v>1.8899999999999899</v>
      </c>
      <c r="K64" s="14">
        <v>1.75</v>
      </c>
      <c r="L64" s="14">
        <v>0.45</v>
      </c>
      <c r="M64" s="14">
        <v>1.03</v>
      </c>
      <c r="N64" s="14">
        <v>2.95</v>
      </c>
      <c r="O64" s="14">
        <v>1.45</v>
      </c>
      <c r="P64" s="14">
        <v>2.23</v>
      </c>
      <c r="Q64">
        <v>355</v>
      </c>
    </row>
    <row r="65" spans="3:17" x14ac:dyDescent="0.25">
      <c r="C65" s="15" t="s">
        <v>139</v>
      </c>
      <c r="D65" s="14" t="s">
        <v>14</v>
      </c>
      <c r="E65" s="14">
        <v>12.3699999999999</v>
      </c>
      <c r="F65" s="14">
        <v>1.21</v>
      </c>
      <c r="G65" s="14">
        <v>2.56</v>
      </c>
      <c r="H65" s="14">
        <v>18.100000000000001</v>
      </c>
      <c r="I65" s="14">
        <v>98</v>
      </c>
      <c r="J65" s="14">
        <v>2.4199999999999902</v>
      </c>
      <c r="K65" s="14">
        <v>2.6499999999999901</v>
      </c>
      <c r="L65" s="14">
        <v>0.37</v>
      </c>
      <c r="M65" s="14">
        <v>2.08</v>
      </c>
      <c r="N65" s="14">
        <v>4.5999999999999899</v>
      </c>
      <c r="O65" s="14">
        <v>1.18999999999999</v>
      </c>
      <c r="P65" s="14">
        <v>2.2999999999999901</v>
      </c>
      <c r="Q65">
        <v>678</v>
      </c>
    </row>
    <row r="66" spans="3:17" x14ac:dyDescent="0.25">
      <c r="C66" s="15" t="s">
        <v>141</v>
      </c>
      <c r="D66" s="14" t="s">
        <v>14</v>
      </c>
      <c r="E66" s="14">
        <v>12.3699999999999</v>
      </c>
      <c r="F66" s="14">
        <v>1.1699999999999899</v>
      </c>
      <c r="G66" s="14">
        <v>1.9199999999999899</v>
      </c>
      <c r="H66" s="14">
        <v>19.600000000000001</v>
      </c>
      <c r="I66" s="14">
        <v>78</v>
      </c>
      <c r="J66" s="14">
        <v>2.1099999999999901</v>
      </c>
      <c r="K66" s="14">
        <v>2</v>
      </c>
      <c r="L66" s="14">
        <v>0.27</v>
      </c>
      <c r="M66" s="14">
        <v>1.04</v>
      </c>
      <c r="N66" s="14">
        <v>4.6799999999999899</v>
      </c>
      <c r="O66" s="14">
        <v>1.1200000000000001</v>
      </c>
      <c r="P66" s="14">
        <v>3.48</v>
      </c>
      <c r="Q66">
        <v>510</v>
      </c>
    </row>
    <row r="67" spans="3:17" x14ac:dyDescent="0.25">
      <c r="C67" s="15" t="s">
        <v>146</v>
      </c>
      <c r="D67" s="14" t="s">
        <v>14</v>
      </c>
      <c r="E67" s="14">
        <v>13.49</v>
      </c>
      <c r="F67" s="14">
        <v>1.6599999999999899</v>
      </c>
      <c r="G67" s="14">
        <v>2.2400000000000002</v>
      </c>
      <c r="H67" s="14">
        <v>24</v>
      </c>
      <c r="I67" s="14">
        <v>87</v>
      </c>
      <c r="J67" s="14">
        <v>1.8799999999999899</v>
      </c>
      <c r="K67" s="14">
        <v>1.84</v>
      </c>
      <c r="L67" s="14">
        <v>0.27</v>
      </c>
      <c r="M67" s="14">
        <v>1.03</v>
      </c>
      <c r="N67" s="14">
        <v>3.74</v>
      </c>
      <c r="O67" s="14">
        <v>0.97999999999999898</v>
      </c>
      <c r="P67" s="14">
        <v>2.77999999999999</v>
      </c>
      <c r="Q67">
        <v>472</v>
      </c>
    </row>
    <row r="68" spans="3:17" x14ac:dyDescent="0.25">
      <c r="C68" s="15" t="s">
        <v>154</v>
      </c>
      <c r="D68" s="14" t="s">
        <v>14</v>
      </c>
      <c r="E68" s="14">
        <v>12</v>
      </c>
      <c r="F68" s="14">
        <v>0.92</v>
      </c>
      <c r="G68" s="14">
        <v>2</v>
      </c>
      <c r="H68" s="14">
        <v>19</v>
      </c>
      <c r="I68" s="14">
        <v>86</v>
      </c>
      <c r="J68" s="14">
        <v>2.4199999999999902</v>
      </c>
      <c r="K68" s="14">
        <v>2.25999999999999</v>
      </c>
      <c r="L68" s="14">
        <v>0.29999999999999899</v>
      </c>
      <c r="M68" s="14">
        <v>1.4299999999999899</v>
      </c>
      <c r="N68" s="14">
        <v>2.5</v>
      </c>
      <c r="O68" s="14">
        <v>1.3799999999999899</v>
      </c>
      <c r="P68" s="14">
        <v>3.12</v>
      </c>
      <c r="Q68">
        <v>278</v>
      </c>
    </row>
    <row r="69" spans="3:17" x14ac:dyDescent="0.25">
      <c r="C69" s="15" t="s">
        <v>155</v>
      </c>
      <c r="D69" s="14" t="s">
        <v>14</v>
      </c>
      <c r="E69" s="14">
        <v>12.72</v>
      </c>
      <c r="F69" s="14">
        <v>1.81</v>
      </c>
      <c r="G69" s="14">
        <v>2.2000000000000002</v>
      </c>
      <c r="H69" s="14">
        <v>18.8</v>
      </c>
      <c r="I69" s="14">
        <v>86</v>
      </c>
      <c r="J69" s="14">
        <v>2.2000000000000002</v>
      </c>
      <c r="K69" s="14">
        <v>2.52999999999999</v>
      </c>
      <c r="L69" s="14">
        <v>0.26</v>
      </c>
      <c r="M69" s="14">
        <v>1.77</v>
      </c>
      <c r="N69" s="14">
        <v>3.8999999999999901</v>
      </c>
      <c r="O69" s="14">
        <v>1.1599999999999899</v>
      </c>
      <c r="P69" s="14">
        <v>3.14</v>
      </c>
      <c r="Q69">
        <v>714</v>
      </c>
    </row>
    <row r="70" spans="3:17" x14ac:dyDescent="0.25">
      <c r="C70" s="15" t="s">
        <v>156</v>
      </c>
      <c r="D70" s="14" t="s">
        <v>14</v>
      </c>
      <c r="E70" s="14">
        <v>12.08</v>
      </c>
      <c r="F70" s="14">
        <v>1.1299999999999899</v>
      </c>
      <c r="G70" s="14">
        <v>2.50999999999999</v>
      </c>
      <c r="H70" s="14">
        <v>24</v>
      </c>
      <c r="I70" s="14">
        <v>78</v>
      </c>
      <c r="J70" s="14">
        <v>2</v>
      </c>
      <c r="K70" s="14">
        <v>1.58</v>
      </c>
      <c r="L70" s="14">
        <v>0.4</v>
      </c>
      <c r="M70" s="14">
        <v>1.3999999999999899</v>
      </c>
      <c r="N70" s="14">
        <v>2.2000000000000002</v>
      </c>
      <c r="O70" s="14">
        <v>1.31</v>
      </c>
      <c r="P70" s="14">
        <v>2.72</v>
      </c>
      <c r="Q70">
        <v>630</v>
      </c>
    </row>
    <row r="71" spans="3:17" x14ac:dyDescent="0.25">
      <c r="C71" s="15" t="s">
        <v>157</v>
      </c>
      <c r="D71" s="14" t="s">
        <v>14</v>
      </c>
      <c r="E71" s="14">
        <v>13.05</v>
      </c>
      <c r="F71" s="14">
        <v>3.8599999999999901</v>
      </c>
      <c r="G71" s="14">
        <v>2.3199999999999901</v>
      </c>
      <c r="H71" s="14">
        <v>22.5</v>
      </c>
      <c r="I71" s="14">
        <v>85</v>
      </c>
      <c r="J71" s="14">
        <v>1.6499999999999899</v>
      </c>
      <c r="K71" s="14">
        <v>1.59</v>
      </c>
      <c r="L71" s="14">
        <v>0.60999999999999899</v>
      </c>
      <c r="M71" s="14">
        <v>1.62</v>
      </c>
      <c r="N71" s="14">
        <v>4.7999999999999901</v>
      </c>
      <c r="O71" s="14">
        <v>0.83999999999999897</v>
      </c>
      <c r="P71" s="14">
        <v>2.00999999999999</v>
      </c>
      <c r="Q71">
        <v>515</v>
      </c>
    </row>
    <row r="72" spans="3:17" x14ac:dyDescent="0.25">
      <c r="C72" s="15" t="s">
        <v>161</v>
      </c>
      <c r="D72" s="14" t="s">
        <v>14</v>
      </c>
      <c r="E72" s="14">
        <v>11.65</v>
      </c>
      <c r="F72" s="14">
        <v>1.6699999999999899</v>
      </c>
      <c r="G72" s="14">
        <v>2.62</v>
      </c>
      <c r="H72" s="14">
        <v>26</v>
      </c>
      <c r="I72" s="14">
        <v>88</v>
      </c>
      <c r="J72" s="14">
        <v>1.9199999999999899</v>
      </c>
      <c r="K72" s="14">
        <v>1.61</v>
      </c>
      <c r="L72" s="14">
        <v>0.4</v>
      </c>
      <c r="M72" s="14">
        <v>1.34</v>
      </c>
      <c r="N72" s="14">
        <v>2.6</v>
      </c>
      <c r="O72" s="14">
        <v>1.36</v>
      </c>
      <c r="P72" s="14">
        <v>3.21</v>
      </c>
      <c r="Q72">
        <v>562</v>
      </c>
    </row>
    <row r="73" spans="3:17" x14ac:dyDescent="0.25">
      <c r="C73" s="15" t="s">
        <v>164</v>
      </c>
      <c r="D73" s="14" t="s">
        <v>14</v>
      </c>
      <c r="E73" s="14">
        <v>12.08</v>
      </c>
      <c r="F73" s="14">
        <v>1.83</v>
      </c>
      <c r="G73" s="14">
        <v>2.3199999999999901</v>
      </c>
      <c r="H73" s="14">
        <v>18.5</v>
      </c>
      <c r="I73" s="14">
        <v>81</v>
      </c>
      <c r="J73" s="14">
        <v>1.6</v>
      </c>
      <c r="K73" s="14">
        <v>1.5</v>
      </c>
      <c r="L73" s="14">
        <v>0.52</v>
      </c>
      <c r="M73" s="14">
        <v>1.6399999999999899</v>
      </c>
      <c r="N73" s="14">
        <v>2.3999999999999901</v>
      </c>
      <c r="O73" s="14">
        <v>1.08</v>
      </c>
      <c r="P73" s="14">
        <v>2.27</v>
      </c>
      <c r="Q73">
        <v>480</v>
      </c>
    </row>
    <row r="74" spans="3:17" x14ac:dyDescent="0.25">
      <c r="C74" s="15" t="s">
        <v>165</v>
      </c>
      <c r="D74" s="14" t="s">
        <v>14</v>
      </c>
      <c r="E74" s="14">
        <v>12</v>
      </c>
      <c r="F74" s="14">
        <v>1.51</v>
      </c>
      <c r="G74" s="14">
        <v>2.4199999999999902</v>
      </c>
      <c r="H74" s="14">
        <v>22</v>
      </c>
      <c r="I74" s="14">
        <v>86</v>
      </c>
      <c r="J74" s="14">
        <v>1.45</v>
      </c>
      <c r="K74" s="14">
        <v>1.25</v>
      </c>
      <c r="L74" s="14">
        <v>0.5</v>
      </c>
      <c r="M74" s="14">
        <v>1.6299999999999899</v>
      </c>
      <c r="N74" s="14">
        <v>3.6</v>
      </c>
      <c r="O74" s="14">
        <v>1.05</v>
      </c>
      <c r="P74" s="14">
        <v>2.6499999999999901</v>
      </c>
      <c r="Q74">
        <v>450</v>
      </c>
    </row>
    <row r="75" spans="3:17" x14ac:dyDescent="0.25">
      <c r="C75" s="15" t="s">
        <v>168</v>
      </c>
      <c r="D75" s="14" t="s">
        <v>14</v>
      </c>
      <c r="E75" s="14">
        <v>11.6199999999999</v>
      </c>
      <c r="F75" s="14">
        <v>1.99</v>
      </c>
      <c r="G75" s="14">
        <v>2.27999999999999</v>
      </c>
      <c r="H75" s="14">
        <v>18</v>
      </c>
      <c r="I75" s="14">
        <v>98</v>
      </c>
      <c r="J75" s="14">
        <v>3.02</v>
      </c>
      <c r="K75" s="14">
        <v>2.25999999999999</v>
      </c>
      <c r="L75" s="14">
        <v>0.17</v>
      </c>
      <c r="M75" s="14">
        <v>1.35</v>
      </c>
      <c r="N75" s="14">
        <v>3.25</v>
      </c>
      <c r="O75" s="14">
        <v>1.1599999999999899</v>
      </c>
      <c r="P75" s="14">
        <v>2.96</v>
      </c>
      <c r="Q75">
        <v>345</v>
      </c>
    </row>
    <row r="76" spans="3:17" x14ac:dyDescent="0.25">
      <c r="C76" s="15" t="s">
        <v>170</v>
      </c>
      <c r="D76" s="14" t="s">
        <v>14</v>
      </c>
      <c r="E76" s="14">
        <v>11.81</v>
      </c>
      <c r="F76" s="14">
        <v>2.12</v>
      </c>
      <c r="G76" s="14">
        <v>2.74</v>
      </c>
      <c r="H76" s="14">
        <v>21.5</v>
      </c>
      <c r="I76" s="14">
        <v>134</v>
      </c>
      <c r="J76" s="14">
        <v>1.6</v>
      </c>
      <c r="K76" s="14">
        <v>0.98999999999999899</v>
      </c>
      <c r="L76" s="14">
        <v>0.14000000000000001</v>
      </c>
      <c r="M76" s="14">
        <v>1.56</v>
      </c>
      <c r="N76" s="14">
        <v>2.5</v>
      </c>
      <c r="O76" s="14">
        <v>0.94999999999999896</v>
      </c>
      <c r="P76" s="14">
        <v>2.25999999999999</v>
      </c>
      <c r="Q76">
        <v>625</v>
      </c>
    </row>
    <row r="77" spans="3:17" x14ac:dyDescent="0.25">
      <c r="C77" s="15" t="s">
        <v>171</v>
      </c>
      <c r="D77" s="14" t="s">
        <v>14</v>
      </c>
      <c r="E77" s="14">
        <v>12.2899999999999</v>
      </c>
      <c r="F77" s="14">
        <v>1.4099999999999899</v>
      </c>
      <c r="G77" s="14">
        <v>1.98</v>
      </c>
      <c r="H77" s="14">
        <v>16</v>
      </c>
      <c r="I77" s="14">
        <v>85</v>
      </c>
      <c r="J77" s="14">
        <v>2.5499999999999901</v>
      </c>
      <c r="K77" s="14">
        <v>2.5</v>
      </c>
      <c r="L77" s="14">
        <v>0.28999999999999898</v>
      </c>
      <c r="M77" s="14">
        <v>1.77</v>
      </c>
      <c r="N77" s="14">
        <v>2.8999999999999901</v>
      </c>
      <c r="O77" s="14">
        <v>1.23</v>
      </c>
      <c r="P77" s="14">
        <v>2.74</v>
      </c>
      <c r="Q77">
        <v>428</v>
      </c>
    </row>
    <row r="78" spans="3:17" x14ac:dyDescent="0.25">
      <c r="C78" s="15" t="s">
        <v>181</v>
      </c>
      <c r="D78" s="14" t="s">
        <v>14</v>
      </c>
      <c r="E78" s="14">
        <v>12.72</v>
      </c>
      <c r="F78" s="14">
        <v>1.75</v>
      </c>
      <c r="G78" s="14">
        <v>2.27999999999999</v>
      </c>
      <c r="H78" s="14">
        <v>22.5</v>
      </c>
      <c r="I78" s="14">
        <v>84</v>
      </c>
      <c r="J78" s="14">
        <v>1.3799999999999899</v>
      </c>
      <c r="K78" s="14">
        <v>1.76</v>
      </c>
      <c r="L78" s="14">
        <v>0.47999999999999898</v>
      </c>
      <c r="M78" s="14">
        <v>1.6299999999999899</v>
      </c>
      <c r="N78" s="14">
        <v>3.2999999999999901</v>
      </c>
      <c r="O78" s="14">
        <v>0.88</v>
      </c>
      <c r="P78" s="14">
        <v>2.4199999999999902</v>
      </c>
      <c r="Q78">
        <v>488</v>
      </c>
    </row>
    <row r="79" spans="3:17" x14ac:dyDescent="0.25">
      <c r="C79" s="15" t="s">
        <v>182</v>
      </c>
      <c r="D79" s="14" t="s">
        <v>14</v>
      </c>
      <c r="E79" s="14">
        <v>12.22</v>
      </c>
      <c r="F79" s="14">
        <v>1.29</v>
      </c>
      <c r="G79" s="14">
        <v>1.93999999999999</v>
      </c>
      <c r="H79" s="14">
        <v>19</v>
      </c>
      <c r="I79" s="14">
        <v>92</v>
      </c>
      <c r="J79" s="14">
        <v>2.3599999999999901</v>
      </c>
      <c r="K79" s="14">
        <v>2.04</v>
      </c>
      <c r="L79" s="14">
        <v>0.39</v>
      </c>
      <c r="M79" s="14">
        <v>2.08</v>
      </c>
      <c r="N79" s="14">
        <v>2.7</v>
      </c>
      <c r="O79" s="14">
        <v>0.85999999999999899</v>
      </c>
      <c r="P79" s="14">
        <v>3.02</v>
      </c>
      <c r="Q79">
        <v>312</v>
      </c>
    </row>
    <row r="80" spans="3:17" x14ac:dyDescent="0.25">
      <c r="C80" s="15" t="s">
        <v>185</v>
      </c>
      <c r="D80" s="14" t="s">
        <v>14</v>
      </c>
      <c r="E80" s="14">
        <v>12.52</v>
      </c>
      <c r="F80" s="14">
        <v>2.4300000000000002</v>
      </c>
      <c r="G80" s="14">
        <v>2.1699999999999902</v>
      </c>
      <c r="H80" s="14">
        <v>21</v>
      </c>
      <c r="I80" s="14">
        <v>88</v>
      </c>
      <c r="J80" s="14">
        <v>2.5499999999999901</v>
      </c>
      <c r="K80" s="14">
        <v>2.27</v>
      </c>
      <c r="L80" s="14">
        <v>0.26</v>
      </c>
      <c r="M80" s="14">
        <v>1.22</v>
      </c>
      <c r="N80" s="14">
        <v>2</v>
      </c>
      <c r="O80" s="14">
        <v>0.9</v>
      </c>
      <c r="P80" s="14">
        <v>2.77999999999999</v>
      </c>
      <c r="Q80">
        <v>325</v>
      </c>
    </row>
    <row r="81" spans="3:17" x14ac:dyDescent="0.25">
      <c r="C81" s="15" t="s">
        <v>186</v>
      </c>
      <c r="D81" s="14" t="s">
        <v>14</v>
      </c>
      <c r="E81" s="14">
        <v>11.76</v>
      </c>
      <c r="F81" s="14">
        <v>2.68</v>
      </c>
      <c r="G81" s="14">
        <v>2.9199999999999902</v>
      </c>
      <c r="H81" s="14">
        <v>20</v>
      </c>
      <c r="I81" s="14">
        <v>103</v>
      </c>
      <c r="J81" s="14">
        <v>1.75</v>
      </c>
      <c r="K81" s="14">
        <v>2.02999999999999</v>
      </c>
      <c r="L81" s="14">
        <v>0.59999999999999898</v>
      </c>
      <c r="M81" s="14">
        <v>1.05</v>
      </c>
      <c r="N81" s="14">
        <v>3.7999999999999901</v>
      </c>
      <c r="O81" s="14">
        <v>1.23</v>
      </c>
      <c r="P81" s="14">
        <v>2.5</v>
      </c>
      <c r="Q81">
        <v>607</v>
      </c>
    </row>
    <row r="82" spans="3:17" x14ac:dyDescent="0.25">
      <c r="C82" s="15" t="s">
        <v>187</v>
      </c>
      <c r="D82" s="14" t="s">
        <v>14</v>
      </c>
      <c r="E82" s="14">
        <v>11.41</v>
      </c>
      <c r="F82" s="14">
        <v>0.73999999999999899</v>
      </c>
      <c r="G82" s="14">
        <v>2.5</v>
      </c>
      <c r="H82" s="14">
        <v>21</v>
      </c>
      <c r="I82" s="14">
        <v>88</v>
      </c>
      <c r="J82" s="14">
        <v>2.48</v>
      </c>
      <c r="K82" s="14">
        <v>2.00999999999999</v>
      </c>
      <c r="L82" s="14">
        <v>0.41999999999999899</v>
      </c>
      <c r="M82" s="14">
        <v>1.43999999999999</v>
      </c>
      <c r="N82" s="14">
        <v>3.08</v>
      </c>
      <c r="O82" s="14">
        <v>1.1000000000000001</v>
      </c>
      <c r="P82" s="14">
        <v>2.31</v>
      </c>
      <c r="Q82">
        <v>434</v>
      </c>
    </row>
    <row r="83" spans="3:17" x14ac:dyDescent="0.25">
      <c r="C83" s="15" t="s">
        <v>188</v>
      </c>
      <c r="D83" s="14" t="s">
        <v>14</v>
      </c>
      <c r="E83" s="14">
        <v>12.08</v>
      </c>
      <c r="F83" s="14">
        <v>1.3899999999999899</v>
      </c>
      <c r="G83" s="14">
        <v>2.5</v>
      </c>
      <c r="H83" s="14">
        <v>22.5</v>
      </c>
      <c r="I83" s="14">
        <v>84</v>
      </c>
      <c r="J83" s="14">
        <v>2.56</v>
      </c>
      <c r="K83" s="14">
        <v>2.29</v>
      </c>
      <c r="L83" s="14">
        <v>0.42999999999999899</v>
      </c>
      <c r="M83" s="14">
        <v>1.04</v>
      </c>
      <c r="N83" s="14">
        <v>2.8999999999999901</v>
      </c>
      <c r="O83" s="14">
        <v>0.93</v>
      </c>
      <c r="P83" s="14">
        <v>3.1899999999999902</v>
      </c>
      <c r="Q83">
        <v>385</v>
      </c>
    </row>
    <row r="84" spans="3:17" x14ac:dyDescent="0.25">
      <c r="C84" s="15" t="s">
        <v>191</v>
      </c>
      <c r="D84" s="14" t="s">
        <v>14</v>
      </c>
      <c r="E84" s="14">
        <v>12.42</v>
      </c>
      <c r="F84" s="14">
        <v>1.61</v>
      </c>
      <c r="G84" s="14">
        <v>2.1899999999999902</v>
      </c>
      <c r="H84" s="14">
        <v>22.5</v>
      </c>
      <c r="I84" s="14">
        <v>108</v>
      </c>
      <c r="J84" s="14">
        <v>2</v>
      </c>
      <c r="K84" s="14">
        <v>2.0899999999999901</v>
      </c>
      <c r="L84" s="14">
        <v>0.34</v>
      </c>
      <c r="M84" s="14">
        <v>1.61</v>
      </c>
      <c r="N84" s="14">
        <v>2.06</v>
      </c>
      <c r="O84" s="14">
        <v>1.06</v>
      </c>
      <c r="P84" s="14">
        <v>2.96</v>
      </c>
      <c r="Q84">
        <v>345</v>
      </c>
    </row>
    <row r="85" spans="3:17" x14ac:dyDescent="0.25">
      <c r="C85" s="15" t="s">
        <v>192</v>
      </c>
      <c r="D85" s="14" t="s">
        <v>14</v>
      </c>
      <c r="E85" s="14">
        <v>12.77</v>
      </c>
      <c r="F85" s="14">
        <v>3.43</v>
      </c>
      <c r="G85" s="14">
        <v>1.98</v>
      </c>
      <c r="H85" s="14">
        <v>16</v>
      </c>
      <c r="I85" s="14">
        <v>80</v>
      </c>
      <c r="J85" s="14">
        <v>1.6299999999999899</v>
      </c>
      <c r="K85" s="14">
        <v>1.25</v>
      </c>
      <c r="L85" s="14">
        <v>0.42999999999999899</v>
      </c>
      <c r="M85" s="14">
        <v>0.82999999999999896</v>
      </c>
      <c r="N85" s="14">
        <v>3.3999999999999901</v>
      </c>
      <c r="O85" s="14">
        <v>0.69999999999999896</v>
      </c>
      <c r="P85" s="14">
        <v>2.12</v>
      </c>
      <c r="Q85">
        <v>372</v>
      </c>
    </row>
    <row r="86" spans="3:17" x14ac:dyDescent="0.25">
      <c r="C86" s="15" t="s">
        <v>195</v>
      </c>
      <c r="D86" s="14" t="s">
        <v>14</v>
      </c>
      <c r="E86" s="14">
        <v>11.56</v>
      </c>
      <c r="F86" s="14">
        <v>2.0499999999999901</v>
      </c>
      <c r="G86" s="14">
        <v>3.23</v>
      </c>
      <c r="H86" s="14">
        <v>28.5</v>
      </c>
      <c r="I86" s="14">
        <v>119</v>
      </c>
      <c r="J86" s="14">
        <v>3.18</v>
      </c>
      <c r="K86" s="14">
        <v>5.08</v>
      </c>
      <c r="L86" s="14">
        <v>0.46999999999999897</v>
      </c>
      <c r="M86" s="14">
        <v>1.87</v>
      </c>
      <c r="N86" s="14">
        <v>6</v>
      </c>
      <c r="O86" s="14">
        <v>0.93</v>
      </c>
      <c r="P86" s="14">
        <v>3.6899999999999902</v>
      </c>
      <c r="Q86">
        <v>465</v>
      </c>
    </row>
    <row r="87" spans="3:17" x14ac:dyDescent="0.25">
      <c r="C87" s="15" t="s">
        <v>196</v>
      </c>
      <c r="D87" s="14" t="s">
        <v>14</v>
      </c>
      <c r="E87" s="14">
        <v>12.42</v>
      </c>
      <c r="F87" s="14">
        <v>4.4299999999999899</v>
      </c>
      <c r="G87" s="14">
        <v>2.73</v>
      </c>
      <c r="H87" s="14">
        <v>26.5</v>
      </c>
      <c r="I87" s="14">
        <v>102</v>
      </c>
      <c r="J87" s="14">
        <v>2.2000000000000002</v>
      </c>
      <c r="K87" s="14">
        <v>2.1299999999999901</v>
      </c>
      <c r="L87" s="14">
        <v>0.42999999999999899</v>
      </c>
      <c r="M87" s="14">
        <v>1.71</v>
      </c>
      <c r="N87" s="14">
        <v>2.08</v>
      </c>
      <c r="O87" s="14">
        <v>0.92</v>
      </c>
      <c r="P87" s="14">
        <v>3.12</v>
      </c>
      <c r="Q87">
        <v>365</v>
      </c>
    </row>
    <row r="88" spans="3:17" x14ac:dyDescent="0.25">
      <c r="C88" s="15" t="s">
        <v>201</v>
      </c>
      <c r="D88" s="14" t="s">
        <v>14</v>
      </c>
      <c r="E88" s="14">
        <v>11.7899999999999</v>
      </c>
      <c r="F88" s="14">
        <v>2.1299999999999901</v>
      </c>
      <c r="G88" s="14">
        <v>2.77999999999999</v>
      </c>
      <c r="H88" s="14">
        <v>28.5</v>
      </c>
      <c r="I88" s="14">
        <v>92</v>
      </c>
      <c r="J88" s="14">
        <v>2.1299999999999901</v>
      </c>
      <c r="K88" s="14">
        <v>2.2400000000000002</v>
      </c>
      <c r="L88" s="14">
        <v>0.57999999999999896</v>
      </c>
      <c r="M88" s="14">
        <v>1.76</v>
      </c>
      <c r="N88" s="14">
        <v>3</v>
      </c>
      <c r="O88" s="14">
        <v>0.96999999999999897</v>
      </c>
      <c r="P88" s="14">
        <v>2.4399999999999902</v>
      </c>
      <c r="Q88">
        <v>466</v>
      </c>
    </row>
    <row r="89" spans="3:17" x14ac:dyDescent="0.25">
      <c r="C89" s="15" t="s">
        <v>202</v>
      </c>
      <c r="D89" s="14" t="s">
        <v>14</v>
      </c>
      <c r="E89" s="14">
        <v>12.3699999999999</v>
      </c>
      <c r="F89" s="14">
        <v>1.6299999999999899</v>
      </c>
      <c r="G89" s="14">
        <v>2.2999999999999901</v>
      </c>
      <c r="H89" s="14">
        <v>24.5</v>
      </c>
      <c r="I89" s="14">
        <v>88</v>
      </c>
      <c r="J89" s="14">
        <v>2.2200000000000002</v>
      </c>
      <c r="K89" s="14">
        <v>2.4500000000000002</v>
      </c>
      <c r="L89" s="14">
        <v>0.4</v>
      </c>
      <c r="M89" s="14">
        <v>1.8999999999999899</v>
      </c>
      <c r="N89" s="14">
        <v>2.12</v>
      </c>
      <c r="O89" s="14">
        <v>0.89</v>
      </c>
      <c r="P89" s="14">
        <v>2.77999999999999</v>
      </c>
      <c r="Q89">
        <v>342</v>
      </c>
    </row>
    <row r="90" spans="3:17" x14ac:dyDescent="0.25">
      <c r="C90" s="15" t="s">
        <v>205</v>
      </c>
      <c r="D90" s="14" t="s">
        <v>15</v>
      </c>
      <c r="E90" s="14">
        <v>12.88</v>
      </c>
      <c r="F90" s="14">
        <v>2.99</v>
      </c>
      <c r="G90" s="14">
        <v>2.3999999999999901</v>
      </c>
      <c r="H90" s="14">
        <v>20</v>
      </c>
      <c r="I90" s="14">
        <v>104</v>
      </c>
      <c r="J90" s="14">
        <v>1.3</v>
      </c>
      <c r="K90" s="14">
        <v>1.22</v>
      </c>
      <c r="L90" s="14">
        <v>0.23999999999999899</v>
      </c>
      <c r="M90" s="14">
        <v>0.82999999999999896</v>
      </c>
      <c r="N90" s="14">
        <v>5.4</v>
      </c>
      <c r="O90" s="14">
        <v>0.73999999999999899</v>
      </c>
      <c r="P90" s="14">
        <v>1.4199999999999899</v>
      </c>
      <c r="Q90">
        <v>530</v>
      </c>
    </row>
    <row r="91" spans="3:17" x14ac:dyDescent="0.25">
      <c r="C91" s="15" t="s">
        <v>206</v>
      </c>
      <c r="D91" s="14" t="s">
        <v>15</v>
      </c>
      <c r="E91" s="14">
        <v>12.81</v>
      </c>
      <c r="F91" s="14">
        <v>2.31</v>
      </c>
      <c r="G91" s="14">
        <v>2.3999999999999901</v>
      </c>
      <c r="H91" s="14">
        <v>24</v>
      </c>
      <c r="I91" s="14">
        <v>98</v>
      </c>
      <c r="J91" s="14">
        <v>1.1499999999999899</v>
      </c>
      <c r="K91" s="14">
        <v>1.0900000000000001</v>
      </c>
      <c r="L91" s="14">
        <v>0.27</v>
      </c>
      <c r="M91" s="14">
        <v>0.82999999999999896</v>
      </c>
      <c r="N91" s="14">
        <v>5.7</v>
      </c>
      <c r="O91" s="14">
        <v>0.66</v>
      </c>
      <c r="P91" s="14">
        <v>1.36</v>
      </c>
      <c r="Q91">
        <v>560</v>
      </c>
    </row>
    <row r="92" spans="3:17" x14ac:dyDescent="0.25">
      <c r="C92" s="15" t="s">
        <v>207</v>
      </c>
      <c r="D92" s="14" t="s">
        <v>15</v>
      </c>
      <c r="E92" s="14">
        <v>12.6999999999999</v>
      </c>
      <c r="F92" s="14">
        <v>3.5499999999999901</v>
      </c>
      <c r="G92" s="14">
        <v>2.3599999999999901</v>
      </c>
      <c r="H92" s="14">
        <v>21.5</v>
      </c>
      <c r="I92" s="14">
        <v>106</v>
      </c>
      <c r="J92" s="14">
        <v>1.7</v>
      </c>
      <c r="K92" s="14">
        <v>1.2</v>
      </c>
      <c r="L92" s="14">
        <v>0.17</v>
      </c>
      <c r="M92" s="14">
        <v>0.83999999999999897</v>
      </c>
      <c r="N92" s="14">
        <v>5</v>
      </c>
      <c r="O92" s="14">
        <v>0.78</v>
      </c>
      <c r="P92" s="14">
        <v>1.29</v>
      </c>
      <c r="Q92">
        <v>600</v>
      </c>
    </row>
    <row r="93" spans="3:17" x14ac:dyDescent="0.25">
      <c r="C93" s="15" t="s">
        <v>209</v>
      </c>
      <c r="D93" s="14" t="s">
        <v>15</v>
      </c>
      <c r="E93" s="14">
        <v>12.6</v>
      </c>
      <c r="F93" s="14">
        <v>2.46</v>
      </c>
      <c r="G93" s="14">
        <v>2.2000000000000002</v>
      </c>
      <c r="H93" s="14">
        <v>18.5</v>
      </c>
      <c r="I93" s="14">
        <v>94</v>
      </c>
      <c r="J93" s="14">
        <v>1.62</v>
      </c>
      <c r="K93" s="14">
        <v>0.66</v>
      </c>
      <c r="L93" s="14">
        <v>0.63</v>
      </c>
      <c r="M93" s="14">
        <v>0.93999999999999895</v>
      </c>
      <c r="N93" s="14">
        <v>7.0999999999999899</v>
      </c>
      <c r="O93" s="14">
        <v>0.72999999999999898</v>
      </c>
      <c r="P93" s="14">
        <v>1.58</v>
      </c>
      <c r="Q93">
        <v>695</v>
      </c>
    </row>
    <row r="94" spans="3:17" x14ac:dyDescent="0.25">
      <c r="C94" s="15" t="s">
        <v>214</v>
      </c>
      <c r="D94" s="14" t="s">
        <v>15</v>
      </c>
      <c r="E94" s="14">
        <v>12.93</v>
      </c>
      <c r="F94" s="14">
        <v>2.81</v>
      </c>
      <c r="G94" s="14">
        <v>2.7</v>
      </c>
      <c r="H94" s="14">
        <v>21</v>
      </c>
      <c r="I94" s="14">
        <v>96</v>
      </c>
      <c r="J94" s="14">
        <v>1.54</v>
      </c>
      <c r="K94" s="14">
        <v>0.5</v>
      </c>
      <c r="L94" s="14">
        <v>0.53</v>
      </c>
      <c r="M94" s="14">
        <v>0.75</v>
      </c>
      <c r="N94" s="14">
        <v>4.5999999999999899</v>
      </c>
      <c r="O94" s="14">
        <v>0.77</v>
      </c>
      <c r="P94" s="14">
        <v>2.31</v>
      </c>
      <c r="Q94">
        <v>600</v>
      </c>
    </row>
    <row r="95" spans="3:17" x14ac:dyDescent="0.25">
      <c r="C95" s="15" t="s">
        <v>215</v>
      </c>
      <c r="D95" s="14" t="s">
        <v>15</v>
      </c>
      <c r="E95" s="14">
        <v>13.3599999999999</v>
      </c>
      <c r="F95" s="14">
        <v>2.56</v>
      </c>
      <c r="G95" s="14">
        <v>2.35</v>
      </c>
      <c r="H95" s="14">
        <v>20</v>
      </c>
      <c r="I95" s="14">
        <v>89</v>
      </c>
      <c r="J95" s="14">
        <v>1.3999999999999899</v>
      </c>
      <c r="K95" s="14">
        <v>0.5</v>
      </c>
      <c r="L95" s="14">
        <v>0.37</v>
      </c>
      <c r="M95" s="14">
        <v>0.64</v>
      </c>
      <c r="N95" s="14">
        <v>5.5999999999999899</v>
      </c>
      <c r="O95" s="14">
        <v>0.69999999999999896</v>
      </c>
      <c r="P95" s="14">
        <v>2.4700000000000002</v>
      </c>
      <c r="Q95">
        <v>780</v>
      </c>
    </row>
    <row r="96" spans="3:17" x14ac:dyDescent="0.25">
      <c r="C96" s="15" t="s">
        <v>216</v>
      </c>
      <c r="D96" s="14" t="s">
        <v>15</v>
      </c>
      <c r="E96" s="14">
        <v>13.52</v>
      </c>
      <c r="F96" s="14">
        <v>3.1699999999999902</v>
      </c>
      <c r="G96" s="14">
        <v>2.72</v>
      </c>
      <c r="H96" s="14">
        <v>23.5</v>
      </c>
      <c r="I96" s="14">
        <v>97</v>
      </c>
      <c r="J96" s="14">
        <v>1.55</v>
      </c>
      <c r="K96" s="14">
        <v>0.52</v>
      </c>
      <c r="L96" s="14">
        <v>0.5</v>
      </c>
      <c r="M96" s="14">
        <v>0.55000000000000004</v>
      </c>
      <c r="N96" s="14">
        <v>4.3499999999999899</v>
      </c>
      <c r="O96" s="14">
        <v>0.89</v>
      </c>
      <c r="P96" s="14">
        <v>2.06</v>
      </c>
      <c r="Q96">
        <v>520</v>
      </c>
    </row>
    <row r="97" spans="3:17" x14ac:dyDescent="0.25">
      <c r="C97" s="15" t="s">
        <v>219</v>
      </c>
      <c r="D97" s="14" t="s">
        <v>15</v>
      </c>
      <c r="E97" s="14">
        <v>13.16</v>
      </c>
      <c r="F97" s="14">
        <v>3.5699999999999901</v>
      </c>
      <c r="G97" s="14">
        <v>2.1499999999999901</v>
      </c>
      <c r="H97" s="14">
        <v>21</v>
      </c>
      <c r="I97" s="14">
        <v>102</v>
      </c>
      <c r="J97" s="14">
        <v>1.5</v>
      </c>
      <c r="K97" s="14">
        <v>0.55000000000000004</v>
      </c>
      <c r="L97" s="14">
        <v>0.42999999999999899</v>
      </c>
      <c r="M97" s="14">
        <v>1.3</v>
      </c>
      <c r="N97" s="14">
        <v>4</v>
      </c>
      <c r="O97" s="14">
        <v>0.59999999999999898</v>
      </c>
      <c r="P97" s="14">
        <v>1.6799999999999899</v>
      </c>
      <c r="Q97">
        <v>830</v>
      </c>
    </row>
    <row r="98" spans="3:17" x14ac:dyDescent="0.25">
      <c r="C98" s="15" t="s">
        <v>221</v>
      </c>
      <c r="D98" s="14" t="s">
        <v>15</v>
      </c>
      <c r="E98" s="14">
        <v>12.8699999999999</v>
      </c>
      <c r="F98" s="14">
        <v>4.6100000000000003</v>
      </c>
      <c r="G98" s="14">
        <v>2.48</v>
      </c>
      <c r="H98" s="14">
        <v>21.5</v>
      </c>
      <c r="I98" s="14">
        <v>86</v>
      </c>
      <c r="J98" s="14">
        <v>1.7</v>
      </c>
      <c r="K98" s="14">
        <v>0.65</v>
      </c>
      <c r="L98" s="14">
        <v>0.46999999999999897</v>
      </c>
      <c r="M98" s="14">
        <v>0.85999999999999899</v>
      </c>
      <c r="N98" s="14">
        <v>7.65</v>
      </c>
      <c r="O98" s="14">
        <v>0.54</v>
      </c>
      <c r="P98" s="14">
        <v>1.86</v>
      </c>
      <c r="Q98">
        <v>625</v>
      </c>
    </row>
    <row r="99" spans="3:17" x14ac:dyDescent="0.25">
      <c r="C99" s="15" t="s">
        <v>223</v>
      </c>
      <c r="D99" s="14" t="s">
        <v>15</v>
      </c>
      <c r="E99" s="14">
        <v>13.08</v>
      </c>
      <c r="F99" s="14">
        <v>3.8999999999999901</v>
      </c>
      <c r="G99" s="14">
        <v>2.3599999999999901</v>
      </c>
      <c r="H99" s="14">
        <v>21.5</v>
      </c>
      <c r="I99" s="14">
        <v>113</v>
      </c>
      <c r="J99" s="14">
        <v>1.4099999999999899</v>
      </c>
      <c r="K99" s="14">
        <v>1.3899999999999899</v>
      </c>
      <c r="L99" s="14">
        <v>0.34</v>
      </c>
      <c r="M99" s="14">
        <v>1.1399999999999899</v>
      </c>
      <c r="N99" s="14">
        <v>9.4</v>
      </c>
      <c r="O99" s="14">
        <v>0.56999999999999895</v>
      </c>
      <c r="P99" s="14">
        <v>1.33</v>
      </c>
      <c r="Q99">
        <v>550</v>
      </c>
    </row>
    <row r="100" spans="3:17" x14ac:dyDescent="0.25">
      <c r="C100" s="15" t="s">
        <v>226</v>
      </c>
      <c r="D100" s="14" t="s">
        <v>15</v>
      </c>
      <c r="E100" s="14">
        <v>13.1099999999999</v>
      </c>
      <c r="F100" s="14">
        <v>1.8999999999999899</v>
      </c>
      <c r="G100" s="14">
        <v>2.75</v>
      </c>
      <c r="H100" s="14">
        <v>25.5</v>
      </c>
      <c r="I100" s="14">
        <v>116</v>
      </c>
      <c r="J100" s="14">
        <v>2.2000000000000002</v>
      </c>
      <c r="K100" s="14">
        <v>1.28</v>
      </c>
      <c r="L100" s="14">
        <v>0.26</v>
      </c>
      <c r="M100" s="14">
        <v>1.56</v>
      </c>
      <c r="N100" s="14">
        <v>7.0999999999999899</v>
      </c>
      <c r="O100" s="14">
        <v>0.60999999999999899</v>
      </c>
      <c r="P100" s="14">
        <v>1.33</v>
      </c>
      <c r="Q100">
        <v>425</v>
      </c>
    </row>
    <row r="101" spans="3:17" x14ac:dyDescent="0.25">
      <c r="C101" s="15" t="s">
        <v>229</v>
      </c>
      <c r="D101" s="14" t="s">
        <v>15</v>
      </c>
      <c r="E101" s="14">
        <v>13.17</v>
      </c>
      <c r="F101" s="14">
        <v>5.19</v>
      </c>
      <c r="G101" s="14">
        <v>2.3199999999999901</v>
      </c>
      <c r="H101" s="14">
        <v>22</v>
      </c>
      <c r="I101" s="14">
        <v>93</v>
      </c>
      <c r="J101" s="14">
        <v>1.74</v>
      </c>
      <c r="K101" s="14">
        <v>0.63</v>
      </c>
      <c r="L101" s="14">
        <v>0.60999999999999899</v>
      </c>
      <c r="M101" s="14">
        <v>1.55</v>
      </c>
      <c r="N101" s="14">
        <v>7.9</v>
      </c>
      <c r="O101" s="14">
        <v>0.59999999999999898</v>
      </c>
      <c r="P101" s="14">
        <v>1.48</v>
      </c>
      <c r="Q101">
        <v>725</v>
      </c>
    </row>
    <row r="102" spans="3:17" x14ac:dyDescent="0.25">
      <c r="C102" s="15" t="s">
        <v>230</v>
      </c>
      <c r="D102" s="14" t="s">
        <v>15</v>
      </c>
      <c r="E102" s="14">
        <v>13.84</v>
      </c>
      <c r="F102" s="14">
        <v>4.12</v>
      </c>
      <c r="G102" s="14">
        <v>2.3799999999999901</v>
      </c>
      <c r="H102" s="14">
        <v>19.5</v>
      </c>
      <c r="I102" s="14">
        <v>89</v>
      </c>
      <c r="J102" s="14">
        <v>1.8</v>
      </c>
      <c r="K102" s="14">
        <v>0.82999999999999896</v>
      </c>
      <c r="L102" s="14">
        <v>0.47999999999999898</v>
      </c>
      <c r="M102" s="14">
        <v>1.56</v>
      </c>
      <c r="N102" s="14">
        <v>9.0099999999999891</v>
      </c>
      <c r="O102" s="14">
        <v>0.56999999999999895</v>
      </c>
      <c r="P102" s="14">
        <v>1.6399999999999899</v>
      </c>
      <c r="Q102">
        <v>480</v>
      </c>
    </row>
    <row r="103" spans="3:17" x14ac:dyDescent="0.25">
      <c r="C103" s="15" t="s">
        <v>232</v>
      </c>
      <c r="D103" s="14" t="s">
        <v>15</v>
      </c>
      <c r="E103" s="14">
        <v>14.34</v>
      </c>
      <c r="F103" s="14">
        <v>1.6799999999999899</v>
      </c>
      <c r="G103" s="14">
        <v>2.7</v>
      </c>
      <c r="H103" s="14">
        <v>25</v>
      </c>
      <c r="I103" s="14">
        <v>98</v>
      </c>
      <c r="J103" s="14">
        <v>2.7999999999999901</v>
      </c>
      <c r="K103" s="14">
        <v>1.31</v>
      </c>
      <c r="L103" s="14">
        <v>0.53</v>
      </c>
      <c r="M103" s="14">
        <v>2.7</v>
      </c>
      <c r="N103" s="14">
        <v>13</v>
      </c>
      <c r="O103" s="14">
        <v>0.56999999999999895</v>
      </c>
      <c r="P103" s="14">
        <v>1.96</v>
      </c>
      <c r="Q103">
        <v>660</v>
      </c>
    </row>
    <row r="104" spans="3:17" x14ac:dyDescent="0.25">
      <c r="C104" s="15" t="s">
        <v>234</v>
      </c>
      <c r="D104" s="14" t="s">
        <v>15</v>
      </c>
      <c r="E104" s="14">
        <v>12.3599999999999</v>
      </c>
      <c r="F104" s="14">
        <v>3.83</v>
      </c>
      <c r="G104" s="14">
        <v>2.3799999999999901</v>
      </c>
      <c r="H104" s="14">
        <v>21</v>
      </c>
      <c r="I104" s="14">
        <v>88</v>
      </c>
      <c r="J104" s="14">
        <v>2.2999999999999901</v>
      </c>
      <c r="K104" s="14">
        <v>0.92</v>
      </c>
      <c r="L104" s="14">
        <v>0.5</v>
      </c>
      <c r="M104" s="14">
        <v>1.04</v>
      </c>
      <c r="N104" s="14">
        <v>7.65</v>
      </c>
      <c r="O104" s="14">
        <v>0.56000000000000005</v>
      </c>
      <c r="P104" s="14">
        <v>1.58</v>
      </c>
      <c r="Q104">
        <v>520</v>
      </c>
    </row>
    <row r="105" spans="3:17" x14ac:dyDescent="0.25">
      <c r="C105" s="15" t="s">
        <v>237</v>
      </c>
      <c r="D105" s="14" t="s">
        <v>15</v>
      </c>
      <c r="E105" s="14">
        <v>12.96</v>
      </c>
      <c r="F105" s="14">
        <v>3.45</v>
      </c>
      <c r="G105" s="14">
        <v>2.35</v>
      </c>
      <c r="H105" s="14">
        <v>18.5</v>
      </c>
      <c r="I105" s="14">
        <v>106</v>
      </c>
      <c r="J105" s="14">
        <v>1.3899999999999899</v>
      </c>
      <c r="K105" s="14">
        <v>0.69999999999999896</v>
      </c>
      <c r="L105" s="14">
        <v>0.4</v>
      </c>
      <c r="M105" s="14">
        <v>0.93999999999999895</v>
      </c>
      <c r="N105" s="14">
        <v>5.28</v>
      </c>
      <c r="O105" s="14">
        <v>0.68</v>
      </c>
      <c r="P105" s="14">
        <v>1.75</v>
      </c>
      <c r="Q105">
        <v>675</v>
      </c>
    </row>
    <row r="106" spans="3:17" x14ac:dyDescent="0.25">
      <c r="C106" s="15" t="s">
        <v>240</v>
      </c>
      <c r="D106" s="14" t="s">
        <v>15</v>
      </c>
      <c r="E106" s="14">
        <v>13.4499999999999</v>
      </c>
      <c r="F106" s="14">
        <v>3.7</v>
      </c>
      <c r="G106" s="14">
        <v>2.6</v>
      </c>
      <c r="H106" s="14">
        <v>23</v>
      </c>
      <c r="I106" s="14">
        <v>111</v>
      </c>
      <c r="J106" s="14">
        <v>1.7</v>
      </c>
      <c r="K106" s="14">
        <v>0.92</v>
      </c>
      <c r="L106" s="14">
        <v>0.42999999999999899</v>
      </c>
      <c r="M106" s="14">
        <v>1.46</v>
      </c>
      <c r="N106" s="14">
        <v>10.68</v>
      </c>
      <c r="O106" s="14">
        <v>0.84999999999999898</v>
      </c>
      <c r="P106" s="14">
        <v>1.56</v>
      </c>
      <c r="Q106">
        <v>695</v>
      </c>
    </row>
    <row r="107" spans="3:17" x14ac:dyDescent="0.25">
      <c r="C107" s="15" t="s">
        <v>242</v>
      </c>
      <c r="D107" s="14" t="s">
        <v>15</v>
      </c>
      <c r="E107" s="14">
        <v>13.58</v>
      </c>
      <c r="F107" s="14">
        <v>2.58</v>
      </c>
      <c r="G107" s="14">
        <v>2.6899999999999902</v>
      </c>
      <c r="H107" s="14">
        <v>24.5</v>
      </c>
      <c r="I107" s="14">
        <v>105</v>
      </c>
      <c r="J107" s="14">
        <v>1.55</v>
      </c>
      <c r="K107" s="14">
        <v>0.83999999999999897</v>
      </c>
      <c r="L107" s="14">
        <v>0.39</v>
      </c>
      <c r="M107" s="14">
        <v>1.54</v>
      </c>
      <c r="N107" s="14">
        <v>8.66</v>
      </c>
      <c r="O107" s="14">
        <v>0.73999999999999899</v>
      </c>
      <c r="P107" s="14">
        <v>1.8</v>
      </c>
      <c r="Q107">
        <v>750</v>
      </c>
    </row>
    <row r="108" spans="3:17" x14ac:dyDescent="0.25">
      <c r="C108" s="15" t="s">
        <v>247</v>
      </c>
      <c r="D108" s="14" t="s">
        <v>15</v>
      </c>
      <c r="E108" s="14">
        <v>13.71</v>
      </c>
      <c r="F108" s="14">
        <v>5.65</v>
      </c>
      <c r="G108" s="14">
        <v>2.4500000000000002</v>
      </c>
      <c r="H108" s="14">
        <v>20.5</v>
      </c>
      <c r="I108" s="14">
        <v>95</v>
      </c>
      <c r="J108" s="14">
        <v>1.6799999999999899</v>
      </c>
      <c r="K108" s="14">
        <v>0.60999999999999899</v>
      </c>
      <c r="L108" s="14">
        <v>0.52</v>
      </c>
      <c r="M108" s="14">
        <v>1.06</v>
      </c>
      <c r="N108" s="14">
        <v>7.7</v>
      </c>
      <c r="O108" s="14">
        <v>0.64</v>
      </c>
      <c r="P108" s="14">
        <v>1.74</v>
      </c>
      <c r="Q108">
        <v>740</v>
      </c>
    </row>
    <row r="109" spans="3:17" x14ac:dyDescent="0.25">
      <c r="C109" s="15" t="s">
        <v>252</v>
      </c>
      <c r="D109" s="14" t="s">
        <v>13</v>
      </c>
      <c r="E109" s="14">
        <v>12.85</v>
      </c>
      <c r="F109" s="14">
        <v>1.6</v>
      </c>
      <c r="G109" s="14">
        <v>2.52</v>
      </c>
      <c r="H109" s="14">
        <v>17.8</v>
      </c>
      <c r="I109" s="14">
        <v>95</v>
      </c>
      <c r="J109" s="14">
        <v>2.48</v>
      </c>
      <c r="K109" s="14">
        <v>2.37</v>
      </c>
      <c r="L109" s="14">
        <v>0.26</v>
      </c>
      <c r="M109" s="14">
        <v>1.46</v>
      </c>
      <c r="N109" s="14">
        <v>3.93</v>
      </c>
      <c r="O109" s="14">
        <v>1.0900000000000001</v>
      </c>
      <c r="P109" s="14">
        <v>3.6299999999999901</v>
      </c>
      <c r="Q109">
        <v>1015</v>
      </c>
    </row>
    <row r="110" spans="3:17" x14ac:dyDescent="0.25">
      <c r="C110" s="15" t="s">
        <v>255</v>
      </c>
      <c r="D110" s="14" t="s">
        <v>13</v>
      </c>
      <c r="E110" s="14">
        <v>13.39</v>
      </c>
      <c r="F110" s="14">
        <v>1.77</v>
      </c>
      <c r="G110" s="14">
        <v>2.62</v>
      </c>
      <c r="H110" s="14">
        <v>16.100000000000001</v>
      </c>
      <c r="I110" s="14">
        <v>93</v>
      </c>
      <c r="J110" s="14">
        <v>2.85</v>
      </c>
      <c r="K110" s="14">
        <v>2.9399999999999902</v>
      </c>
      <c r="L110" s="14">
        <v>0.34</v>
      </c>
      <c r="M110" s="14">
        <v>1.45</v>
      </c>
      <c r="N110" s="14">
        <v>4.7999999999999901</v>
      </c>
      <c r="O110" s="14">
        <v>0.92</v>
      </c>
      <c r="P110" s="14">
        <v>3.22</v>
      </c>
      <c r="Q110">
        <v>1195</v>
      </c>
    </row>
    <row r="111" spans="3:17" x14ac:dyDescent="0.25">
      <c r="C111" s="15" t="s">
        <v>260</v>
      </c>
      <c r="D111" s="14" t="s">
        <v>13</v>
      </c>
      <c r="E111" s="14">
        <v>13.58</v>
      </c>
      <c r="F111" s="14">
        <v>1.6599999999999899</v>
      </c>
      <c r="G111" s="14">
        <v>2.3599999999999901</v>
      </c>
      <c r="H111" s="14">
        <v>19.100000000000001</v>
      </c>
      <c r="I111" s="14">
        <v>106</v>
      </c>
      <c r="J111" s="14">
        <v>2.8599999999999901</v>
      </c>
      <c r="K111" s="14">
        <v>3.1899999999999902</v>
      </c>
      <c r="L111" s="14">
        <v>0.22</v>
      </c>
      <c r="M111" s="14">
        <v>1.95</v>
      </c>
      <c r="N111" s="14">
        <v>6.9</v>
      </c>
      <c r="O111" s="14">
        <v>1.0900000000000001</v>
      </c>
      <c r="P111" s="14">
        <v>2.8799999999999901</v>
      </c>
      <c r="Q111">
        <v>1515</v>
      </c>
    </row>
    <row r="112" spans="3:17" x14ac:dyDescent="0.25">
      <c r="C112" s="15" t="s">
        <v>261</v>
      </c>
      <c r="D112" s="14" t="s">
        <v>13</v>
      </c>
      <c r="E112" s="14">
        <v>13.68</v>
      </c>
      <c r="F112" s="14">
        <v>1.83</v>
      </c>
      <c r="G112" s="14">
        <v>2.3599999999999901</v>
      </c>
      <c r="H112" s="14">
        <v>17.1999999999999</v>
      </c>
      <c r="I112" s="14">
        <v>104</v>
      </c>
      <c r="J112" s="14">
        <v>2.4199999999999902</v>
      </c>
      <c r="K112" s="14">
        <v>2.6899999999999902</v>
      </c>
      <c r="L112" s="14">
        <v>0.41999999999999899</v>
      </c>
      <c r="M112" s="14">
        <v>1.97</v>
      </c>
      <c r="N112" s="14">
        <v>3.8399999999999901</v>
      </c>
      <c r="O112" s="14">
        <v>1.23</v>
      </c>
      <c r="P112" s="14">
        <v>2.87</v>
      </c>
      <c r="Q112">
        <v>990</v>
      </c>
    </row>
    <row r="113" spans="3:17" x14ac:dyDescent="0.25">
      <c r="C113" s="15" t="s">
        <v>262</v>
      </c>
      <c r="D113" s="14" t="s">
        <v>13</v>
      </c>
      <c r="E113" s="14">
        <v>13.76</v>
      </c>
      <c r="F113" s="14">
        <v>1.53</v>
      </c>
      <c r="G113" s="14">
        <v>2.7</v>
      </c>
      <c r="H113" s="14">
        <v>19.5</v>
      </c>
      <c r="I113" s="14">
        <v>132</v>
      </c>
      <c r="J113" s="14">
        <v>2.95</v>
      </c>
      <c r="K113" s="14">
        <v>2.74</v>
      </c>
      <c r="L113" s="14">
        <v>0.5</v>
      </c>
      <c r="M113" s="14">
        <v>1.35</v>
      </c>
      <c r="N113" s="14">
        <v>5.4</v>
      </c>
      <c r="O113" s="14">
        <v>1.25</v>
      </c>
      <c r="P113" s="14">
        <v>3</v>
      </c>
      <c r="Q113">
        <v>1235</v>
      </c>
    </row>
    <row r="114" spans="3:17" x14ac:dyDescent="0.25">
      <c r="C114" s="15" t="s">
        <v>263</v>
      </c>
      <c r="D114" s="14" t="s">
        <v>13</v>
      </c>
      <c r="E114" s="14">
        <v>13.51</v>
      </c>
      <c r="F114" s="14">
        <v>1.8</v>
      </c>
      <c r="G114" s="14">
        <v>2.6499999999999901</v>
      </c>
      <c r="H114" s="14">
        <v>19</v>
      </c>
      <c r="I114" s="14">
        <v>110</v>
      </c>
      <c r="J114" s="14">
        <v>2.35</v>
      </c>
      <c r="K114" s="14">
        <v>2.52999999999999</v>
      </c>
      <c r="L114" s="14">
        <v>0.28999999999999898</v>
      </c>
      <c r="M114" s="14">
        <v>1.54</v>
      </c>
      <c r="N114" s="14">
        <v>4.2</v>
      </c>
      <c r="O114" s="14">
        <v>1.1000000000000001</v>
      </c>
      <c r="P114" s="14">
        <v>2.87</v>
      </c>
      <c r="Q114">
        <v>1095</v>
      </c>
    </row>
    <row r="115" spans="3:17" x14ac:dyDescent="0.25">
      <c r="C115" s="15" t="s">
        <v>265</v>
      </c>
      <c r="D115" s="14" t="s">
        <v>13</v>
      </c>
      <c r="E115" s="14">
        <v>13.2799999999999</v>
      </c>
      <c r="F115" s="14">
        <v>1.6399999999999899</v>
      </c>
      <c r="G115" s="14">
        <v>2.8399999999999901</v>
      </c>
      <c r="H115" s="14">
        <v>15.5</v>
      </c>
      <c r="I115" s="14">
        <v>110</v>
      </c>
      <c r="J115" s="14">
        <v>2.6</v>
      </c>
      <c r="K115" s="14">
        <v>2.68</v>
      </c>
      <c r="L115" s="14">
        <v>0.34</v>
      </c>
      <c r="M115" s="14">
        <v>1.36</v>
      </c>
      <c r="N115" s="14">
        <v>4.5999999999999899</v>
      </c>
      <c r="O115" s="14">
        <v>1.0900000000000001</v>
      </c>
      <c r="P115" s="14">
        <v>2.77999999999999</v>
      </c>
      <c r="Q115">
        <v>880</v>
      </c>
    </row>
    <row r="116" spans="3:17" x14ac:dyDescent="0.25">
      <c r="C116" s="15" t="s">
        <v>266</v>
      </c>
      <c r="D116" s="14" t="s">
        <v>13</v>
      </c>
      <c r="E116" s="14">
        <v>13.05</v>
      </c>
      <c r="F116" s="14">
        <v>1.6499999999999899</v>
      </c>
      <c r="G116" s="14">
        <v>2.5499999999999901</v>
      </c>
      <c r="H116" s="14">
        <v>18</v>
      </c>
      <c r="I116" s="14">
        <v>98</v>
      </c>
      <c r="J116" s="14">
        <v>2.4500000000000002</v>
      </c>
      <c r="K116" s="14">
        <v>2.4300000000000002</v>
      </c>
      <c r="L116" s="14">
        <v>0.28999999999999898</v>
      </c>
      <c r="M116" s="14">
        <v>1.43999999999999</v>
      </c>
      <c r="N116" s="14">
        <v>4.25</v>
      </c>
      <c r="O116" s="14">
        <v>1.1200000000000001</v>
      </c>
      <c r="P116" s="14">
        <v>2.50999999999999</v>
      </c>
      <c r="Q116">
        <v>1105</v>
      </c>
    </row>
    <row r="117" spans="3:17" x14ac:dyDescent="0.25">
      <c r="C117" s="15" t="s">
        <v>269</v>
      </c>
      <c r="D117" s="14" t="s">
        <v>13</v>
      </c>
      <c r="E117" s="14">
        <v>13.56</v>
      </c>
      <c r="F117" s="14">
        <v>1.71</v>
      </c>
      <c r="G117" s="14">
        <v>2.31</v>
      </c>
      <c r="H117" s="14">
        <v>16.1999999999999</v>
      </c>
      <c r="I117" s="14">
        <v>117</v>
      </c>
      <c r="J117" s="14">
        <v>3.1499999999999901</v>
      </c>
      <c r="K117" s="14">
        <v>3.29</v>
      </c>
      <c r="L117" s="14">
        <v>0.34</v>
      </c>
      <c r="M117" s="14">
        <v>2.3399999999999901</v>
      </c>
      <c r="N117" s="14">
        <v>6.1299999999999901</v>
      </c>
      <c r="O117" s="14">
        <v>0.94999999999999896</v>
      </c>
      <c r="P117" s="14">
        <v>3.3799999999999901</v>
      </c>
      <c r="Q117">
        <v>795</v>
      </c>
    </row>
    <row r="118" spans="3:17" x14ac:dyDescent="0.25">
      <c r="C118" s="15" t="s">
        <v>273</v>
      </c>
      <c r="D118" s="14" t="s">
        <v>13</v>
      </c>
      <c r="E118" s="14">
        <v>13.05</v>
      </c>
      <c r="F118" s="14">
        <v>1.77</v>
      </c>
      <c r="G118" s="14">
        <v>2.1</v>
      </c>
      <c r="H118" s="14">
        <v>17</v>
      </c>
      <c r="I118" s="14">
        <v>107</v>
      </c>
      <c r="J118" s="14">
        <v>3</v>
      </c>
      <c r="K118" s="14">
        <v>3</v>
      </c>
      <c r="L118" s="14">
        <v>0.28000000000000003</v>
      </c>
      <c r="M118" s="14">
        <v>2.02999999999999</v>
      </c>
      <c r="N118" s="14">
        <v>5.04</v>
      </c>
      <c r="O118" s="14">
        <v>0.88</v>
      </c>
      <c r="P118" s="14">
        <v>3.35</v>
      </c>
      <c r="Q118">
        <v>885</v>
      </c>
    </row>
    <row r="119" spans="3:17" x14ac:dyDescent="0.25">
      <c r="C119" s="15" t="s">
        <v>274</v>
      </c>
      <c r="D119" s="14" t="s">
        <v>13</v>
      </c>
      <c r="E119" s="14">
        <v>14.21</v>
      </c>
      <c r="F119" s="14">
        <v>4.04</v>
      </c>
      <c r="G119" s="14">
        <v>2.4399999999999902</v>
      </c>
      <c r="H119" s="14">
        <v>18.899999999999899</v>
      </c>
      <c r="I119" s="14">
        <v>111</v>
      </c>
      <c r="J119" s="14">
        <v>2.85</v>
      </c>
      <c r="K119" s="14">
        <v>2.6499999999999901</v>
      </c>
      <c r="L119" s="14">
        <v>0.29999999999999899</v>
      </c>
      <c r="M119" s="14">
        <v>1.25</v>
      </c>
      <c r="N119" s="14">
        <v>5.24</v>
      </c>
      <c r="O119" s="14">
        <v>0.87</v>
      </c>
      <c r="P119" s="14">
        <v>3.33</v>
      </c>
      <c r="Q119">
        <v>1080</v>
      </c>
    </row>
    <row r="120" spans="3:17" x14ac:dyDescent="0.25">
      <c r="C120" s="15" t="s">
        <v>275</v>
      </c>
      <c r="D120" s="14" t="s">
        <v>13</v>
      </c>
      <c r="E120" s="14">
        <v>14.38</v>
      </c>
      <c r="F120" s="14">
        <v>3.5899999999999901</v>
      </c>
      <c r="G120" s="14">
        <v>2.27999999999999</v>
      </c>
      <c r="H120" s="14">
        <v>16</v>
      </c>
      <c r="I120" s="14">
        <v>102</v>
      </c>
      <c r="J120" s="14">
        <v>3.25</v>
      </c>
      <c r="K120" s="14">
        <v>3.1699999999999902</v>
      </c>
      <c r="L120" s="14">
        <v>0.27</v>
      </c>
      <c r="M120" s="14">
        <v>2.1899999999999902</v>
      </c>
      <c r="N120" s="14">
        <v>4.9000000000000004</v>
      </c>
      <c r="O120" s="14">
        <v>1.04</v>
      </c>
      <c r="P120" s="14">
        <v>3.4399999999999902</v>
      </c>
      <c r="Q120">
        <v>1065</v>
      </c>
    </row>
    <row r="121" spans="3:17" x14ac:dyDescent="0.25">
      <c r="C121" s="15" t="s">
        <v>278</v>
      </c>
      <c r="D121" s="14" t="s">
        <v>13</v>
      </c>
      <c r="E121" s="14">
        <v>13.94</v>
      </c>
      <c r="F121" s="14">
        <v>1.73</v>
      </c>
      <c r="G121" s="14">
        <v>2.27</v>
      </c>
      <c r="H121" s="14">
        <v>17.399999999999899</v>
      </c>
      <c r="I121" s="14">
        <v>108</v>
      </c>
      <c r="J121" s="14">
        <v>2.8799999999999901</v>
      </c>
      <c r="K121" s="14">
        <v>3.54</v>
      </c>
      <c r="L121" s="14">
        <v>0.32</v>
      </c>
      <c r="M121" s="14">
        <v>2.08</v>
      </c>
      <c r="N121" s="14">
        <v>8.9</v>
      </c>
      <c r="O121" s="14">
        <v>1.1200000000000001</v>
      </c>
      <c r="P121" s="14">
        <v>3.1</v>
      </c>
      <c r="Q121">
        <v>1260</v>
      </c>
    </row>
    <row r="122" spans="3:17" x14ac:dyDescent="0.25">
      <c r="C122" s="15" t="s">
        <v>282</v>
      </c>
      <c r="D122" s="14" t="s">
        <v>13</v>
      </c>
      <c r="E122" s="14">
        <v>13.77</v>
      </c>
      <c r="F122" s="14">
        <v>1.8999999999999899</v>
      </c>
      <c r="G122" s="14">
        <v>2.68</v>
      </c>
      <c r="H122" s="14">
        <v>17.100000000000001</v>
      </c>
      <c r="I122" s="14">
        <v>115</v>
      </c>
      <c r="J122" s="14">
        <v>3</v>
      </c>
      <c r="K122" s="14">
        <v>2.79</v>
      </c>
      <c r="L122" s="14">
        <v>0.39</v>
      </c>
      <c r="M122" s="14">
        <v>1.6799999999999899</v>
      </c>
      <c r="N122" s="14">
        <v>6.2999999999999901</v>
      </c>
      <c r="O122" s="14">
        <v>1.1299999999999899</v>
      </c>
      <c r="P122" s="14">
        <v>2.93</v>
      </c>
      <c r="Q122">
        <v>1375</v>
      </c>
    </row>
    <row r="123" spans="3:17" x14ac:dyDescent="0.25">
      <c r="C123" s="15" t="s">
        <v>283</v>
      </c>
      <c r="D123" s="14" t="s">
        <v>13</v>
      </c>
      <c r="E123" s="14">
        <v>13.74</v>
      </c>
      <c r="F123" s="14">
        <v>1.6699999999999899</v>
      </c>
      <c r="G123" s="14">
        <v>2.25</v>
      </c>
      <c r="H123" s="14">
        <v>16.399999999999899</v>
      </c>
      <c r="I123" s="14">
        <v>118</v>
      </c>
      <c r="J123" s="14">
        <v>2.6</v>
      </c>
      <c r="K123" s="14">
        <v>2.8999999999999901</v>
      </c>
      <c r="L123" s="14">
        <v>0.20999999999999899</v>
      </c>
      <c r="M123" s="14">
        <v>1.62</v>
      </c>
      <c r="N123" s="14">
        <v>5.8499999999999899</v>
      </c>
      <c r="O123" s="14">
        <v>0.92</v>
      </c>
      <c r="P123" s="14">
        <v>3.2</v>
      </c>
      <c r="Q123">
        <v>1060</v>
      </c>
    </row>
    <row r="124" spans="3:17" x14ac:dyDescent="0.25">
      <c r="C124" s="15" t="s">
        <v>284</v>
      </c>
      <c r="D124" s="14" t="s">
        <v>13</v>
      </c>
      <c r="E124" s="14">
        <v>13.56</v>
      </c>
      <c r="F124" s="14">
        <v>1.73</v>
      </c>
      <c r="G124" s="14">
        <v>2.46</v>
      </c>
      <c r="H124" s="14">
        <v>20.5</v>
      </c>
      <c r="I124" s="14">
        <v>116</v>
      </c>
      <c r="J124" s="14">
        <v>2.96</v>
      </c>
      <c r="K124" s="14">
        <v>2.77999999999999</v>
      </c>
      <c r="L124" s="14">
        <v>0.2</v>
      </c>
      <c r="M124" s="14">
        <v>2.4500000000000002</v>
      </c>
      <c r="N124" s="14">
        <v>6.25</v>
      </c>
      <c r="O124" s="14">
        <v>0.97999999999999898</v>
      </c>
      <c r="P124" s="14">
        <v>3.02999999999999</v>
      </c>
      <c r="Q124">
        <v>1120</v>
      </c>
    </row>
    <row r="125" spans="3:17" x14ac:dyDescent="0.25">
      <c r="C125" s="15" t="s">
        <v>285</v>
      </c>
      <c r="D125" s="14" t="s">
        <v>13</v>
      </c>
      <c r="E125" s="14">
        <v>14.22</v>
      </c>
      <c r="F125" s="14">
        <v>1.7</v>
      </c>
      <c r="G125" s="14">
        <v>2.2999999999999901</v>
      </c>
      <c r="H125" s="14">
        <v>16.3</v>
      </c>
      <c r="I125" s="14">
        <v>118</v>
      </c>
      <c r="J125" s="14">
        <v>3.2</v>
      </c>
      <c r="K125" s="14">
        <v>3</v>
      </c>
      <c r="L125" s="14">
        <v>0.26</v>
      </c>
      <c r="M125" s="14">
        <v>2.02999999999999</v>
      </c>
      <c r="N125" s="14">
        <v>6.3799999999999901</v>
      </c>
      <c r="O125" s="14">
        <v>0.93999999999999895</v>
      </c>
      <c r="P125" s="14">
        <v>3.31</v>
      </c>
      <c r="Q125">
        <v>970</v>
      </c>
    </row>
    <row r="126" spans="3:17" x14ac:dyDescent="0.25">
      <c r="C126" s="15" t="s">
        <v>288</v>
      </c>
      <c r="D126" s="14" t="s">
        <v>14</v>
      </c>
      <c r="E126" s="14">
        <v>12.3699999999999</v>
      </c>
      <c r="F126" s="14">
        <v>0.93999999999999895</v>
      </c>
      <c r="G126" s="14">
        <v>1.36</v>
      </c>
      <c r="H126" s="14">
        <v>10.6</v>
      </c>
      <c r="I126" s="14">
        <v>88</v>
      </c>
      <c r="J126" s="14">
        <v>1.98</v>
      </c>
      <c r="K126" s="14">
        <v>0.56999999999999895</v>
      </c>
      <c r="L126" s="14">
        <v>0.28000000000000003</v>
      </c>
      <c r="M126" s="14">
        <v>0.41999999999999899</v>
      </c>
      <c r="N126" s="14">
        <v>1.95</v>
      </c>
      <c r="O126" s="14">
        <v>1.05</v>
      </c>
      <c r="P126" s="14">
        <v>1.82</v>
      </c>
      <c r="Q126">
        <v>520</v>
      </c>
    </row>
    <row r="127" spans="3:17" x14ac:dyDescent="0.25">
      <c r="C127" s="15" t="s">
        <v>290</v>
      </c>
      <c r="D127" s="14" t="s">
        <v>14</v>
      </c>
      <c r="E127" s="14">
        <v>12.64</v>
      </c>
      <c r="F127" s="14">
        <v>1.36</v>
      </c>
      <c r="G127" s="14">
        <v>2.02</v>
      </c>
      <c r="H127" s="14">
        <v>16.8</v>
      </c>
      <c r="I127" s="14">
        <v>100</v>
      </c>
      <c r="J127" s="14">
        <v>2.02</v>
      </c>
      <c r="K127" s="14">
        <v>1.4099999999999899</v>
      </c>
      <c r="L127" s="14">
        <v>0.53</v>
      </c>
      <c r="M127" s="14">
        <v>0.62</v>
      </c>
      <c r="N127" s="14">
        <v>5.75</v>
      </c>
      <c r="O127" s="14">
        <v>0.97999999999999898</v>
      </c>
      <c r="P127" s="14">
        <v>1.59</v>
      </c>
      <c r="Q127">
        <v>450</v>
      </c>
    </row>
    <row r="128" spans="3:17" x14ac:dyDescent="0.25">
      <c r="C128" s="15" t="s">
        <v>292</v>
      </c>
      <c r="D128" s="14" t="s">
        <v>14</v>
      </c>
      <c r="E128" s="14">
        <v>12.3699999999999</v>
      </c>
      <c r="F128" s="14">
        <v>1.1299999999999899</v>
      </c>
      <c r="G128" s="14">
        <v>2.16</v>
      </c>
      <c r="H128" s="14">
        <v>19</v>
      </c>
      <c r="I128" s="14">
        <v>87</v>
      </c>
      <c r="J128" s="14">
        <v>3.5</v>
      </c>
      <c r="K128" s="14">
        <v>3.1</v>
      </c>
      <c r="L128" s="14">
        <v>0.19</v>
      </c>
      <c r="M128" s="14">
        <v>1.87</v>
      </c>
      <c r="N128" s="14">
        <v>4.45</v>
      </c>
      <c r="O128" s="14">
        <v>1.22</v>
      </c>
      <c r="P128" s="14">
        <v>2.87</v>
      </c>
      <c r="Q128">
        <v>420</v>
      </c>
    </row>
    <row r="129" spans="3:17" x14ac:dyDescent="0.25">
      <c r="C129" s="15" t="s">
        <v>293</v>
      </c>
      <c r="D129" s="14" t="s">
        <v>14</v>
      </c>
      <c r="E129" s="14">
        <v>12.17</v>
      </c>
      <c r="F129" s="14">
        <v>1.45</v>
      </c>
      <c r="G129" s="14">
        <v>2.52999999999999</v>
      </c>
      <c r="H129" s="14">
        <v>19</v>
      </c>
      <c r="I129" s="14">
        <v>104</v>
      </c>
      <c r="J129" s="14">
        <v>1.8899999999999899</v>
      </c>
      <c r="K129" s="14">
        <v>1.75</v>
      </c>
      <c r="L129" s="14">
        <v>0.45</v>
      </c>
      <c r="M129" s="14">
        <v>1.03</v>
      </c>
      <c r="N129" s="14">
        <v>2.95</v>
      </c>
      <c r="O129" s="14">
        <v>1.45</v>
      </c>
      <c r="P129" s="14">
        <v>2.23</v>
      </c>
      <c r="Q129">
        <v>355</v>
      </c>
    </row>
    <row r="130" spans="3:17" x14ac:dyDescent="0.25">
      <c r="C130" s="15" t="s">
        <v>303</v>
      </c>
      <c r="D130" s="14" t="s">
        <v>14</v>
      </c>
      <c r="E130" s="14">
        <v>11.96</v>
      </c>
      <c r="F130" s="14">
        <v>1.0900000000000001</v>
      </c>
      <c r="G130" s="14">
        <v>2.2999999999999901</v>
      </c>
      <c r="H130" s="14">
        <v>21</v>
      </c>
      <c r="I130" s="14">
        <v>101</v>
      </c>
      <c r="J130" s="14">
        <v>3.3799999999999901</v>
      </c>
      <c r="K130" s="14">
        <v>2.14</v>
      </c>
      <c r="L130" s="14">
        <v>0.13</v>
      </c>
      <c r="M130" s="14">
        <v>1.6499999999999899</v>
      </c>
      <c r="N130" s="14">
        <v>3.21</v>
      </c>
      <c r="O130" s="14">
        <v>0.98999999999999899</v>
      </c>
      <c r="P130" s="14">
        <v>3.1299999999999901</v>
      </c>
      <c r="Q130">
        <v>886</v>
      </c>
    </row>
    <row r="131" spans="3:17" x14ac:dyDescent="0.25">
      <c r="C131" s="15" t="s">
        <v>305</v>
      </c>
      <c r="D131" s="14" t="s">
        <v>14</v>
      </c>
      <c r="E131" s="14">
        <v>13.0299999999999</v>
      </c>
      <c r="F131" s="14">
        <v>0.9</v>
      </c>
      <c r="G131" s="14">
        <v>1.71</v>
      </c>
      <c r="H131" s="14">
        <v>16</v>
      </c>
      <c r="I131" s="14">
        <v>86</v>
      </c>
      <c r="J131" s="14">
        <v>1.95</v>
      </c>
      <c r="K131" s="14">
        <v>2.02999999999999</v>
      </c>
      <c r="L131" s="14">
        <v>0.23999999999999899</v>
      </c>
      <c r="M131" s="14">
        <v>1.46</v>
      </c>
      <c r="N131" s="14">
        <v>4.5999999999999899</v>
      </c>
      <c r="O131" s="14">
        <v>1.18999999999999</v>
      </c>
      <c r="P131" s="14">
        <v>2.48</v>
      </c>
      <c r="Q131">
        <v>392</v>
      </c>
    </row>
    <row r="132" spans="3:17" x14ac:dyDescent="0.25">
      <c r="C132" s="15" t="s">
        <v>307</v>
      </c>
      <c r="D132" s="14" t="s">
        <v>14</v>
      </c>
      <c r="E132" s="14">
        <v>12.33</v>
      </c>
      <c r="F132" s="14">
        <v>0.98999999999999899</v>
      </c>
      <c r="G132" s="14">
        <v>1.95</v>
      </c>
      <c r="H132" s="14">
        <v>14.8</v>
      </c>
      <c r="I132" s="14">
        <v>136</v>
      </c>
      <c r="J132" s="14">
        <v>1.8999999999999899</v>
      </c>
      <c r="K132" s="14">
        <v>1.85</v>
      </c>
      <c r="L132" s="14">
        <v>0.34999999999999898</v>
      </c>
      <c r="M132" s="14">
        <v>2.75999999999999</v>
      </c>
      <c r="N132" s="14">
        <v>3.3999999999999901</v>
      </c>
      <c r="O132" s="14">
        <v>1.06</v>
      </c>
      <c r="P132" s="14">
        <v>2.31</v>
      </c>
      <c r="Q132">
        <v>750</v>
      </c>
    </row>
    <row r="133" spans="3:17" x14ac:dyDescent="0.25">
      <c r="C133" s="15" t="s">
        <v>312</v>
      </c>
      <c r="D133" s="14" t="s">
        <v>14</v>
      </c>
      <c r="E133" s="14">
        <v>13.05</v>
      </c>
      <c r="F133" s="14">
        <v>3.8599999999999901</v>
      </c>
      <c r="G133" s="14">
        <v>2.3199999999999901</v>
      </c>
      <c r="H133" s="14">
        <v>22.5</v>
      </c>
      <c r="I133" s="14">
        <v>85</v>
      </c>
      <c r="J133" s="14">
        <v>1.6499999999999899</v>
      </c>
      <c r="K133" s="14">
        <v>1.59</v>
      </c>
      <c r="L133" s="14">
        <v>0.60999999999999899</v>
      </c>
      <c r="M133" s="14">
        <v>1.62</v>
      </c>
      <c r="N133" s="14">
        <v>4.7999999999999901</v>
      </c>
      <c r="O133" s="14">
        <v>0.83999999999999897</v>
      </c>
      <c r="P133" s="14">
        <v>2.00999999999999</v>
      </c>
      <c r="Q133">
        <v>515</v>
      </c>
    </row>
    <row r="134" spans="3:17" x14ac:dyDescent="0.25">
      <c r="C134" s="15" t="s">
        <v>314</v>
      </c>
      <c r="D134" s="14" t="s">
        <v>14</v>
      </c>
      <c r="E134" s="14">
        <v>12.67</v>
      </c>
      <c r="F134" s="14">
        <v>0.97999999999999898</v>
      </c>
      <c r="G134" s="14">
        <v>2.2400000000000002</v>
      </c>
      <c r="H134" s="14">
        <v>18</v>
      </c>
      <c r="I134" s="14">
        <v>99</v>
      </c>
      <c r="J134" s="14">
        <v>2.2000000000000002</v>
      </c>
      <c r="K134" s="14">
        <v>1.93999999999999</v>
      </c>
      <c r="L134" s="14">
        <v>0.29999999999999899</v>
      </c>
      <c r="M134" s="14">
        <v>1.46</v>
      </c>
      <c r="N134" s="14">
        <v>2.62</v>
      </c>
      <c r="O134" s="14">
        <v>1.23</v>
      </c>
      <c r="P134" s="14">
        <v>3.16</v>
      </c>
      <c r="Q134">
        <v>450</v>
      </c>
    </row>
    <row r="135" spans="3:17" x14ac:dyDescent="0.25">
      <c r="C135" s="15" t="s">
        <v>317</v>
      </c>
      <c r="D135" s="14" t="s">
        <v>14</v>
      </c>
      <c r="E135" s="14">
        <v>11.64</v>
      </c>
      <c r="F135" s="14">
        <v>2.06</v>
      </c>
      <c r="G135" s="14">
        <v>2.46</v>
      </c>
      <c r="H135" s="14">
        <v>21.6</v>
      </c>
      <c r="I135" s="14">
        <v>84</v>
      </c>
      <c r="J135" s="14">
        <v>1.95</v>
      </c>
      <c r="K135" s="14">
        <v>1.68999999999999</v>
      </c>
      <c r="L135" s="14">
        <v>0.47999999999999898</v>
      </c>
      <c r="M135" s="14">
        <v>1.35</v>
      </c>
      <c r="N135" s="14">
        <v>2.7999999999999901</v>
      </c>
      <c r="O135" s="14">
        <v>1</v>
      </c>
      <c r="P135" s="14">
        <v>2.75</v>
      </c>
      <c r="Q135">
        <v>680</v>
      </c>
    </row>
    <row r="136" spans="3:17" x14ac:dyDescent="0.25">
      <c r="C136" s="15" t="s">
        <v>322</v>
      </c>
      <c r="D136" s="14" t="s">
        <v>14</v>
      </c>
      <c r="E136" s="14">
        <v>12.2899999999999</v>
      </c>
      <c r="F136" s="14">
        <v>2.83</v>
      </c>
      <c r="G136" s="14">
        <v>2.2200000000000002</v>
      </c>
      <c r="H136" s="14">
        <v>18</v>
      </c>
      <c r="I136" s="14">
        <v>88</v>
      </c>
      <c r="J136" s="14">
        <v>2.4500000000000002</v>
      </c>
      <c r="K136" s="14">
        <v>2.25</v>
      </c>
      <c r="L136" s="14">
        <v>0.25</v>
      </c>
      <c r="M136" s="14">
        <v>1.99</v>
      </c>
      <c r="N136" s="14">
        <v>2.1499999999999901</v>
      </c>
      <c r="O136" s="14">
        <v>1.1499999999999899</v>
      </c>
      <c r="P136" s="14">
        <v>3.2999999999999901</v>
      </c>
      <c r="Q136">
        <v>290</v>
      </c>
    </row>
    <row r="137" spans="3:17" x14ac:dyDescent="0.25">
      <c r="C137" s="15" t="s">
        <v>323</v>
      </c>
      <c r="D137" s="14" t="s">
        <v>14</v>
      </c>
      <c r="E137" s="14">
        <v>11.6199999999999</v>
      </c>
      <c r="F137" s="14">
        <v>1.99</v>
      </c>
      <c r="G137" s="14">
        <v>2.27999999999999</v>
      </c>
      <c r="H137" s="14">
        <v>18</v>
      </c>
      <c r="I137" s="14">
        <v>98</v>
      </c>
      <c r="J137" s="14">
        <v>3.02</v>
      </c>
      <c r="K137" s="14">
        <v>2.25999999999999</v>
      </c>
      <c r="L137" s="14">
        <v>0.17</v>
      </c>
      <c r="M137" s="14">
        <v>1.35</v>
      </c>
      <c r="N137" s="14">
        <v>3.25</v>
      </c>
      <c r="O137" s="14">
        <v>1.1599999999999899</v>
      </c>
      <c r="P137" s="14">
        <v>2.96</v>
      </c>
      <c r="Q137">
        <v>345</v>
      </c>
    </row>
    <row r="138" spans="3:17" x14ac:dyDescent="0.25">
      <c r="C138" s="15" t="s">
        <v>327</v>
      </c>
      <c r="D138" s="14" t="s">
        <v>14</v>
      </c>
      <c r="E138" s="14">
        <v>12.3699999999999</v>
      </c>
      <c r="F138" s="14">
        <v>1.07</v>
      </c>
      <c r="G138" s="14">
        <v>2.1</v>
      </c>
      <c r="H138" s="14">
        <v>18.5</v>
      </c>
      <c r="I138" s="14">
        <v>88</v>
      </c>
      <c r="J138" s="14">
        <v>3.52</v>
      </c>
      <c r="K138" s="14">
        <v>3.75</v>
      </c>
      <c r="L138" s="14">
        <v>0.23999999999999899</v>
      </c>
      <c r="M138" s="14">
        <v>1.95</v>
      </c>
      <c r="N138" s="14">
        <v>4.5</v>
      </c>
      <c r="O138" s="14">
        <v>1.04</v>
      </c>
      <c r="P138" s="14">
        <v>2.77</v>
      </c>
      <c r="Q138">
        <v>660</v>
      </c>
    </row>
    <row r="139" spans="3:17" x14ac:dyDescent="0.25">
      <c r="C139" s="15" t="s">
        <v>329</v>
      </c>
      <c r="D139" s="14" t="s">
        <v>14</v>
      </c>
      <c r="E139" s="14">
        <v>12.08</v>
      </c>
      <c r="F139" s="14">
        <v>2.08</v>
      </c>
      <c r="G139" s="14">
        <v>1.7</v>
      </c>
      <c r="H139" s="14">
        <v>17.5</v>
      </c>
      <c r="I139" s="14">
        <v>97</v>
      </c>
      <c r="J139" s="14">
        <v>2.23</v>
      </c>
      <c r="K139" s="14">
        <v>2.1699999999999902</v>
      </c>
      <c r="L139" s="14">
        <v>0.26</v>
      </c>
      <c r="M139" s="14">
        <v>1.3999999999999899</v>
      </c>
      <c r="N139" s="14">
        <v>3.2999999999999901</v>
      </c>
      <c r="O139" s="14">
        <v>1.27</v>
      </c>
      <c r="P139" s="14">
        <v>2.96</v>
      </c>
      <c r="Q139">
        <v>710</v>
      </c>
    </row>
    <row r="140" spans="3:17" x14ac:dyDescent="0.25">
      <c r="C140" s="15" t="s">
        <v>334</v>
      </c>
      <c r="D140" s="14" t="s">
        <v>14</v>
      </c>
      <c r="E140" s="14">
        <v>12.42</v>
      </c>
      <c r="F140" s="14">
        <v>2.5499999999999901</v>
      </c>
      <c r="G140" s="14">
        <v>2.27</v>
      </c>
      <c r="H140" s="14">
        <v>22</v>
      </c>
      <c r="I140" s="14">
        <v>90</v>
      </c>
      <c r="J140" s="14">
        <v>1.6799999999999899</v>
      </c>
      <c r="K140" s="14">
        <v>1.84</v>
      </c>
      <c r="L140" s="14">
        <v>0.66</v>
      </c>
      <c r="M140" s="14">
        <v>1.4199999999999899</v>
      </c>
      <c r="N140" s="14">
        <v>2.7</v>
      </c>
      <c r="O140" s="14">
        <v>0.85999999999999899</v>
      </c>
      <c r="P140" s="14">
        <v>3.2999999999999901</v>
      </c>
      <c r="Q140">
        <v>315</v>
      </c>
    </row>
    <row r="141" spans="3:17" x14ac:dyDescent="0.25">
      <c r="C141" s="15" t="s">
        <v>335</v>
      </c>
      <c r="D141" s="14" t="s">
        <v>14</v>
      </c>
      <c r="E141" s="14">
        <v>12.25</v>
      </c>
      <c r="F141" s="14">
        <v>1.73</v>
      </c>
      <c r="G141" s="14">
        <v>2.12</v>
      </c>
      <c r="H141" s="14">
        <v>19</v>
      </c>
      <c r="I141" s="14">
        <v>80</v>
      </c>
      <c r="J141" s="14">
        <v>1.6499999999999899</v>
      </c>
      <c r="K141" s="14">
        <v>2.02999999999999</v>
      </c>
      <c r="L141" s="14">
        <v>0.37</v>
      </c>
      <c r="M141" s="14">
        <v>1.6299999999999899</v>
      </c>
      <c r="N141" s="14">
        <v>3.3999999999999901</v>
      </c>
      <c r="O141" s="14">
        <v>1</v>
      </c>
      <c r="P141" s="14">
        <v>3.1699999999999902</v>
      </c>
      <c r="Q141">
        <v>510</v>
      </c>
    </row>
    <row r="142" spans="3:17" x14ac:dyDescent="0.25">
      <c r="C142" s="15" t="s">
        <v>336</v>
      </c>
      <c r="D142" s="14" t="s">
        <v>14</v>
      </c>
      <c r="E142" s="14">
        <v>12.72</v>
      </c>
      <c r="F142" s="14">
        <v>1.75</v>
      </c>
      <c r="G142" s="14">
        <v>2.27999999999999</v>
      </c>
      <c r="H142" s="14">
        <v>22.5</v>
      </c>
      <c r="I142" s="14">
        <v>84</v>
      </c>
      <c r="J142" s="14">
        <v>1.3799999999999899</v>
      </c>
      <c r="K142" s="14">
        <v>1.76</v>
      </c>
      <c r="L142" s="14">
        <v>0.47999999999999898</v>
      </c>
      <c r="M142" s="14">
        <v>1.6299999999999899</v>
      </c>
      <c r="N142" s="14">
        <v>3.2999999999999901</v>
      </c>
      <c r="O142" s="14">
        <v>0.88</v>
      </c>
      <c r="P142" s="14">
        <v>2.4199999999999902</v>
      </c>
      <c r="Q142">
        <v>488</v>
      </c>
    </row>
    <row r="143" spans="3:17" x14ac:dyDescent="0.25">
      <c r="C143" s="15" t="s">
        <v>339</v>
      </c>
      <c r="D143" s="14" t="s">
        <v>14</v>
      </c>
      <c r="E143" s="14">
        <v>11.46</v>
      </c>
      <c r="F143" s="14">
        <v>3.74</v>
      </c>
      <c r="G143" s="14">
        <v>1.82</v>
      </c>
      <c r="H143" s="14">
        <v>19.5</v>
      </c>
      <c r="I143" s="14">
        <v>107</v>
      </c>
      <c r="J143" s="14">
        <v>3.18</v>
      </c>
      <c r="K143" s="14">
        <v>2.58</v>
      </c>
      <c r="L143" s="14">
        <v>0.23999999999999899</v>
      </c>
      <c r="M143" s="14">
        <v>3.58</v>
      </c>
      <c r="N143" s="14">
        <v>2.8999999999999901</v>
      </c>
      <c r="O143" s="14">
        <v>0.75</v>
      </c>
      <c r="P143" s="14">
        <v>2.81</v>
      </c>
      <c r="Q143">
        <v>562</v>
      </c>
    </row>
    <row r="144" spans="3:17" x14ac:dyDescent="0.25">
      <c r="C144" s="15" t="s">
        <v>340</v>
      </c>
      <c r="D144" s="14" t="s">
        <v>14</v>
      </c>
      <c r="E144" s="14">
        <v>12.52</v>
      </c>
      <c r="F144" s="14">
        <v>2.4300000000000002</v>
      </c>
      <c r="G144" s="14">
        <v>2.1699999999999902</v>
      </c>
      <c r="H144" s="14">
        <v>21</v>
      </c>
      <c r="I144" s="14">
        <v>88</v>
      </c>
      <c r="J144" s="14">
        <v>2.5499999999999901</v>
      </c>
      <c r="K144" s="14">
        <v>2.27</v>
      </c>
      <c r="L144" s="14">
        <v>0.26</v>
      </c>
      <c r="M144" s="14">
        <v>1.22</v>
      </c>
      <c r="N144" s="14">
        <v>2</v>
      </c>
      <c r="O144" s="14">
        <v>0.9</v>
      </c>
      <c r="P144" s="14">
        <v>2.77999999999999</v>
      </c>
      <c r="Q144">
        <v>325</v>
      </c>
    </row>
    <row r="145" spans="3:17" x14ac:dyDescent="0.25">
      <c r="C145" s="15" t="s">
        <v>342</v>
      </c>
      <c r="D145" s="14" t="s">
        <v>14</v>
      </c>
      <c r="E145" s="14">
        <v>11.41</v>
      </c>
      <c r="F145" s="14">
        <v>0.73999999999999899</v>
      </c>
      <c r="G145" s="14">
        <v>2.5</v>
      </c>
      <c r="H145" s="14">
        <v>21</v>
      </c>
      <c r="I145" s="14">
        <v>88</v>
      </c>
      <c r="J145" s="14">
        <v>2.48</v>
      </c>
      <c r="K145" s="14">
        <v>2.00999999999999</v>
      </c>
      <c r="L145" s="14">
        <v>0.41999999999999899</v>
      </c>
      <c r="M145" s="14">
        <v>1.43999999999999</v>
      </c>
      <c r="N145" s="14">
        <v>3.08</v>
      </c>
      <c r="O145" s="14">
        <v>1.1000000000000001</v>
      </c>
      <c r="P145" s="14">
        <v>2.31</v>
      </c>
      <c r="Q145">
        <v>434</v>
      </c>
    </row>
    <row r="146" spans="3:17" x14ac:dyDescent="0.25">
      <c r="C146" s="15" t="s">
        <v>343</v>
      </c>
      <c r="D146" s="14" t="s">
        <v>14</v>
      </c>
      <c r="E146" s="14">
        <v>12.08</v>
      </c>
      <c r="F146" s="14">
        <v>1.3899999999999899</v>
      </c>
      <c r="G146" s="14">
        <v>2.5</v>
      </c>
      <c r="H146" s="14">
        <v>22.5</v>
      </c>
      <c r="I146" s="14">
        <v>84</v>
      </c>
      <c r="J146" s="14">
        <v>2.56</v>
      </c>
      <c r="K146" s="14">
        <v>2.29</v>
      </c>
      <c r="L146" s="14">
        <v>0.42999999999999899</v>
      </c>
      <c r="M146" s="14">
        <v>1.04</v>
      </c>
      <c r="N146" s="14">
        <v>2.8999999999999901</v>
      </c>
      <c r="O146" s="14">
        <v>0.93</v>
      </c>
      <c r="P146" s="14">
        <v>3.1899999999999902</v>
      </c>
      <c r="Q146">
        <v>385</v>
      </c>
    </row>
    <row r="147" spans="3:17" x14ac:dyDescent="0.25">
      <c r="C147" s="15" t="s">
        <v>345</v>
      </c>
      <c r="D147" s="14" t="s">
        <v>14</v>
      </c>
      <c r="E147" s="14">
        <v>11.82</v>
      </c>
      <c r="F147" s="14">
        <v>1.47</v>
      </c>
      <c r="G147" s="14">
        <v>1.99</v>
      </c>
      <c r="H147" s="14">
        <v>20.8</v>
      </c>
      <c r="I147" s="14">
        <v>86</v>
      </c>
      <c r="J147" s="14">
        <v>1.98</v>
      </c>
      <c r="K147" s="14">
        <v>1.6</v>
      </c>
      <c r="L147" s="14">
        <v>0.29999999999999899</v>
      </c>
      <c r="M147" s="14">
        <v>1.53</v>
      </c>
      <c r="N147" s="14">
        <v>1.95</v>
      </c>
      <c r="O147" s="14">
        <v>0.94999999999999896</v>
      </c>
      <c r="P147" s="14">
        <v>3.33</v>
      </c>
      <c r="Q147">
        <v>495</v>
      </c>
    </row>
    <row r="148" spans="3:17" x14ac:dyDescent="0.25">
      <c r="C148" s="15" t="s">
        <v>347</v>
      </c>
      <c r="D148" s="14" t="s">
        <v>14</v>
      </c>
      <c r="E148" s="14">
        <v>12.77</v>
      </c>
      <c r="F148" s="14">
        <v>3.43</v>
      </c>
      <c r="G148" s="14">
        <v>1.98</v>
      </c>
      <c r="H148" s="14">
        <v>16</v>
      </c>
      <c r="I148" s="14">
        <v>80</v>
      </c>
      <c r="J148" s="14">
        <v>1.6299999999999899</v>
      </c>
      <c r="K148" s="14">
        <v>1.25</v>
      </c>
      <c r="L148" s="14">
        <v>0.42999999999999899</v>
      </c>
      <c r="M148" s="14">
        <v>0.82999999999999896</v>
      </c>
      <c r="N148" s="14">
        <v>3.3999999999999901</v>
      </c>
      <c r="O148" s="14">
        <v>0.69999999999999896</v>
      </c>
      <c r="P148" s="14">
        <v>2.12</v>
      </c>
      <c r="Q148">
        <v>372</v>
      </c>
    </row>
    <row r="149" spans="3:17" x14ac:dyDescent="0.25">
      <c r="C149" s="15" t="s">
        <v>350</v>
      </c>
      <c r="D149" s="14" t="s">
        <v>14</v>
      </c>
      <c r="E149" s="14">
        <v>11.56</v>
      </c>
      <c r="F149" s="14">
        <v>2.0499999999999901</v>
      </c>
      <c r="G149" s="14">
        <v>3.23</v>
      </c>
      <c r="H149" s="14">
        <v>28.5</v>
      </c>
      <c r="I149" s="14">
        <v>119</v>
      </c>
      <c r="J149" s="14">
        <v>3.18</v>
      </c>
      <c r="K149" s="14">
        <v>5.08</v>
      </c>
      <c r="L149" s="14">
        <v>0.46999999999999897</v>
      </c>
      <c r="M149" s="14">
        <v>1.87</v>
      </c>
      <c r="N149" s="14">
        <v>6</v>
      </c>
      <c r="O149" s="14">
        <v>0.93</v>
      </c>
      <c r="P149" s="14">
        <v>3.6899999999999902</v>
      </c>
      <c r="Q149">
        <v>465</v>
      </c>
    </row>
    <row r="150" spans="3:17" x14ac:dyDescent="0.25">
      <c r="C150" s="15" t="s">
        <v>351</v>
      </c>
      <c r="D150" s="14" t="s">
        <v>14</v>
      </c>
      <c r="E150" s="14">
        <v>12.42</v>
      </c>
      <c r="F150" s="14">
        <v>4.4299999999999899</v>
      </c>
      <c r="G150" s="14">
        <v>2.73</v>
      </c>
      <c r="H150" s="14">
        <v>26.5</v>
      </c>
      <c r="I150" s="14">
        <v>102</v>
      </c>
      <c r="J150" s="14">
        <v>2.2000000000000002</v>
      </c>
      <c r="K150" s="14">
        <v>2.1299999999999901</v>
      </c>
      <c r="L150" s="14">
        <v>0.42999999999999899</v>
      </c>
      <c r="M150" s="14">
        <v>1.71</v>
      </c>
      <c r="N150" s="14">
        <v>2.08</v>
      </c>
      <c r="O150" s="14">
        <v>0.92</v>
      </c>
      <c r="P150" s="14">
        <v>3.12</v>
      </c>
      <c r="Q150">
        <v>365</v>
      </c>
    </row>
    <row r="151" spans="3:17" x14ac:dyDescent="0.25">
      <c r="C151" s="15" t="s">
        <v>353</v>
      </c>
      <c r="D151" s="14" t="s">
        <v>14</v>
      </c>
      <c r="E151" s="14">
        <v>11.8699999999999</v>
      </c>
      <c r="F151" s="14">
        <v>4.3099999999999898</v>
      </c>
      <c r="G151" s="14">
        <v>2.39</v>
      </c>
      <c r="H151" s="14">
        <v>21</v>
      </c>
      <c r="I151" s="14">
        <v>82</v>
      </c>
      <c r="J151" s="14">
        <v>2.8599999999999901</v>
      </c>
      <c r="K151" s="14">
        <v>3.02999999999999</v>
      </c>
      <c r="L151" s="14">
        <v>0.20999999999999899</v>
      </c>
      <c r="M151" s="14">
        <v>2.91</v>
      </c>
      <c r="N151" s="14">
        <v>2.7999999999999901</v>
      </c>
      <c r="O151" s="14">
        <v>0.75</v>
      </c>
      <c r="P151" s="14">
        <v>3.64</v>
      </c>
      <c r="Q151">
        <v>380</v>
      </c>
    </row>
    <row r="152" spans="3:17" x14ac:dyDescent="0.25">
      <c r="C152" s="15" t="s">
        <v>355</v>
      </c>
      <c r="D152" s="14" t="s">
        <v>14</v>
      </c>
      <c r="E152" s="14">
        <v>12.43</v>
      </c>
      <c r="F152" s="14">
        <v>1.53</v>
      </c>
      <c r="G152" s="14">
        <v>2.29</v>
      </c>
      <c r="H152" s="14">
        <v>21.5</v>
      </c>
      <c r="I152" s="14">
        <v>86</v>
      </c>
      <c r="J152" s="14">
        <v>2.74</v>
      </c>
      <c r="K152" s="14">
        <v>3.1499999999999901</v>
      </c>
      <c r="L152" s="14">
        <v>0.39</v>
      </c>
      <c r="M152" s="14">
        <v>1.77</v>
      </c>
      <c r="N152" s="14">
        <v>3.9399999999999902</v>
      </c>
      <c r="O152" s="14">
        <v>0.68999999999999895</v>
      </c>
      <c r="P152" s="14">
        <v>2.8399999999999901</v>
      </c>
      <c r="Q152">
        <v>352</v>
      </c>
    </row>
    <row r="153" spans="3:17" x14ac:dyDescent="0.25">
      <c r="C153" s="15" t="s">
        <v>360</v>
      </c>
      <c r="D153" s="14" t="s">
        <v>15</v>
      </c>
      <c r="E153" s="14">
        <v>12.88</v>
      </c>
      <c r="F153" s="14">
        <v>2.99</v>
      </c>
      <c r="G153" s="14">
        <v>2.3999999999999901</v>
      </c>
      <c r="H153" s="14">
        <v>20</v>
      </c>
      <c r="I153" s="14">
        <v>104</v>
      </c>
      <c r="J153" s="14">
        <v>1.3</v>
      </c>
      <c r="K153" s="14">
        <v>1.22</v>
      </c>
      <c r="L153" s="14">
        <v>0.23999999999999899</v>
      </c>
      <c r="M153" s="14">
        <v>0.82999999999999896</v>
      </c>
      <c r="N153" s="14">
        <v>5.4</v>
      </c>
      <c r="O153" s="14">
        <v>0.73999999999999899</v>
      </c>
      <c r="P153" s="14">
        <v>1.4199999999999899</v>
      </c>
      <c r="Q153">
        <v>530</v>
      </c>
    </row>
    <row r="154" spans="3:17" x14ac:dyDescent="0.25">
      <c r="C154" s="15" t="s">
        <v>362</v>
      </c>
      <c r="D154" s="14" t="s">
        <v>15</v>
      </c>
      <c r="E154" s="14">
        <v>12.6999999999999</v>
      </c>
      <c r="F154" s="14">
        <v>3.5499999999999901</v>
      </c>
      <c r="G154" s="14">
        <v>2.3599999999999901</v>
      </c>
      <c r="H154" s="14">
        <v>21.5</v>
      </c>
      <c r="I154" s="14">
        <v>106</v>
      </c>
      <c r="J154" s="14">
        <v>1.7</v>
      </c>
      <c r="K154" s="14">
        <v>1.2</v>
      </c>
      <c r="L154" s="14">
        <v>0.17</v>
      </c>
      <c r="M154" s="14">
        <v>0.83999999999999897</v>
      </c>
      <c r="N154" s="14">
        <v>5</v>
      </c>
      <c r="O154" s="14">
        <v>0.78</v>
      </c>
      <c r="P154" s="14">
        <v>1.29</v>
      </c>
      <c r="Q154">
        <v>600</v>
      </c>
    </row>
    <row r="155" spans="3:17" x14ac:dyDescent="0.25">
      <c r="C155" s="15" t="s">
        <v>370</v>
      </c>
      <c r="D155" s="14" t="s">
        <v>15</v>
      </c>
      <c r="E155" s="14">
        <v>13.3599999999999</v>
      </c>
      <c r="F155" s="14">
        <v>2.56</v>
      </c>
      <c r="G155" s="14">
        <v>2.35</v>
      </c>
      <c r="H155" s="14">
        <v>20</v>
      </c>
      <c r="I155" s="14">
        <v>89</v>
      </c>
      <c r="J155" s="14">
        <v>1.3999999999999899</v>
      </c>
      <c r="K155" s="14">
        <v>0.5</v>
      </c>
      <c r="L155" s="14">
        <v>0.37</v>
      </c>
      <c r="M155" s="14">
        <v>0.64</v>
      </c>
      <c r="N155" s="14">
        <v>5.5999999999999899</v>
      </c>
      <c r="O155" s="14">
        <v>0.69999999999999896</v>
      </c>
      <c r="P155" s="14">
        <v>2.4700000000000002</v>
      </c>
      <c r="Q155">
        <v>780</v>
      </c>
    </row>
    <row r="156" spans="3:17" x14ac:dyDescent="0.25">
      <c r="C156" s="15" t="s">
        <v>371</v>
      </c>
      <c r="D156" s="14" t="s">
        <v>15</v>
      </c>
      <c r="E156" s="14">
        <v>13.52</v>
      </c>
      <c r="F156" s="14">
        <v>3.1699999999999902</v>
      </c>
      <c r="G156" s="14">
        <v>2.72</v>
      </c>
      <c r="H156" s="14">
        <v>23.5</v>
      </c>
      <c r="I156" s="14">
        <v>97</v>
      </c>
      <c r="J156" s="14">
        <v>1.55</v>
      </c>
      <c r="K156" s="14">
        <v>0.52</v>
      </c>
      <c r="L156" s="14">
        <v>0.5</v>
      </c>
      <c r="M156" s="14">
        <v>0.55000000000000004</v>
      </c>
      <c r="N156" s="14">
        <v>4.3499999999999899</v>
      </c>
      <c r="O156" s="14">
        <v>0.89</v>
      </c>
      <c r="P156" s="14">
        <v>2.06</v>
      </c>
      <c r="Q156">
        <v>520</v>
      </c>
    </row>
    <row r="157" spans="3:17" x14ac:dyDescent="0.25">
      <c r="C157" s="15" t="s">
        <v>373</v>
      </c>
      <c r="D157" s="14" t="s">
        <v>15</v>
      </c>
      <c r="E157" s="14">
        <v>12.25</v>
      </c>
      <c r="F157" s="14">
        <v>3.8799999999999901</v>
      </c>
      <c r="G157" s="14">
        <v>2.2000000000000002</v>
      </c>
      <c r="H157" s="14">
        <v>18.5</v>
      </c>
      <c r="I157" s="14">
        <v>112</v>
      </c>
      <c r="J157" s="14">
        <v>1.3799999999999899</v>
      </c>
      <c r="K157" s="14">
        <v>0.78</v>
      </c>
      <c r="L157" s="14">
        <v>0.28999999999999898</v>
      </c>
      <c r="M157" s="14">
        <v>1.1399999999999899</v>
      </c>
      <c r="N157" s="14">
        <v>8.2100000000000009</v>
      </c>
      <c r="O157" s="14">
        <v>0.65</v>
      </c>
      <c r="P157" s="14">
        <v>2</v>
      </c>
      <c r="Q157">
        <v>855</v>
      </c>
    </row>
    <row r="158" spans="3:17" x14ac:dyDescent="0.25">
      <c r="C158" s="15" t="s">
        <v>375</v>
      </c>
      <c r="D158" s="14" t="s">
        <v>15</v>
      </c>
      <c r="E158" s="14">
        <v>13.88</v>
      </c>
      <c r="F158" s="14">
        <v>5.04</v>
      </c>
      <c r="G158" s="14">
        <v>2.23</v>
      </c>
      <c r="H158" s="14">
        <v>20</v>
      </c>
      <c r="I158" s="14">
        <v>80</v>
      </c>
      <c r="J158" s="14">
        <v>0.97999999999999898</v>
      </c>
      <c r="K158" s="14">
        <v>0.34</v>
      </c>
      <c r="L158" s="14">
        <v>0.4</v>
      </c>
      <c r="M158" s="14">
        <v>0.68</v>
      </c>
      <c r="N158" s="14">
        <v>4.9000000000000004</v>
      </c>
      <c r="O158" s="14">
        <v>0.57999999999999896</v>
      </c>
      <c r="P158" s="14">
        <v>1.33</v>
      </c>
      <c r="Q158">
        <v>415</v>
      </c>
    </row>
    <row r="159" spans="3:17" x14ac:dyDescent="0.25">
      <c r="C159" s="15" t="s">
        <v>376</v>
      </c>
      <c r="D159" s="14" t="s">
        <v>15</v>
      </c>
      <c r="E159" s="14">
        <v>12.8699999999999</v>
      </c>
      <c r="F159" s="14">
        <v>4.6100000000000003</v>
      </c>
      <c r="G159" s="14">
        <v>2.48</v>
      </c>
      <c r="H159" s="14">
        <v>21.5</v>
      </c>
      <c r="I159" s="14">
        <v>86</v>
      </c>
      <c r="J159" s="14">
        <v>1.7</v>
      </c>
      <c r="K159" s="14">
        <v>0.65</v>
      </c>
      <c r="L159" s="14">
        <v>0.46999999999999897</v>
      </c>
      <c r="M159" s="14">
        <v>0.85999999999999899</v>
      </c>
      <c r="N159" s="14">
        <v>7.65</v>
      </c>
      <c r="O159" s="14">
        <v>0.54</v>
      </c>
      <c r="P159" s="14">
        <v>1.86</v>
      </c>
      <c r="Q159">
        <v>625</v>
      </c>
    </row>
    <row r="160" spans="3:17" x14ac:dyDescent="0.25">
      <c r="C160" s="15" t="s">
        <v>381</v>
      </c>
      <c r="D160" s="14" t="s">
        <v>15</v>
      </c>
      <c r="E160" s="14">
        <v>13.1099999999999</v>
      </c>
      <c r="F160" s="14">
        <v>1.8999999999999899</v>
      </c>
      <c r="G160" s="14">
        <v>2.75</v>
      </c>
      <c r="H160" s="14">
        <v>25.5</v>
      </c>
      <c r="I160" s="14">
        <v>116</v>
      </c>
      <c r="J160" s="14">
        <v>2.2000000000000002</v>
      </c>
      <c r="K160" s="14">
        <v>1.28</v>
      </c>
      <c r="L160" s="14">
        <v>0.26</v>
      </c>
      <c r="M160" s="14">
        <v>1.56</v>
      </c>
      <c r="N160" s="14">
        <v>7.0999999999999899</v>
      </c>
      <c r="O160" s="14">
        <v>0.60999999999999899</v>
      </c>
      <c r="P160" s="14">
        <v>1.33</v>
      </c>
      <c r="Q160">
        <v>425</v>
      </c>
    </row>
    <row r="161" spans="3:17" x14ac:dyDescent="0.25">
      <c r="C161" s="15" t="s">
        <v>384</v>
      </c>
      <c r="D161" s="14" t="s">
        <v>15</v>
      </c>
      <c r="E161" s="14">
        <v>13.17</v>
      </c>
      <c r="F161" s="14">
        <v>5.19</v>
      </c>
      <c r="G161" s="14">
        <v>2.3199999999999901</v>
      </c>
      <c r="H161" s="14">
        <v>22</v>
      </c>
      <c r="I161" s="14">
        <v>93</v>
      </c>
      <c r="J161" s="14">
        <v>1.74</v>
      </c>
      <c r="K161" s="14">
        <v>0.63</v>
      </c>
      <c r="L161" s="14">
        <v>0.60999999999999899</v>
      </c>
      <c r="M161" s="14">
        <v>1.55</v>
      </c>
      <c r="N161" s="14">
        <v>7.9</v>
      </c>
      <c r="O161" s="14">
        <v>0.59999999999999898</v>
      </c>
      <c r="P161" s="14">
        <v>1.48</v>
      </c>
      <c r="Q161">
        <v>725</v>
      </c>
    </row>
    <row r="162" spans="3:17" x14ac:dyDescent="0.25">
      <c r="C162" s="15" t="s">
        <v>388</v>
      </c>
      <c r="D162" s="14" t="s">
        <v>15</v>
      </c>
      <c r="E162" s="14">
        <v>13.48</v>
      </c>
      <c r="F162" s="14">
        <v>1.6699999999999899</v>
      </c>
      <c r="G162" s="14">
        <v>2.64</v>
      </c>
      <c r="H162" s="14">
        <v>22.5</v>
      </c>
      <c r="I162" s="14">
        <v>89</v>
      </c>
      <c r="J162" s="14">
        <v>2.6</v>
      </c>
      <c r="K162" s="14">
        <v>1.1000000000000001</v>
      </c>
      <c r="L162" s="14">
        <v>0.52</v>
      </c>
      <c r="M162" s="14">
        <v>2.29</v>
      </c>
      <c r="N162" s="14">
        <v>11.75</v>
      </c>
      <c r="O162" s="14">
        <v>0.56999999999999895</v>
      </c>
      <c r="P162" s="14">
        <v>1.78</v>
      </c>
      <c r="Q162">
        <v>620</v>
      </c>
    </row>
    <row r="163" spans="3:17" x14ac:dyDescent="0.25">
      <c r="C163" s="15" t="s">
        <v>389</v>
      </c>
      <c r="D163" s="14" t="s">
        <v>15</v>
      </c>
      <c r="E163" s="14">
        <v>12.3599999999999</v>
      </c>
      <c r="F163" s="14">
        <v>3.83</v>
      </c>
      <c r="G163" s="14">
        <v>2.3799999999999901</v>
      </c>
      <c r="H163" s="14">
        <v>21</v>
      </c>
      <c r="I163" s="14">
        <v>88</v>
      </c>
      <c r="J163" s="14">
        <v>2.2999999999999901</v>
      </c>
      <c r="K163" s="14">
        <v>0.92</v>
      </c>
      <c r="L163" s="14">
        <v>0.5</v>
      </c>
      <c r="M163" s="14">
        <v>1.04</v>
      </c>
      <c r="N163" s="14">
        <v>7.65</v>
      </c>
      <c r="O163" s="14">
        <v>0.56000000000000005</v>
      </c>
      <c r="P163" s="14">
        <v>1.58</v>
      </c>
      <c r="Q163">
        <v>520</v>
      </c>
    </row>
    <row r="164" spans="3:17" x14ac:dyDescent="0.25">
      <c r="C164" s="15" t="s">
        <v>393</v>
      </c>
      <c r="D164" s="14" t="s">
        <v>15</v>
      </c>
      <c r="E164" s="14">
        <v>13.7799999999999</v>
      </c>
      <c r="F164" s="14">
        <v>2.75999999999999</v>
      </c>
      <c r="G164" s="14">
        <v>2.2999999999999901</v>
      </c>
      <c r="H164" s="14">
        <v>19.682317073170701</v>
      </c>
      <c r="I164" s="14">
        <v>90</v>
      </c>
      <c r="J164" s="14">
        <v>1.35</v>
      </c>
      <c r="K164" s="14">
        <v>0.68</v>
      </c>
      <c r="L164" s="14">
        <v>0.40999999999999898</v>
      </c>
      <c r="M164" s="14">
        <v>1.03</v>
      </c>
      <c r="N164" s="14">
        <v>9.58</v>
      </c>
      <c r="O164" s="14">
        <v>0.69999999999999896</v>
      </c>
      <c r="P164" s="14">
        <v>1.6799999999999899</v>
      </c>
      <c r="Q164">
        <v>615</v>
      </c>
    </row>
    <row r="165" spans="3:17" x14ac:dyDescent="0.25">
      <c r="C165" s="15" t="s">
        <v>394</v>
      </c>
      <c r="D165" s="14" t="s">
        <v>15</v>
      </c>
      <c r="E165" s="14">
        <v>13.73</v>
      </c>
      <c r="F165" s="14">
        <v>4.3600000000000003</v>
      </c>
      <c r="G165" s="14">
        <v>2.25999999999999</v>
      </c>
      <c r="H165" s="14">
        <v>22.5</v>
      </c>
      <c r="I165" s="14">
        <v>88</v>
      </c>
      <c r="J165" s="14">
        <v>1.28</v>
      </c>
      <c r="K165" s="14">
        <v>0.46999999999999897</v>
      </c>
      <c r="L165" s="14">
        <v>0.52</v>
      </c>
      <c r="M165" s="14">
        <v>1.1499999999999899</v>
      </c>
      <c r="N165" s="14">
        <v>6.62</v>
      </c>
      <c r="O165" s="14">
        <v>0.78</v>
      </c>
      <c r="P165" s="14">
        <v>1.75</v>
      </c>
      <c r="Q165">
        <v>520</v>
      </c>
    </row>
    <row r="166" spans="3:17" x14ac:dyDescent="0.25">
      <c r="C166" s="15" t="s">
        <v>395</v>
      </c>
      <c r="D166" s="14" t="s">
        <v>15</v>
      </c>
      <c r="E166" s="14">
        <v>13.4499999999999</v>
      </c>
      <c r="F166" s="14">
        <v>3.7</v>
      </c>
      <c r="G166" s="14">
        <v>2.6</v>
      </c>
      <c r="H166" s="14">
        <v>23</v>
      </c>
      <c r="I166" s="14">
        <v>111</v>
      </c>
      <c r="J166" s="14">
        <v>1.7</v>
      </c>
      <c r="K166" s="14">
        <v>0.92</v>
      </c>
      <c r="L166" s="14">
        <v>0.42999999999999899</v>
      </c>
      <c r="M166" s="14">
        <v>1.46</v>
      </c>
      <c r="N166" s="14">
        <v>10.68</v>
      </c>
      <c r="O166" s="14">
        <v>0.84999999999999898</v>
      </c>
      <c r="P166" s="14">
        <v>1.56</v>
      </c>
      <c r="Q166">
        <v>695</v>
      </c>
    </row>
    <row r="167" spans="3:17" x14ac:dyDescent="0.25">
      <c r="C167" s="15" t="s">
        <v>396</v>
      </c>
      <c r="D167" s="14" t="s">
        <v>15</v>
      </c>
      <c r="E167" s="14">
        <v>12.82</v>
      </c>
      <c r="F167" s="14">
        <v>3.37</v>
      </c>
      <c r="G167" s="14">
        <v>2.2999999999999901</v>
      </c>
      <c r="H167" s="14">
        <v>19.5</v>
      </c>
      <c r="I167" s="14">
        <v>88</v>
      </c>
      <c r="J167" s="14">
        <v>1.48</v>
      </c>
      <c r="K167" s="14">
        <v>0.66</v>
      </c>
      <c r="L167" s="14">
        <v>0.4</v>
      </c>
      <c r="M167" s="14">
        <v>0.96999999999999897</v>
      </c>
      <c r="N167" s="14">
        <v>10.26</v>
      </c>
      <c r="O167" s="14">
        <v>0.71999999999999897</v>
      </c>
      <c r="P167" s="14">
        <v>1.75</v>
      </c>
      <c r="Q167">
        <v>685</v>
      </c>
    </row>
    <row r="168" spans="3:17" x14ac:dyDescent="0.25">
      <c r="C168" s="15" t="s">
        <v>398</v>
      </c>
      <c r="D168" s="14" t="s">
        <v>15</v>
      </c>
      <c r="E168" s="14">
        <v>13.4</v>
      </c>
      <c r="F168" s="14">
        <v>4.5999999999999899</v>
      </c>
      <c r="G168" s="14">
        <v>2.8599999999999901</v>
      </c>
      <c r="H168" s="14">
        <v>25</v>
      </c>
      <c r="I168" s="14">
        <v>112</v>
      </c>
      <c r="J168" s="14">
        <v>1.98</v>
      </c>
      <c r="K168" s="14">
        <v>0.95999999999999897</v>
      </c>
      <c r="L168" s="14">
        <v>0.27</v>
      </c>
      <c r="M168" s="14">
        <v>1.1100000000000001</v>
      </c>
      <c r="N168" s="14">
        <v>8.5</v>
      </c>
      <c r="O168" s="14">
        <v>0.67</v>
      </c>
      <c r="P168" s="14">
        <v>1.9199999999999899</v>
      </c>
      <c r="Q168">
        <v>630</v>
      </c>
    </row>
    <row r="169" spans="3:17" x14ac:dyDescent="0.25">
      <c r="C169" s="15" t="s">
        <v>400</v>
      </c>
      <c r="D169" s="14" t="s">
        <v>15</v>
      </c>
      <c r="E169" s="14">
        <v>12.77</v>
      </c>
      <c r="F169" s="14">
        <v>2.39</v>
      </c>
      <c r="G169" s="14">
        <v>2.27999999999999</v>
      </c>
      <c r="H169" s="14">
        <v>19.5</v>
      </c>
      <c r="I169" s="14">
        <v>86</v>
      </c>
      <c r="J169" s="14">
        <v>1.3899999999999899</v>
      </c>
      <c r="K169" s="14">
        <v>0.51</v>
      </c>
      <c r="L169" s="14">
        <v>0.47999999999999898</v>
      </c>
      <c r="M169" s="14">
        <v>0.64</v>
      </c>
      <c r="N169" s="14">
        <v>9.8999989999999904</v>
      </c>
      <c r="O169" s="14">
        <v>0.56999999999999895</v>
      </c>
      <c r="P169" s="14">
        <v>1.6299999999999899</v>
      </c>
      <c r="Q169">
        <v>470</v>
      </c>
    </row>
    <row r="170" spans="3:17" x14ac:dyDescent="0.25">
      <c r="C170" s="15" t="s">
        <v>402</v>
      </c>
      <c r="D170" s="14" t="s">
        <v>15</v>
      </c>
      <c r="E170" s="14">
        <v>13.71</v>
      </c>
      <c r="F170" s="14">
        <v>5.65</v>
      </c>
      <c r="G170" s="14">
        <v>2.4500000000000002</v>
      </c>
      <c r="H170" s="14">
        <v>20.5</v>
      </c>
      <c r="I170" s="14">
        <v>95</v>
      </c>
      <c r="J170" s="14">
        <v>1.6799999999999899</v>
      </c>
      <c r="K170" s="14">
        <v>0.60999999999999899</v>
      </c>
      <c r="L170" s="14">
        <v>0.52</v>
      </c>
      <c r="M170" s="14">
        <v>1.06</v>
      </c>
      <c r="N170" s="14">
        <v>7.7</v>
      </c>
      <c r="O170" s="14">
        <v>0.64</v>
      </c>
      <c r="P170" s="14">
        <v>1.74</v>
      </c>
      <c r="Q170">
        <v>740</v>
      </c>
    </row>
    <row r="171" spans="3:17" x14ac:dyDescent="0.25">
      <c r="C171" s="15" t="s">
        <v>319</v>
      </c>
      <c r="D171" s="14" t="s">
        <v>14</v>
      </c>
      <c r="E171" s="14">
        <v>12.08</v>
      </c>
      <c r="F171" s="14">
        <v>1.83</v>
      </c>
      <c r="G171" s="14">
        <v>2.3199999999999901</v>
      </c>
      <c r="H171" s="14">
        <v>18.5</v>
      </c>
      <c r="I171" s="14">
        <v>81</v>
      </c>
      <c r="J171" s="14">
        <v>1.6</v>
      </c>
      <c r="K171" s="14">
        <v>1.5</v>
      </c>
      <c r="L171" s="14">
        <v>0.52</v>
      </c>
      <c r="M171" s="14">
        <v>1.6399999999999899</v>
      </c>
      <c r="N171" s="14">
        <v>2.3999999999999901</v>
      </c>
      <c r="O171" s="14">
        <v>1.08</v>
      </c>
      <c r="P171" s="14">
        <v>2.27</v>
      </c>
      <c r="Q171">
        <v>480</v>
      </c>
    </row>
    <row r="172" spans="3:17" x14ac:dyDescent="0.25">
      <c r="C172" s="15" t="s">
        <v>193</v>
      </c>
      <c r="D172" s="14" t="s">
        <v>14</v>
      </c>
      <c r="E172" s="14">
        <v>12</v>
      </c>
      <c r="F172" s="14">
        <v>3.43</v>
      </c>
      <c r="G172" s="14">
        <v>2</v>
      </c>
      <c r="H172" s="14">
        <v>19</v>
      </c>
      <c r="I172" s="14">
        <v>87</v>
      </c>
      <c r="J172" s="14">
        <v>2</v>
      </c>
      <c r="K172" s="14">
        <v>1.6399999999999899</v>
      </c>
      <c r="L172" s="14">
        <v>0.37</v>
      </c>
      <c r="M172" s="14">
        <v>1.87</v>
      </c>
      <c r="N172" s="14">
        <v>1.28</v>
      </c>
      <c r="O172" s="14">
        <v>0.93</v>
      </c>
      <c r="P172" s="14">
        <v>3.0499999999999901</v>
      </c>
      <c r="Q172">
        <v>564</v>
      </c>
    </row>
    <row r="173" spans="3:17" x14ac:dyDescent="0.25">
      <c r="C173" s="15" t="s">
        <v>365</v>
      </c>
      <c r="D173" s="14" t="s">
        <v>15</v>
      </c>
      <c r="E173" s="14">
        <v>12.25</v>
      </c>
      <c r="F173" s="14">
        <v>4.71999999999999</v>
      </c>
      <c r="G173" s="14">
        <v>2.54</v>
      </c>
      <c r="H173" s="14">
        <v>21</v>
      </c>
      <c r="I173" s="14">
        <v>89</v>
      </c>
      <c r="J173" s="14">
        <v>1.3799999999999899</v>
      </c>
      <c r="K173" s="14">
        <v>0.46999999999999897</v>
      </c>
      <c r="L173" s="14">
        <v>0.53</v>
      </c>
      <c r="M173" s="14">
        <v>0.8</v>
      </c>
      <c r="N173" s="14">
        <v>3.85</v>
      </c>
      <c r="O173" s="14">
        <v>0.75</v>
      </c>
      <c r="P173" s="14">
        <v>1.27</v>
      </c>
      <c r="Q173">
        <v>720</v>
      </c>
    </row>
    <row r="174" spans="3:17" x14ac:dyDescent="0.25">
      <c r="C174" s="15" t="s">
        <v>390</v>
      </c>
      <c r="D174" s="14" t="s">
        <v>15</v>
      </c>
      <c r="E174" s="14">
        <v>13.69</v>
      </c>
      <c r="F174" s="14">
        <v>3.25999999999999</v>
      </c>
      <c r="G174" s="14">
        <v>2.54</v>
      </c>
      <c r="H174" s="14">
        <v>20</v>
      </c>
      <c r="I174" s="14">
        <v>107</v>
      </c>
      <c r="J174" s="14">
        <v>1.83</v>
      </c>
      <c r="K174" s="14">
        <v>0.56000000000000005</v>
      </c>
      <c r="L174" s="14">
        <v>0.5</v>
      </c>
      <c r="M174" s="14">
        <v>0.8</v>
      </c>
      <c r="N174" s="14">
        <v>5.8799999999999901</v>
      </c>
      <c r="O174" s="14">
        <v>0.95999999999999897</v>
      </c>
      <c r="P174" s="14">
        <v>1.82</v>
      </c>
      <c r="Q174">
        <v>680</v>
      </c>
    </row>
    <row r="175" spans="3:17" x14ac:dyDescent="0.25">
      <c r="C175" s="15" t="s">
        <v>106</v>
      </c>
      <c r="D175" s="14" t="s">
        <v>13</v>
      </c>
      <c r="E175" s="14">
        <v>13.68</v>
      </c>
      <c r="F175" s="14">
        <v>1.83</v>
      </c>
      <c r="G175" s="14">
        <v>2.3599999999999901</v>
      </c>
      <c r="H175" s="14">
        <v>17.1999999999999</v>
      </c>
      <c r="I175" s="14">
        <v>104</v>
      </c>
      <c r="J175" s="14">
        <v>2.4199999999999902</v>
      </c>
      <c r="K175" s="14">
        <v>2.6899999999999902</v>
      </c>
      <c r="L175" s="14">
        <v>0.41999999999999899</v>
      </c>
      <c r="M175" s="14">
        <v>1.97</v>
      </c>
      <c r="N175" s="14">
        <v>3.8399999999999901</v>
      </c>
      <c r="O175" s="14">
        <v>1.23</v>
      </c>
      <c r="P175" s="14">
        <v>2.87</v>
      </c>
      <c r="Q175">
        <v>990</v>
      </c>
    </row>
    <row r="176" spans="3:17" x14ac:dyDescent="0.25">
      <c r="C176" s="15" t="s">
        <v>254</v>
      </c>
      <c r="D176" s="14" t="s">
        <v>13</v>
      </c>
      <c r="E176" s="14">
        <v>13.05</v>
      </c>
      <c r="F176" s="14">
        <v>2.0499999999999901</v>
      </c>
      <c r="G176" s="14">
        <v>3.22</v>
      </c>
      <c r="H176" s="14">
        <v>25</v>
      </c>
      <c r="I176" s="14">
        <v>124</v>
      </c>
      <c r="J176" s="14">
        <v>2.6299999999999901</v>
      </c>
      <c r="K176" s="14">
        <v>2.68</v>
      </c>
      <c r="L176" s="14">
        <v>0.46999999999999897</v>
      </c>
      <c r="M176" s="14">
        <v>1.9199999999999899</v>
      </c>
      <c r="N176" s="14">
        <v>3.58</v>
      </c>
      <c r="O176" s="14">
        <v>1.1299999999999899</v>
      </c>
      <c r="P176" s="14">
        <v>3.2</v>
      </c>
      <c r="Q176">
        <v>830</v>
      </c>
    </row>
    <row r="177" spans="3:17" x14ac:dyDescent="0.25">
      <c r="C177" s="15" t="s">
        <v>183</v>
      </c>
      <c r="D177" s="14" t="s">
        <v>14</v>
      </c>
      <c r="E177" s="14">
        <v>11.6099999999999</v>
      </c>
      <c r="F177" s="14">
        <v>1.35</v>
      </c>
      <c r="G177" s="14">
        <v>2.7</v>
      </c>
      <c r="H177" s="14">
        <v>20</v>
      </c>
      <c r="I177" s="14">
        <v>94</v>
      </c>
      <c r="J177" s="14">
        <v>2.74</v>
      </c>
      <c r="K177" s="14">
        <v>2.9199999999999902</v>
      </c>
      <c r="L177" s="14">
        <v>0.28999999999999898</v>
      </c>
      <c r="M177" s="14">
        <v>2.4900000000000002</v>
      </c>
      <c r="N177" s="14">
        <v>2.6499999999999901</v>
      </c>
      <c r="O177" s="14">
        <v>0.95999999999999897</v>
      </c>
      <c r="P177" s="14">
        <v>3.25999999999999</v>
      </c>
      <c r="Q177">
        <v>680</v>
      </c>
    </row>
    <row r="178" spans="3:17" x14ac:dyDescent="0.25">
      <c r="C178" s="15" t="s">
        <v>244</v>
      </c>
      <c r="D178" s="14" t="s">
        <v>15</v>
      </c>
      <c r="E178" s="14">
        <v>12.1999999999999</v>
      </c>
      <c r="F178" s="14">
        <v>3.02999999999999</v>
      </c>
      <c r="G178" s="14">
        <v>2.3199999999999901</v>
      </c>
      <c r="H178" s="14">
        <v>19</v>
      </c>
      <c r="I178" s="14">
        <v>96</v>
      </c>
      <c r="J178" s="14">
        <v>1.25</v>
      </c>
      <c r="K178" s="14">
        <v>0.48999999999999899</v>
      </c>
      <c r="L178" s="14">
        <v>0.4</v>
      </c>
      <c r="M178" s="14">
        <v>0.72999999999999898</v>
      </c>
      <c r="N178" s="14">
        <v>5.5</v>
      </c>
      <c r="O178" s="14">
        <v>0.66</v>
      </c>
      <c r="P178" s="14">
        <v>1.83</v>
      </c>
      <c r="Q178">
        <v>510</v>
      </c>
    </row>
    <row r="179" spans="3:17" x14ac:dyDescent="0.25">
      <c r="C179" s="15" t="s">
        <v>239</v>
      </c>
      <c r="D179" s="14" t="s">
        <v>15</v>
      </c>
      <c r="E179" s="14">
        <v>13.73</v>
      </c>
      <c r="F179" s="14">
        <v>4.3600000000000003</v>
      </c>
      <c r="G179" s="14">
        <v>2.25999999999999</v>
      </c>
      <c r="H179" s="14">
        <v>22.5</v>
      </c>
      <c r="I179" s="14">
        <v>88</v>
      </c>
      <c r="J179" s="14">
        <v>1.28</v>
      </c>
      <c r="K179" s="14">
        <v>0.46999999999999897</v>
      </c>
      <c r="L179" s="14">
        <v>0.52</v>
      </c>
      <c r="M179" s="14">
        <v>1.1499999999999899</v>
      </c>
      <c r="N179" s="14">
        <v>6.62</v>
      </c>
      <c r="O179" s="14">
        <v>0.78</v>
      </c>
      <c r="P179" s="14">
        <v>1.75</v>
      </c>
      <c r="Q179">
        <v>520</v>
      </c>
    </row>
    <row r="180" spans="3:17" x14ac:dyDescent="0.25">
      <c r="C180" s="15" t="s">
        <v>179</v>
      </c>
      <c r="D180" s="14" t="s">
        <v>14</v>
      </c>
      <c r="E180" s="14">
        <v>12.42</v>
      </c>
      <c r="F180" s="14">
        <v>2.5499999999999901</v>
      </c>
      <c r="G180" s="14">
        <v>2.27</v>
      </c>
      <c r="H180" s="14">
        <v>22</v>
      </c>
      <c r="I180" s="14">
        <v>90</v>
      </c>
      <c r="J180" s="14">
        <v>1.6799999999999899</v>
      </c>
      <c r="K180" s="14">
        <v>1.84</v>
      </c>
      <c r="L180" s="14">
        <v>0.66</v>
      </c>
      <c r="M180" s="14">
        <v>1.4199999999999899</v>
      </c>
      <c r="N180" s="14">
        <v>2.7</v>
      </c>
      <c r="O180" s="14">
        <v>0.85999999999999899</v>
      </c>
      <c r="P180" s="14">
        <v>3.2999999999999901</v>
      </c>
      <c r="Q180">
        <v>315</v>
      </c>
    </row>
    <row r="181" spans="3:17" x14ac:dyDescent="0.25">
      <c r="C181" s="15" t="s">
        <v>313</v>
      </c>
      <c r="D181" s="14" t="s">
        <v>14</v>
      </c>
      <c r="E181" s="14">
        <v>11.84</v>
      </c>
      <c r="F181" s="14">
        <v>0.89</v>
      </c>
      <c r="G181" s="14">
        <v>2.58</v>
      </c>
      <c r="H181" s="14">
        <v>18</v>
      </c>
      <c r="I181" s="14">
        <v>94</v>
      </c>
      <c r="J181" s="14">
        <v>2.2000000000000002</v>
      </c>
      <c r="K181" s="14">
        <v>2.21</v>
      </c>
      <c r="L181" s="14">
        <v>0.22</v>
      </c>
      <c r="M181" s="14">
        <v>2.35</v>
      </c>
      <c r="N181" s="14">
        <v>3.0499999999999901</v>
      </c>
      <c r="O181" s="14">
        <v>0.79</v>
      </c>
      <c r="P181" s="14">
        <v>3.08</v>
      </c>
      <c r="Q181">
        <v>520</v>
      </c>
    </row>
    <row r="182" spans="3:17" x14ac:dyDescent="0.25">
      <c r="C182" s="15" t="s">
        <v>258</v>
      </c>
      <c r="D182" s="14" t="s">
        <v>13</v>
      </c>
      <c r="E182" s="14">
        <v>14.02</v>
      </c>
      <c r="F182" s="14">
        <v>1.6799999999999899</v>
      </c>
      <c r="G182" s="14">
        <v>2.21</v>
      </c>
      <c r="H182" s="14">
        <v>16</v>
      </c>
      <c r="I182" s="14">
        <v>96</v>
      </c>
      <c r="J182" s="14">
        <v>2.6499999999999901</v>
      </c>
      <c r="K182" s="14">
        <v>2.33</v>
      </c>
      <c r="L182" s="14">
        <v>0.26</v>
      </c>
      <c r="M182" s="14">
        <v>1.98</v>
      </c>
      <c r="N182" s="14">
        <v>4.7</v>
      </c>
      <c r="O182" s="14">
        <v>1.04</v>
      </c>
      <c r="P182" s="14">
        <v>3.5899999999999901</v>
      </c>
      <c r="Q182">
        <v>1035</v>
      </c>
    </row>
    <row r="183" spans="3:17" x14ac:dyDescent="0.25">
      <c r="C183" s="15" t="s">
        <v>397</v>
      </c>
      <c r="D183" s="14" t="s">
        <v>15</v>
      </c>
      <c r="E183" s="14">
        <v>13.58</v>
      </c>
      <c r="F183" s="14">
        <v>2.58</v>
      </c>
      <c r="G183" s="14">
        <v>2.6899999999999902</v>
      </c>
      <c r="H183" s="14">
        <v>24.5</v>
      </c>
      <c r="I183" s="14">
        <v>105</v>
      </c>
      <c r="J183" s="14">
        <v>1.55</v>
      </c>
      <c r="K183" s="14">
        <v>0.83999999999999897</v>
      </c>
      <c r="L183" s="14">
        <v>0.36538226299694199</v>
      </c>
      <c r="M183" s="14">
        <v>1.54</v>
      </c>
      <c r="N183" s="14">
        <v>8.66</v>
      </c>
      <c r="O183" s="14">
        <v>0.73999999999999899</v>
      </c>
      <c r="P183" s="14">
        <v>1.8</v>
      </c>
      <c r="Q183">
        <v>750</v>
      </c>
    </row>
    <row r="184" spans="3:17" x14ac:dyDescent="0.25">
      <c r="C184" s="15" t="s">
        <v>115</v>
      </c>
      <c r="D184" s="14" t="s">
        <v>13</v>
      </c>
      <c r="E184" s="14">
        <v>13.41</v>
      </c>
      <c r="F184" s="14">
        <v>3.8399999999999901</v>
      </c>
      <c r="G184" s="14">
        <v>2.12</v>
      </c>
      <c r="H184" s="14">
        <v>18.8</v>
      </c>
      <c r="I184" s="14">
        <v>90</v>
      </c>
      <c r="J184" s="14">
        <v>2.4500000000000002</v>
      </c>
      <c r="K184" s="14">
        <v>2.68</v>
      </c>
      <c r="L184" s="14">
        <v>0.27</v>
      </c>
      <c r="M184" s="14">
        <v>1.48</v>
      </c>
      <c r="N184" s="14">
        <v>4.28</v>
      </c>
      <c r="O184" s="14">
        <v>0.91</v>
      </c>
      <c r="P184" s="14">
        <v>3</v>
      </c>
      <c r="Q184">
        <v>1035</v>
      </c>
    </row>
    <row r="185" spans="3:17" x14ac:dyDescent="0.25">
      <c r="C185" s="15" t="s">
        <v>315</v>
      </c>
      <c r="D185" s="14" t="s">
        <v>14</v>
      </c>
      <c r="E185" s="14">
        <v>12.16</v>
      </c>
      <c r="F185" s="14">
        <v>1.61</v>
      </c>
      <c r="G185" s="14">
        <v>2.31</v>
      </c>
      <c r="H185" s="14">
        <v>22.8</v>
      </c>
      <c r="I185" s="14">
        <v>90</v>
      </c>
      <c r="J185" s="14">
        <v>1.78</v>
      </c>
      <c r="K185" s="14">
        <v>1.68999999999999</v>
      </c>
      <c r="L185" s="14">
        <v>0.42999999999999899</v>
      </c>
      <c r="M185" s="14">
        <v>1.56</v>
      </c>
      <c r="N185" s="14">
        <v>2.4500000000000002</v>
      </c>
      <c r="O185" s="14">
        <v>1.33</v>
      </c>
      <c r="P185" s="14">
        <v>2.25999999999999</v>
      </c>
      <c r="Q185">
        <v>495</v>
      </c>
    </row>
    <row r="186" spans="3:17" x14ac:dyDescent="0.25">
      <c r="C186" s="15" t="s">
        <v>367</v>
      </c>
      <c r="D186" s="14" t="s">
        <v>15</v>
      </c>
      <c r="E186" s="14">
        <v>13.49</v>
      </c>
      <c r="F186" s="14">
        <v>3.5899999999999901</v>
      </c>
      <c r="G186" s="14">
        <v>2.1899999999999902</v>
      </c>
      <c r="H186" s="14">
        <v>19.5</v>
      </c>
      <c r="I186" s="14">
        <v>88</v>
      </c>
      <c r="J186" s="14">
        <v>1.62</v>
      </c>
      <c r="K186" s="14">
        <v>0.47999999999999898</v>
      </c>
      <c r="L186" s="14">
        <v>0.57999999999999896</v>
      </c>
      <c r="M186" s="14">
        <v>0.88</v>
      </c>
      <c r="N186" s="14">
        <v>5.7</v>
      </c>
      <c r="O186" s="14">
        <v>0.81</v>
      </c>
      <c r="P186" s="14">
        <v>1.82</v>
      </c>
      <c r="Q186">
        <v>580</v>
      </c>
    </row>
    <row r="187" spans="3:17" x14ac:dyDescent="0.25">
      <c r="C187" s="15" t="s">
        <v>162</v>
      </c>
      <c r="D187" s="14" t="s">
        <v>14</v>
      </c>
      <c r="E187" s="14">
        <v>11.64</v>
      </c>
      <c r="F187" s="14">
        <v>2.06</v>
      </c>
      <c r="G187" s="14">
        <v>2.46</v>
      </c>
      <c r="H187" s="14">
        <v>21.6</v>
      </c>
      <c r="I187" s="14">
        <v>84</v>
      </c>
      <c r="J187" s="14">
        <v>1.95</v>
      </c>
      <c r="K187" s="14">
        <v>1.68999999999999</v>
      </c>
      <c r="L187" s="14">
        <v>0.47999999999999898</v>
      </c>
      <c r="M187" s="14">
        <v>1.35</v>
      </c>
      <c r="N187" s="14">
        <v>2.7999999999999901</v>
      </c>
      <c r="O187" s="14">
        <v>1</v>
      </c>
      <c r="P187" s="14">
        <v>2.75</v>
      </c>
      <c r="Q187">
        <v>680</v>
      </c>
    </row>
    <row r="188" spans="3:17" x14ac:dyDescent="0.25">
      <c r="C188" s="15" t="s">
        <v>89</v>
      </c>
      <c r="D188" s="14" t="s">
        <v>13</v>
      </c>
      <c r="E188" s="14">
        <v>13.63</v>
      </c>
      <c r="F188" s="14">
        <v>1.81</v>
      </c>
      <c r="G188" s="14">
        <v>2.7</v>
      </c>
      <c r="H188" s="14">
        <v>17.1999999999999</v>
      </c>
      <c r="I188" s="14">
        <v>112</v>
      </c>
      <c r="J188" s="14">
        <v>2.85</v>
      </c>
      <c r="K188" s="14">
        <v>2.91</v>
      </c>
      <c r="L188" s="14">
        <v>0.29999999999999899</v>
      </c>
      <c r="M188" s="14">
        <v>1.46</v>
      </c>
      <c r="N188" s="14">
        <v>7.2999999999999901</v>
      </c>
      <c r="O188" s="14">
        <v>1.28</v>
      </c>
      <c r="P188" s="14">
        <v>2.8799999999999901</v>
      </c>
      <c r="Q188">
        <v>1310</v>
      </c>
    </row>
    <row r="189" spans="3:17" x14ac:dyDescent="0.25">
      <c r="C189" s="15" t="s">
        <v>173</v>
      </c>
      <c r="D189" s="14" t="s">
        <v>14</v>
      </c>
      <c r="E189" s="14">
        <v>12.2899999999999</v>
      </c>
      <c r="F189" s="14">
        <v>3.1699999999999902</v>
      </c>
      <c r="G189" s="14">
        <v>2.21</v>
      </c>
      <c r="H189" s="14">
        <v>18</v>
      </c>
      <c r="I189" s="14">
        <v>88</v>
      </c>
      <c r="J189" s="14">
        <v>2.85</v>
      </c>
      <c r="K189" s="14">
        <v>2.99</v>
      </c>
      <c r="L189" s="14">
        <v>0.45</v>
      </c>
      <c r="M189" s="14">
        <v>2.81</v>
      </c>
      <c r="N189" s="14">
        <v>2.2999999999999901</v>
      </c>
      <c r="O189" s="14">
        <v>1.4199999999999899</v>
      </c>
      <c r="P189" s="14">
        <v>2.83</v>
      </c>
      <c r="Q189">
        <v>406</v>
      </c>
    </row>
    <row r="190" spans="3:17" x14ac:dyDescent="0.25">
      <c r="C190" s="15" t="s">
        <v>153</v>
      </c>
      <c r="D190" s="14" t="s">
        <v>14</v>
      </c>
      <c r="E190" s="14">
        <v>12.6999999999999</v>
      </c>
      <c r="F190" s="14">
        <v>3.87</v>
      </c>
      <c r="G190" s="14">
        <v>2.3999999999999901</v>
      </c>
      <c r="H190" s="14">
        <v>23</v>
      </c>
      <c r="I190" s="14">
        <v>101</v>
      </c>
      <c r="J190" s="14">
        <v>2.83</v>
      </c>
      <c r="K190" s="14">
        <v>2.5499999999999901</v>
      </c>
      <c r="L190" s="14">
        <v>0.42999999999999899</v>
      </c>
      <c r="M190" s="14">
        <v>1.95</v>
      </c>
      <c r="N190" s="14">
        <v>2.5699999999999901</v>
      </c>
      <c r="O190" s="14">
        <v>1.18999999999999</v>
      </c>
      <c r="P190" s="14">
        <v>3.1299999999999901</v>
      </c>
      <c r="Q190">
        <v>463</v>
      </c>
    </row>
    <row r="191" spans="3:17" x14ac:dyDescent="0.25">
      <c r="C191" s="15" t="s">
        <v>151</v>
      </c>
      <c r="D191" s="14" t="s">
        <v>14</v>
      </c>
      <c r="E191" s="14">
        <v>11.84</v>
      </c>
      <c r="F191" s="14">
        <v>2.89</v>
      </c>
      <c r="G191" s="14">
        <v>2.23</v>
      </c>
      <c r="H191" s="14">
        <v>18</v>
      </c>
      <c r="I191" s="14">
        <v>112</v>
      </c>
      <c r="J191" s="14">
        <v>1.72</v>
      </c>
      <c r="K191" s="14">
        <v>1.32</v>
      </c>
      <c r="L191" s="14">
        <v>0.42999999999999899</v>
      </c>
      <c r="M191" s="14">
        <v>0.94999999999999896</v>
      </c>
      <c r="N191" s="14">
        <v>2.6499999999999901</v>
      </c>
      <c r="O191" s="14">
        <v>0.95999999999999897</v>
      </c>
      <c r="P191" s="14">
        <v>2.52</v>
      </c>
      <c r="Q191">
        <v>500</v>
      </c>
    </row>
    <row r="192" spans="3:17" x14ac:dyDescent="0.25">
      <c r="C192" s="15" t="s">
        <v>337</v>
      </c>
      <c r="D192" s="14" t="s">
        <v>14</v>
      </c>
      <c r="E192" s="14">
        <v>12.22</v>
      </c>
      <c r="F192" s="14">
        <v>1.29</v>
      </c>
      <c r="G192" s="14">
        <v>1.93999999999999</v>
      </c>
      <c r="H192" s="14">
        <v>19</v>
      </c>
      <c r="I192" s="14">
        <v>92</v>
      </c>
      <c r="J192" s="14">
        <v>2.3599999999999901</v>
      </c>
      <c r="K192" s="14">
        <v>2.04</v>
      </c>
      <c r="L192" s="14">
        <v>0.39</v>
      </c>
      <c r="M192" s="14">
        <v>2.08</v>
      </c>
      <c r="N192" s="14">
        <v>2.7</v>
      </c>
      <c r="O192" s="14">
        <v>0.85999999999999899</v>
      </c>
      <c r="P192" s="14">
        <v>3.02</v>
      </c>
      <c r="Q192">
        <v>312</v>
      </c>
    </row>
    <row r="193" spans="3:17" x14ac:dyDescent="0.25">
      <c r="C193" s="15" t="s">
        <v>149</v>
      </c>
      <c r="D193" s="14" t="s">
        <v>14</v>
      </c>
      <c r="E193" s="14">
        <v>11.66</v>
      </c>
      <c r="F193" s="14">
        <v>1.8799999999999899</v>
      </c>
      <c r="G193" s="14">
        <v>1.9199999999999899</v>
      </c>
      <c r="H193" s="14">
        <v>16</v>
      </c>
      <c r="I193" s="14">
        <v>97</v>
      </c>
      <c r="J193" s="14">
        <v>1.61</v>
      </c>
      <c r="K193" s="14">
        <v>1.57</v>
      </c>
      <c r="L193" s="14">
        <v>0.34</v>
      </c>
      <c r="M193" s="14">
        <v>1.1499999999999899</v>
      </c>
      <c r="N193" s="14">
        <v>3.7999999999999901</v>
      </c>
      <c r="O193" s="14">
        <v>1.23</v>
      </c>
      <c r="P193" s="14">
        <v>2.14</v>
      </c>
      <c r="Q193">
        <v>428</v>
      </c>
    </row>
    <row r="194" spans="3:17" x14ac:dyDescent="0.25">
      <c r="C194" s="15" t="s">
        <v>259</v>
      </c>
      <c r="D194" s="14" t="s">
        <v>13</v>
      </c>
      <c r="E194" s="14">
        <v>13.73</v>
      </c>
      <c r="F194" s="14">
        <v>1.5</v>
      </c>
      <c r="G194" s="14">
        <v>2.7</v>
      </c>
      <c r="H194" s="14">
        <v>22.5</v>
      </c>
      <c r="I194" s="14">
        <v>101</v>
      </c>
      <c r="J194" s="14">
        <v>3</v>
      </c>
      <c r="K194" s="14">
        <v>3.25</v>
      </c>
      <c r="L194" s="14">
        <v>0.28999999999999898</v>
      </c>
      <c r="M194" s="14">
        <v>2.3799999999999901</v>
      </c>
      <c r="N194" s="14">
        <v>5.7</v>
      </c>
      <c r="O194" s="14">
        <v>1.18999999999999</v>
      </c>
      <c r="P194" s="14">
        <v>2.71</v>
      </c>
      <c r="Q194">
        <v>1285</v>
      </c>
    </row>
    <row r="195" spans="3:17" x14ac:dyDescent="0.25">
      <c r="C195" s="15" t="s">
        <v>85</v>
      </c>
      <c r="D195" s="14" t="s">
        <v>13</v>
      </c>
      <c r="E195" s="14">
        <v>14.1199999999999</v>
      </c>
      <c r="F195" s="14">
        <v>1.48</v>
      </c>
      <c r="G195" s="14">
        <v>2.3199999999999901</v>
      </c>
      <c r="H195" s="14">
        <v>16.8</v>
      </c>
      <c r="I195" s="14">
        <v>95</v>
      </c>
      <c r="J195" s="14">
        <v>2.2000000000000002</v>
      </c>
      <c r="K195" s="14">
        <v>2.4300000000000002</v>
      </c>
      <c r="L195" s="14">
        <v>0.26</v>
      </c>
      <c r="M195" s="14">
        <v>1.57</v>
      </c>
      <c r="N195" s="14">
        <v>5</v>
      </c>
      <c r="O195" s="14">
        <v>1.1699999999999899</v>
      </c>
      <c r="P195" s="14">
        <v>2.8199999999999901</v>
      </c>
      <c r="Q195">
        <v>1280</v>
      </c>
    </row>
    <row r="196" spans="3:17" x14ac:dyDescent="0.25">
      <c r="C196" s="15" t="s">
        <v>84</v>
      </c>
      <c r="D196" s="14" t="s">
        <v>13</v>
      </c>
      <c r="E196" s="14">
        <v>14.1</v>
      </c>
      <c r="F196" s="14">
        <v>2.16</v>
      </c>
      <c r="G196" s="14">
        <v>2.2999999999999901</v>
      </c>
      <c r="H196" s="14">
        <v>18</v>
      </c>
      <c r="I196" s="14">
        <v>105</v>
      </c>
      <c r="J196" s="14">
        <v>2.95</v>
      </c>
      <c r="K196" s="14">
        <v>3.3199999999999901</v>
      </c>
      <c r="L196" s="14">
        <v>0.22</v>
      </c>
      <c r="M196" s="14">
        <v>2.3799999999999901</v>
      </c>
      <c r="N196" s="14">
        <v>5.75</v>
      </c>
      <c r="O196" s="14">
        <v>1.25</v>
      </c>
      <c r="P196" s="14">
        <v>3.1699999999999902</v>
      </c>
      <c r="Q196">
        <v>1510</v>
      </c>
    </row>
    <row r="197" spans="3:17" x14ac:dyDescent="0.25">
      <c r="C197" s="15" t="s">
        <v>114</v>
      </c>
      <c r="D197" s="14" t="s">
        <v>13</v>
      </c>
      <c r="E197" s="14">
        <v>13.56</v>
      </c>
      <c r="F197" s="14">
        <v>1.71</v>
      </c>
      <c r="G197" s="14">
        <v>2.31</v>
      </c>
      <c r="H197" s="14">
        <v>16.1999999999999</v>
      </c>
      <c r="I197" s="14">
        <v>117</v>
      </c>
      <c r="J197" s="14">
        <v>3.1499999999999901</v>
      </c>
      <c r="K197" s="14">
        <v>3.29</v>
      </c>
      <c r="L197" s="14">
        <v>0.34</v>
      </c>
      <c r="M197" s="14">
        <v>2.3399999999999901</v>
      </c>
      <c r="N197" s="14">
        <v>6.1299999999999901</v>
      </c>
      <c r="O197" s="14">
        <v>0.94999999999999896</v>
      </c>
      <c r="P197" s="14">
        <v>3.3799999999999901</v>
      </c>
      <c r="Q197">
        <v>795</v>
      </c>
    </row>
    <row r="198" spans="3:17" x14ac:dyDescent="0.25">
      <c r="C198" s="15" t="s">
        <v>144</v>
      </c>
      <c r="D198" s="14" t="s">
        <v>14</v>
      </c>
      <c r="E198" s="14">
        <v>12.2899999999999</v>
      </c>
      <c r="F198" s="14">
        <v>1.61</v>
      </c>
      <c r="G198" s="14">
        <v>2.21</v>
      </c>
      <c r="H198" s="14">
        <v>20.399999999999899</v>
      </c>
      <c r="I198" s="14">
        <v>103</v>
      </c>
      <c r="J198" s="14">
        <v>1.1000000000000001</v>
      </c>
      <c r="K198" s="14">
        <v>1.02</v>
      </c>
      <c r="L198" s="14">
        <v>0.37</v>
      </c>
      <c r="M198" s="14">
        <v>1.46</v>
      </c>
      <c r="N198" s="14">
        <v>3.0499999999999901</v>
      </c>
      <c r="O198" s="14">
        <v>0.90600000000000003</v>
      </c>
      <c r="P198" s="14">
        <v>1.82</v>
      </c>
      <c r="Q198">
        <v>870</v>
      </c>
    </row>
    <row r="199" spans="3:17" x14ac:dyDescent="0.25">
      <c r="C199" s="15" t="s">
        <v>97</v>
      </c>
      <c r="D199" s="14" t="s">
        <v>13</v>
      </c>
      <c r="E199" s="14">
        <v>12.85</v>
      </c>
      <c r="F199" s="14">
        <v>1.6</v>
      </c>
      <c r="G199" s="14">
        <v>2.52</v>
      </c>
      <c r="H199" s="14">
        <v>17.8</v>
      </c>
      <c r="I199" s="14">
        <v>95</v>
      </c>
      <c r="J199" s="14">
        <v>2.48</v>
      </c>
      <c r="K199" s="14">
        <v>2.37</v>
      </c>
      <c r="L199" s="14">
        <v>0.26</v>
      </c>
      <c r="M199" s="14">
        <v>1.46</v>
      </c>
      <c r="N199" s="14">
        <v>3.93</v>
      </c>
      <c r="O199" s="14">
        <v>1.0900000000000001</v>
      </c>
      <c r="P199" s="14">
        <v>3.6299999999999901</v>
      </c>
      <c r="Q199">
        <v>1015</v>
      </c>
    </row>
    <row r="200" spans="3:17" x14ac:dyDescent="0.25">
      <c r="C200" s="15" t="s">
        <v>218</v>
      </c>
      <c r="D200" s="14" t="s">
        <v>15</v>
      </c>
      <c r="E200" s="14">
        <v>12.25</v>
      </c>
      <c r="F200" s="14">
        <v>3.8799999999999901</v>
      </c>
      <c r="G200" s="14">
        <v>2.2000000000000002</v>
      </c>
      <c r="H200" s="14">
        <v>18.5</v>
      </c>
      <c r="I200" s="14">
        <v>112</v>
      </c>
      <c r="J200" s="14">
        <v>1.3799999999999899</v>
      </c>
      <c r="K200" s="14">
        <v>0.78</v>
      </c>
      <c r="L200" s="14">
        <v>0.28999999999999898</v>
      </c>
      <c r="M200" s="14">
        <v>1.1399999999999899</v>
      </c>
      <c r="N200" s="14">
        <v>8.2100000000000009</v>
      </c>
      <c r="O200" s="14">
        <v>0.65</v>
      </c>
      <c r="P200" s="14">
        <v>2</v>
      </c>
      <c r="Q200">
        <v>855</v>
      </c>
    </row>
    <row r="201" spans="3:17" x14ac:dyDescent="0.25">
      <c r="C201" s="15" t="s">
        <v>112</v>
      </c>
      <c r="D201" s="14" t="s">
        <v>13</v>
      </c>
      <c r="E201" s="14">
        <v>13.07</v>
      </c>
      <c r="F201" s="14">
        <v>1.5</v>
      </c>
      <c r="G201" s="14">
        <v>2.1</v>
      </c>
      <c r="H201" s="14">
        <v>15.5</v>
      </c>
      <c r="I201" s="14">
        <v>98</v>
      </c>
      <c r="J201" s="14">
        <v>2.3999999999999901</v>
      </c>
      <c r="K201" s="14">
        <v>2.64</v>
      </c>
      <c r="L201" s="14">
        <v>0.28000000000000003</v>
      </c>
      <c r="M201" s="14">
        <v>1.37</v>
      </c>
      <c r="N201" s="14">
        <v>3.7</v>
      </c>
      <c r="O201" s="14">
        <v>1.1799999999999899</v>
      </c>
      <c r="P201" s="14">
        <v>2.6899999999999902</v>
      </c>
      <c r="Q201">
        <v>1020</v>
      </c>
    </row>
    <row r="202" spans="3:17" x14ac:dyDescent="0.25">
      <c r="C202" s="15" t="s">
        <v>377</v>
      </c>
      <c r="D202" s="14" t="s">
        <v>15</v>
      </c>
      <c r="E202" s="14">
        <v>13.32</v>
      </c>
      <c r="F202" s="14">
        <v>3.24</v>
      </c>
      <c r="G202" s="14">
        <v>2.3799999999999901</v>
      </c>
      <c r="H202" s="14">
        <v>21.5</v>
      </c>
      <c r="I202" s="14">
        <v>92</v>
      </c>
      <c r="J202" s="14">
        <v>1.9299999999999899</v>
      </c>
      <c r="K202" s="14">
        <v>0.76</v>
      </c>
      <c r="L202" s="14">
        <v>0.45</v>
      </c>
      <c r="M202" s="14">
        <v>1.25</v>
      </c>
      <c r="N202" s="14">
        <v>8.4199999999999893</v>
      </c>
      <c r="O202" s="14">
        <v>0.55000000000000004</v>
      </c>
      <c r="P202" s="14">
        <v>1.62</v>
      </c>
      <c r="Q202">
        <v>650</v>
      </c>
    </row>
    <row r="203" spans="3:17" x14ac:dyDescent="0.25">
      <c r="C203" s="15" t="s">
        <v>241</v>
      </c>
      <c r="D203" s="14" t="s">
        <v>15</v>
      </c>
      <c r="E203" s="14">
        <v>12.82</v>
      </c>
      <c r="F203" s="14">
        <v>3.37</v>
      </c>
      <c r="G203" s="14">
        <v>2.2999999999999901</v>
      </c>
      <c r="H203" s="14">
        <v>19.5</v>
      </c>
      <c r="I203" s="14">
        <v>88</v>
      </c>
      <c r="J203" s="14">
        <v>1.48</v>
      </c>
      <c r="K203" s="14">
        <v>0.66</v>
      </c>
      <c r="L203" s="14">
        <v>0.4</v>
      </c>
      <c r="M203" s="14">
        <v>0.96999999999999897</v>
      </c>
      <c r="N203" s="14">
        <v>10.26</v>
      </c>
      <c r="O203" s="14">
        <v>0.71999999999999897</v>
      </c>
      <c r="P203" s="14">
        <v>1.75</v>
      </c>
      <c r="Q203">
        <v>685</v>
      </c>
    </row>
    <row r="204" spans="3:17" x14ac:dyDescent="0.25">
      <c r="C204" s="15" t="s">
        <v>294</v>
      </c>
      <c r="D204" s="14" t="s">
        <v>14</v>
      </c>
      <c r="E204" s="14">
        <v>12.3699999999999</v>
      </c>
      <c r="F204" s="14">
        <v>1.21</v>
      </c>
      <c r="G204" s="14">
        <v>2.56</v>
      </c>
      <c r="H204" s="14">
        <v>18.100000000000001</v>
      </c>
      <c r="I204" s="14">
        <v>98</v>
      </c>
      <c r="J204" s="14">
        <v>2.4199999999999902</v>
      </c>
      <c r="K204" s="14">
        <v>2.6499999999999901</v>
      </c>
      <c r="L204" s="14">
        <v>0.37</v>
      </c>
      <c r="M204" s="14">
        <v>2.08</v>
      </c>
      <c r="N204" s="14">
        <v>4.5999999999999899</v>
      </c>
      <c r="O204" s="14">
        <v>1.18999999999999</v>
      </c>
      <c r="P204" s="14">
        <v>2.2999999999999901</v>
      </c>
      <c r="Q204">
        <v>678</v>
      </c>
    </row>
    <row r="205" spans="3:17" x14ac:dyDescent="0.25">
      <c r="C205" s="15" t="s">
        <v>203</v>
      </c>
      <c r="D205" s="14" t="s">
        <v>14</v>
      </c>
      <c r="E205" s="14">
        <v>12.0399999999999</v>
      </c>
      <c r="F205" s="14">
        <v>4.2999999999999901</v>
      </c>
      <c r="G205" s="14">
        <v>2.3799999999999901</v>
      </c>
      <c r="H205" s="14">
        <v>22</v>
      </c>
      <c r="I205" s="14">
        <v>80</v>
      </c>
      <c r="J205" s="14">
        <v>2.1</v>
      </c>
      <c r="K205" s="14">
        <v>1.75</v>
      </c>
      <c r="L205" s="14">
        <v>0.41999999999999899</v>
      </c>
      <c r="M205" s="14">
        <v>1.35</v>
      </c>
      <c r="N205" s="14">
        <v>2.6</v>
      </c>
      <c r="O205" s="14">
        <v>0.79</v>
      </c>
      <c r="P205" s="14">
        <v>2.5699999999999901</v>
      </c>
      <c r="Q205">
        <v>580</v>
      </c>
    </row>
    <row r="206" spans="3:17" x14ac:dyDescent="0.25">
      <c r="C206" s="15" t="s">
        <v>318</v>
      </c>
      <c r="D206" s="14" t="s">
        <v>14</v>
      </c>
      <c r="E206" s="14">
        <v>12.08</v>
      </c>
      <c r="F206" s="14">
        <v>1.33</v>
      </c>
      <c r="G206" s="14">
        <v>2.2999999999999901</v>
      </c>
      <c r="H206" s="14">
        <v>23.6</v>
      </c>
      <c r="I206" s="14">
        <v>70</v>
      </c>
      <c r="J206" s="14">
        <v>2.2000000000000002</v>
      </c>
      <c r="K206" s="14">
        <v>1.59</v>
      </c>
      <c r="L206" s="14">
        <v>0.41999999999999899</v>
      </c>
      <c r="M206" s="14">
        <v>1.3799999999999899</v>
      </c>
      <c r="N206" s="14">
        <v>1.74</v>
      </c>
      <c r="O206" s="14">
        <v>1.07</v>
      </c>
      <c r="P206" s="14">
        <v>3.21</v>
      </c>
      <c r="Q206">
        <v>625</v>
      </c>
    </row>
    <row r="207" spans="3:17" x14ac:dyDescent="0.25">
      <c r="C207" s="15" t="s">
        <v>268</v>
      </c>
      <c r="D207" s="14" t="s">
        <v>13</v>
      </c>
      <c r="E207" s="14">
        <v>14.22</v>
      </c>
      <c r="F207" s="14">
        <v>3.99</v>
      </c>
      <c r="G207" s="14">
        <v>2.50999999999999</v>
      </c>
      <c r="H207" s="14">
        <v>13.1999999999999</v>
      </c>
      <c r="I207" s="14">
        <v>128</v>
      </c>
      <c r="J207" s="14">
        <v>3</v>
      </c>
      <c r="K207" s="14">
        <v>3.04</v>
      </c>
      <c r="L207" s="14">
        <v>0.2</v>
      </c>
      <c r="M207" s="14">
        <v>2.08</v>
      </c>
      <c r="N207" s="14">
        <v>5.0999999999999899</v>
      </c>
      <c r="O207" s="14">
        <v>0.89</v>
      </c>
      <c r="P207" s="14">
        <v>3.52999999999999</v>
      </c>
      <c r="Q207">
        <v>760</v>
      </c>
    </row>
    <row r="208" spans="3:17" x14ac:dyDescent="0.25">
      <c r="C208" s="15" t="s">
        <v>180</v>
      </c>
      <c r="D208" s="14" t="s">
        <v>14</v>
      </c>
      <c r="E208" s="14">
        <v>12.25</v>
      </c>
      <c r="F208" s="14">
        <v>1.73</v>
      </c>
      <c r="G208" s="14">
        <v>2.12</v>
      </c>
      <c r="H208" s="14">
        <v>19</v>
      </c>
      <c r="I208" s="14">
        <v>80</v>
      </c>
      <c r="J208" s="14">
        <v>1.6499999999999899</v>
      </c>
      <c r="K208" s="14">
        <v>2.02999999999999</v>
      </c>
      <c r="L208" s="14">
        <v>0.37</v>
      </c>
      <c r="M208" s="14">
        <v>1.6299999999999899</v>
      </c>
      <c r="N208" s="14">
        <v>3.3999999999999901</v>
      </c>
      <c r="O208" s="14">
        <v>1</v>
      </c>
      <c r="P208" s="14">
        <v>3.1699999999999902</v>
      </c>
      <c r="Q208">
        <v>510</v>
      </c>
    </row>
    <row r="209" spans="3:17" x14ac:dyDescent="0.25">
      <c r="C209" s="15" t="s">
        <v>287</v>
      </c>
      <c r="D209" s="14" t="s">
        <v>13</v>
      </c>
      <c r="E209" s="14">
        <v>13.72</v>
      </c>
      <c r="F209" s="14">
        <v>1.4299999999999899</v>
      </c>
      <c r="G209" s="14">
        <v>2.5</v>
      </c>
      <c r="H209" s="14">
        <v>16.6999999999999</v>
      </c>
      <c r="I209" s="14">
        <v>108</v>
      </c>
      <c r="J209" s="14">
        <v>3.3999999999999901</v>
      </c>
      <c r="K209" s="14">
        <v>3.6699999999999902</v>
      </c>
      <c r="L209" s="14">
        <v>0.19</v>
      </c>
      <c r="M209" s="14">
        <v>2.04</v>
      </c>
      <c r="N209" s="14">
        <v>6.7999999999999901</v>
      </c>
      <c r="O209" s="14">
        <v>0.89</v>
      </c>
      <c r="P209" s="14">
        <v>2.87</v>
      </c>
      <c r="Q209">
        <v>1285</v>
      </c>
    </row>
    <row r="210" spans="3:17" x14ac:dyDescent="0.25">
      <c r="C210" s="15" t="s">
        <v>291</v>
      </c>
      <c r="D210" s="14" t="s">
        <v>14</v>
      </c>
      <c r="E210" s="14">
        <v>13.67</v>
      </c>
      <c r="F210" s="14">
        <v>1.25</v>
      </c>
      <c r="G210" s="14">
        <v>1.9199999999999899</v>
      </c>
      <c r="H210" s="14">
        <v>18</v>
      </c>
      <c r="I210" s="14">
        <v>94</v>
      </c>
      <c r="J210" s="14">
        <v>2.1</v>
      </c>
      <c r="K210" s="14">
        <v>1.79</v>
      </c>
      <c r="L210" s="14">
        <v>0.32</v>
      </c>
      <c r="M210" s="14">
        <v>0.72999999999999898</v>
      </c>
      <c r="N210" s="14">
        <v>3.7999999999999901</v>
      </c>
      <c r="O210" s="14">
        <v>1.23</v>
      </c>
      <c r="P210" s="14">
        <v>2.46</v>
      </c>
      <c r="Q210">
        <v>630</v>
      </c>
    </row>
    <row r="211" spans="3:17" x14ac:dyDescent="0.25">
      <c r="C211" s="15" t="s">
        <v>231</v>
      </c>
      <c r="D211" s="14" t="s">
        <v>15</v>
      </c>
      <c r="E211" s="14">
        <v>12.4499999999999</v>
      </c>
      <c r="F211" s="14">
        <v>3.02999999999999</v>
      </c>
      <c r="G211" s="14">
        <v>2.64</v>
      </c>
      <c r="H211" s="14">
        <v>27</v>
      </c>
      <c r="I211" s="14">
        <v>97</v>
      </c>
      <c r="J211" s="14">
        <v>1.8999999999999899</v>
      </c>
      <c r="K211" s="14">
        <v>0.57999999999999896</v>
      </c>
      <c r="L211" s="14">
        <v>0.63</v>
      </c>
      <c r="M211" s="14">
        <v>1.1399999999999899</v>
      </c>
      <c r="N211" s="14">
        <v>7.5</v>
      </c>
      <c r="O211" s="14">
        <v>0.67</v>
      </c>
      <c r="P211" s="14">
        <v>1.73</v>
      </c>
      <c r="Q211">
        <v>880</v>
      </c>
    </row>
    <row r="212" spans="3:17" x14ac:dyDescent="0.25">
      <c r="C212" s="15" t="s">
        <v>178</v>
      </c>
      <c r="D212" s="14" t="s">
        <v>14</v>
      </c>
      <c r="E212" s="14">
        <v>12.51</v>
      </c>
      <c r="F212" s="14">
        <v>1.73</v>
      </c>
      <c r="G212" s="14">
        <v>1.98</v>
      </c>
      <c r="H212" s="14">
        <v>20.5</v>
      </c>
      <c r="I212" s="14">
        <v>85</v>
      </c>
      <c r="J212" s="14">
        <v>2.2000000000000002</v>
      </c>
      <c r="K212" s="14">
        <v>1.9199999999999899</v>
      </c>
      <c r="L212" s="14">
        <v>0.32</v>
      </c>
      <c r="M212" s="14">
        <v>1.48</v>
      </c>
      <c r="N212" s="14">
        <v>2.9399999999999902</v>
      </c>
      <c r="O212" s="14">
        <v>1.04</v>
      </c>
      <c r="P212" s="14">
        <v>3.5699999999999901</v>
      </c>
      <c r="Q212">
        <v>672</v>
      </c>
    </row>
    <row r="213" spans="3:17" x14ac:dyDescent="0.25">
      <c r="C213" s="15" t="s">
        <v>143</v>
      </c>
      <c r="D213" s="14" t="s">
        <v>14</v>
      </c>
      <c r="E213" s="14">
        <v>12.21</v>
      </c>
      <c r="F213" s="14">
        <v>1.18999999999999</v>
      </c>
      <c r="G213" s="14">
        <v>1.75</v>
      </c>
      <c r="H213" s="14">
        <v>16.8</v>
      </c>
      <c r="I213" s="14">
        <v>151</v>
      </c>
      <c r="J213" s="14">
        <v>1.85</v>
      </c>
      <c r="K213" s="14">
        <v>1.28</v>
      </c>
      <c r="L213" s="14">
        <v>0.14000000000000001</v>
      </c>
      <c r="M213" s="14">
        <v>2.5</v>
      </c>
      <c r="N213" s="14">
        <v>2.85</v>
      </c>
      <c r="O213" s="14">
        <v>1.28</v>
      </c>
      <c r="P213" s="14">
        <v>3.0699999999999901</v>
      </c>
      <c r="Q213">
        <v>718</v>
      </c>
    </row>
    <row r="214" spans="3:17" x14ac:dyDescent="0.25">
      <c r="C214" s="15" t="s">
        <v>368</v>
      </c>
      <c r="D214" s="14" t="s">
        <v>15</v>
      </c>
      <c r="E214" s="14">
        <v>12.84</v>
      </c>
      <c r="F214" s="14">
        <v>2.96</v>
      </c>
      <c r="G214" s="14">
        <v>2.6099999999999901</v>
      </c>
      <c r="H214" s="14">
        <v>24</v>
      </c>
      <c r="I214" s="14">
        <v>101</v>
      </c>
      <c r="J214" s="14">
        <v>2.3199999999999901</v>
      </c>
      <c r="K214" s="14">
        <v>0.59999999999999898</v>
      </c>
      <c r="L214" s="14">
        <v>0.53</v>
      </c>
      <c r="M214" s="14">
        <v>0.81</v>
      </c>
      <c r="N214" s="14">
        <v>4.9199999999999902</v>
      </c>
      <c r="O214" s="14">
        <v>0.89</v>
      </c>
      <c r="P214" s="14">
        <v>2.1499999999999901</v>
      </c>
      <c r="Q214">
        <v>590</v>
      </c>
    </row>
    <row r="215" spans="3:17" x14ac:dyDescent="0.25">
      <c r="C215" s="15" t="s">
        <v>297</v>
      </c>
      <c r="D215" s="14" t="s">
        <v>14</v>
      </c>
      <c r="E215" s="14">
        <v>13.34</v>
      </c>
      <c r="F215" s="14">
        <v>0.93999999999999895</v>
      </c>
      <c r="G215" s="14">
        <v>2.3599999999999901</v>
      </c>
      <c r="H215" s="14">
        <v>17</v>
      </c>
      <c r="I215" s="14">
        <v>110</v>
      </c>
      <c r="J215" s="14">
        <v>2.52999999999999</v>
      </c>
      <c r="K215" s="14">
        <v>1.3</v>
      </c>
      <c r="L215" s="14">
        <v>0.55000000000000004</v>
      </c>
      <c r="M215" s="14">
        <v>0.41999999999999899</v>
      </c>
      <c r="N215" s="14">
        <v>3.1699999999999902</v>
      </c>
      <c r="O215" s="14">
        <v>1.02</v>
      </c>
      <c r="P215" s="14">
        <v>1.9299999999999899</v>
      </c>
      <c r="Q215">
        <v>750</v>
      </c>
    </row>
    <row r="216" spans="3:17" x14ac:dyDescent="0.25">
      <c r="C216" s="15" t="s">
        <v>123</v>
      </c>
      <c r="D216" s="14" t="s">
        <v>13</v>
      </c>
      <c r="E216" s="14">
        <v>13.94</v>
      </c>
      <c r="F216" s="14">
        <v>1.73</v>
      </c>
      <c r="G216" s="14">
        <v>2.27</v>
      </c>
      <c r="H216" s="14">
        <v>17.399999999999899</v>
      </c>
      <c r="I216" s="14">
        <v>108</v>
      </c>
      <c r="J216" s="14">
        <v>2.8799999999999901</v>
      </c>
      <c r="K216" s="14">
        <v>3.54</v>
      </c>
      <c r="L216" s="14">
        <v>0.32</v>
      </c>
      <c r="M216" s="14">
        <v>2.08</v>
      </c>
      <c r="N216" s="14">
        <v>8.9</v>
      </c>
      <c r="O216" s="14">
        <v>1.1200000000000001</v>
      </c>
      <c r="P216" s="14">
        <v>3.1</v>
      </c>
      <c r="Q216">
        <v>1260</v>
      </c>
    </row>
    <row r="217" spans="3:17" x14ac:dyDescent="0.25">
      <c r="C217" s="15" t="s">
        <v>325</v>
      </c>
      <c r="D217" s="14" t="s">
        <v>14</v>
      </c>
      <c r="E217" s="14">
        <v>11.81</v>
      </c>
      <c r="F217" s="14">
        <v>2.12</v>
      </c>
      <c r="G217" s="14">
        <v>2.74</v>
      </c>
      <c r="H217" s="14">
        <v>21.5</v>
      </c>
      <c r="I217" s="14">
        <v>134</v>
      </c>
      <c r="J217" s="14">
        <v>1.6</v>
      </c>
      <c r="K217" s="14">
        <v>0.98999999999999899</v>
      </c>
      <c r="L217" s="14">
        <v>0.14000000000000001</v>
      </c>
      <c r="M217" s="14">
        <v>1.56</v>
      </c>
      <c r="N217" s="14">
        <v>2.5</v>
      </c>
      <c r="O217" s="14">
        <v>0.94999999999999896</v>
      </c>
      <c r="P217" s="14">
        <v>2.25999999999999</v>
      </c>
      <c r="Q217">
        <v>625</v>
      </c>
    </row>
    <row r="218" spans="3:17" x14ac:dyDescent="0.25">
      <c r="C218" s="15" t="s">
        <v>359</v>
      </c>
      <c r="D218" s="14" t="s">
        <v>15</v>
      </c>
      <c r="E218" s="14">
        <v>12.8599999999999</v>
      </c>
      <c r="F218" s="14">
        <v>1.35</v>
      </c>
      <c r="G218" s="14">
        <v>2.3199999999999901</v>
      </c>
      <c r="H218" s="14">
        <v>18</v>
      </c>
      <c r="I218" s="14">
        <v>122</v>
      </c>
      <c r="J218" s="14">
        <v>1.51</v>
      </c>
      <c r="K218" s="14">
        <v>1.25</v>
      </c>
      <c r="L218" s="14">
        <v>0.20999999999999899</v>
      </c>
      <c r="M218" s="14">
        <v>0.93999999999999895</v>
      </c>
      <c r="N218" s="14">
        <v>4.0999999999999899</v>
      </c>
      <c r="O218" s="14">
        <v>0.76</v>
      </c>
      <c r="P218" s="14">
        <v>1.29</v>
      </c>
      <c r="Q218">
        <v>630</v>
      </c>
    </row>
    <row r="219" spans="3:17" x14ac:dyDescent="0.25">
      <c r="C219" s="15" t="s">
        <v>190</v>
      </c>
      <c r="D219" s="14" t="s">
        <v>14</v>
      </c>
      <c r="E219" s="14">
        <v>11.82</v>
      </c>
      <c r="F219" s="14">
        <v>1.47</v>
      </c>
      <c r="G219" s="14">
        <v>1.99</v>
      </c>
      <c r="H219" s="14">
        <v>20.8</v>
      </c>
      <c r="I219" s="14">
        <v>86</v>
      </c>
      <c r="J219" s="14">
        <v>1.98</v>
      </c>
      <c r="K219" s="14">
        <v>1.6</v>
      </c>
      <c r="L219" s="14">
        <v>0.29999999999999899</v>
      </c>
      <c r="M219" s="14">
        <v>1.53</v>
      </c>
      <c r="N219" s="14">
        <v>1.95</v>
      </c>
      <c r="O219" s="14">
        <v>0.94999999999999896</v>
      </c>
      <c r="P219" s="14">
        <v>3.33</v>
      </c>
      <c r="Q219">
        <v>495</v>
      </c>
    </row>
    <row r="220" spans="3:17" x14ac:dyDescent="0.25">
      <c r="C220" s="15" t="s">
        <v>128</v>
      </c>
      <c r="D220" s="14" t="s">
        <v>13</v>
      </c>
      <c r="E220" s="14">
        <v>13.74</v>
      </c>
      <c r="F220" s="14">
        <v>1.6699999999999899</v>
      </c>
      <c r="G220" s="14">
        <v>2.25</v>
      </c>
      <c r="H220" s="14">
        <v>16.399999999999899</v>
      </c>
      <c r="I220" s="14">
        <v>118</v>
      </c>
      <c r="J220" s="14">
        <v>2.6</v>
      </c>
      <c r="K220" s="14">
        <v>2.8999999999999901</v>
      </c>
      <c r="L220" s="14">
        <v>0.20999999999999899</v>
      </c>
      <c r="M220" s="14">
        <v>1.62</v>
      </c>
      <c r="N220" s="14">
        <v>5.8499999999999899</v>
      </c>
      <c r="O220" s="14">
        <v>0.92</v>
      </c>
      <c r="P220" s="14">
        <v>3.2</v>
      </c>
      <c r="Q220">
        <v>1060</v>
      </c>
    </row>
    <row r="221" spans="3:17" x14ac:dyDescent="0.25">
      <c r="C221" s="15" t="s">
        <v>330</v>
      </c>
      <c r="D221" s="14" t="s">
        <v>14</v>
      </c>
      <c r="E221" s="14">
        <v>12.6</v>
      </c>
      <c r="F221" s="14">
        <v>1.34</v>
      </c>
      <c r="G221" s="14">
        <v>1.8999999999999899</v>
      </c>
      <c r="H221" s="14">
        <v>18.5</v>
      </c>
      <c r="I221" s="14">
        <v>88</v>
      </c>
      <c r="J221" s="14">
        <v>1.45</v>
      </c>
      <c r="K221" s="14">
        <v>1.36</v>
      </c>
      <c r="L221" s="14">
        <v>0.28999999999999898</v>
      </c>
      <c r="M221" s="14">
        <v>1.35</v>
      </c>
      <c r="N221" s="14">
        <v>2.4500000000000002</v>
      </c>
      <c r="O221" s="14">
        <v>1.04</v>
      </c>
      <c r="P221" s="14">
        <v>2.77</v>
      </c>
      <c r="Q221">
        <v>562</v>
      </c>
    </row>
    <row r="222" spans="3:17" x14ac:dyDescent="0.25">
      <c r="C222" s="15" t="s">
        <v>333</v>
      </c>
      <c r="D222" s="14" t="s">
        <v>14</v>
      </c>
      <c r="E222" s="14">
        <v>12.51</v>
      </c>
      <c r="F222" s="14">
        <v>1.73</v>
      </c>
      <c r="G222" s="14">
        <v>1.98</v>
      </c>
      <c r="H222" s="14">
        <v>20.5</v>
      </c>
      <c r="I222" s="14">
        <v>85</v>
      </c>
      <c r="J222" s="14">
        <v>2.2000000000000002</v>
      </c>
      <c r="K222" s="14">
        <v>1.9199999999999899</v>
      </c>
      <c r="L222" s="14">
        <v>0.32</v>
      </c>
      <c r="M222" s="14">
        <v>1.48</v>
      </c>
      <c r="N222" s="14">
        <v>2.9399999999999902</v>
      </c>
      <c r="O222" s="14">
        <v>1.04</v>
      </c>
      <c r="P222" s="14">
        <v>3.5699999999999901</v>
      </c>
      <c r="Q222">
        <v>672</v>
      </c>
    </row>
    <row r="223" spans="3:17" x14ac:dyDescent="0.25">
      <c r="C223" s="15" t="s">
        <v>150</v>
      </c>
      <c r="D223" s="14" t="s">
        <v>14</v>
      </c>
      <c r="E223" s="14">
        <v>13.0299999999999</v>
      </c>
      <c r="F223" s="14">
        <v>0.9</v>
      </c>
      <c r="G223" s="14">
        <v>1.71</v>
      </c>
      <c r="H223" s="14">
        <v>16</v>
      </c>
      <c r="I223" s="14">
        <v>86</v>
      </c>
      <c r="J223" s="14">
        <v>1.95</v>
      </c>
      <c r="K223" s="14">
        <v>2.02999999999999</v>
      </c>
      <c r="L223" s="14">
        <v>0.23999999999999899</v>
      </c>
      <c r="M223" s="14">
        <v>1.46</v>
      </c>
      <c r="N223" s="14">
        <v>4.5999999999999899</v>
      </c>
      <c r="O223" s="14">
        <v>1.18999999999999</v>
      </c>
      <c r="P223" s="14">
        <v>2.48</v>
      </c>
      <c r="Q223">
        <v>392</v>
      </c>
    </row>
    <row r="224" spans="3:17" x14ac:dyDescent="0.25">
      <c r="C224" s="15" t="s">
        <v>126</v>
      </c>
      <c r="D224" s="14" t="s">
        <v>13</v>
      </c>
      <c r="E224" s="14">
        <v>13.82</v>
      </c>
      <c r="F224" s="14">
        <v>1.75</v>
      </c>
      <c r="G224" s="14">
        <v>2.4199999999999902</v>
      </c>
      <c r="H224" s="14">
        <v>14</v>
      </c>
      <c r="I224" s="14">
        <v>111</v>
      </c>
      <c r="J224" s="14">
        <v>3.8799999999999901</v>
      </c>
      <c r="K224" s="14">
        <v>3.74</v>
      </c>
      <c r="L224" s="14">
        <v>0.32</v>
      </c>
      <c r="M224" s="14">
        <v>1.87</v>
      </c>
      <c r="N224" s="14">
        <v>7.0499999999999901</v>
      </c>
      <c r="O224" s="14">
        <v>1.01</v>
      </c>
      <c r="P224" s="14">
        <v>3.25999999999999</v>
      </c>
      <c r="Q224">
        <v>1190</v>
      </c>
    </row>
    <row r="225" spans="3:17" x14ac:dyDescent="0.25">
      <c r="C225" s="15" t="s">
        <v>198</v>
      </c>
      <c r="D225" s="14" t="s">
        <v>14</v>
      </c>
      <c r="E225" s="14">
        <v>11.8699999999999</v>
      </c>
      <c r="F225" s="14">
        <v>4.3099999999999898</v>
      </c>
      <c r="G225" s="14">
        <v>2.39</v>
      </c>
      <c r="H225" s="14">
        <v>21</v>
      </c>
      <c r="I225" s="14">
        <v>82</v>
      </c>
      <c r="J225" s="14">
        <v>2.8599999999999901</v>
      </c>
      <c r="K225" s="14">
        <v>3.02999999999999</v>
      </c>
      <c r="L225" s="14">
        <v>0.20999999999999899</v>
      </c>
      <c r="M225" s="14">
        <v>2.91</v>
      </c>
      <c r="N225" s="14">
        <v>2.7999999999999901</v>
      </c>
      <c r="O225" s="14">
        <v>0.75</v>
      </c>
      <c r="P225" s="14">
        <v>3.64</v>
      </c>
      <c r="Q225">
        <v>380</v>
      </c>
    </row>
    <row r="226" spans="3:17" x14ac:dyDescent="0.25">
      <c r="C226" s="15" t="s">
        <v>281</v>
      </c>
      <c r="D226" s="14" t="s">
        <v>13</v>
      </c>
      <c r="E226" s="14">
        <v>13.82</v>
      </c>
      <c r="F226" s="14">
        <v>1.75</v>
      </c>
      <c r="G226" s="14">
        <v>2.4199999999999902</v>
      </c>
      <c r="H226" s="14">
        <v>14</v>
      </c>
      <c r="I226" s="14">
        <v>111</v>
      </c>
      <c r="J226" s="14">
        <v>3.8799999999999901</v>
      </c>
      <c r="K226" s="14">
        <v>3.74</v>
      </c>
      <c r="L226" s="14">
        <v>0.32</v>
      </c>
      <c r="M226" s="14">
        <v>1.87</v>
      </c>
      <c r="N226" s="14">
        <v>7.0499999999999901</v>
      </c>
      <c r="O226" s="14">
        <v>1.01</v>
      </c>
      <c r="P226" s="14">
        <v>3.25999999999999</v>
      </c>
      <c r="Q226">
        <v>1190</v>
      </c>
    </row>
    <row r="227" spans="3:17" x14ac:dyDescent="0.25">
      <c r="C227" s="15" t="s">
        <v>227</v>
      </c>
      <c r="D227" s="14" t="s">
        <v>15</v>
      </c>
      <c r="E227" s="14">
        <v>13.23</v>
      </c>
      <c r="F227" s="14">
        <v>3.2999999999999901</v>
      </c>
      <c r="G227" s="14">
        <v>2.27999999999999</v>
      </c>
      <c r="H227" s="14">
        <v>18.5</v>
      </c>
      <c r="I227" s="14">
        <v>98</v>
      </c>
      <c r="J227" s="14">
        <v>1.8</v>
      </c>
      <c r="K227" s="14">
        <v>0.82999999999999896</v>
      </c>
      <c r="L227" s="14">
        <v>0.60999999999999899</v>
      </c>
      <c r="M227" s="14">
        <v>1.87</v>
      </c>
      <c r="N227" s="14">
        <v>10.52</v>
      </c>
      <c r="O227" s="14">
        <v>0.56000000000000005</v>
      </c>
      <c r="P227" s="14">
        <v>1.51</v>
      </c>
      <c r="Q227">
        <v>675</v>
      </c>
    </row>
    <row r="228" spans="3:17" x14ac:dyDescent="0.25">
      <c r="C228" s="15" t="s">
        <v>295</v>
      </c>
      <c r="D228" s="14" t="s">
        <v>14</v>
      </c>
      <c r="E228" s="14">
        <v>13.1099999999999</v>
      </c>
      <c r="F228" s="14">
        <v>1.01</v>
      </c>
      <c r="G228" s="14">
        <v>1.7</v>
      </c>
      <c r="H228" s="14">
        <v>15</v>
      </c>
      <c r="I228" s="14">
        <v>78</v>
      </c>
      <c r="J228" s="14">
        <v>2.98</v>
      </c>
      <c r="K228" s="14">
        <v>3.18</v>
      </c>
      <c r="L228" s="14">
        <v>0.26</v>
      </c>
      <c r="M228" s="14">
        <v>2.27999999999999</v>
      </c>
      <c r="N228" s="14">
        <v>5.2999999999999901</v>
      </c>
      <c r="O228" s="14">
        <v>1.1200000000000001</v>
      </c>
      <c r="P228" s="14">
        <v>3.18</v>
      </c>
      <c r="Q228">
        <v>502</v>
      </c>
    </row>
    <row r="229" spans="3:17" x14ac:dyDescent="0.25">
      <c r="C229" s="15" t="s">
        <v>75</v>
      </c>
      <c r="D229" s="14" t="s">
        <v>13</v>
      </c>
      <c r="E229" s="14">
        <v>13.1999999999999</v>
      </c>
      <c r="F229" s="14">
        <v>1.78</v>
      </c>
      <c r="G229" s="14">
        <v>2.14</v>
      </c>
      <c r="H229" s="14">
        <v>11.1999999999999</v>
      </c>
      <c r="I229" s="14">
        <v>100</v>
      </c>
      <c r="J229" s="14">
        <v>2.6499999999999901</v>
      </c>
      <c r="K229" s="14">
        <v>2.75999999999999</v>
      </c>
      <c r="L229" s="14">
        <v>0.26</v>
      </c>
      <c r="M229" s="14">
        <v>1.28</v>
      </c>
      <c r="N229" s="14">
        <v>4.3799999999999901</v>
      </c>
      <c r="O229" s="14">
        <v>1.05</v>
      </c>
      <c r="P229" s="14">
        <v>3.3999999999999901</v>
      </c>
      <c r="Q229">
        <v>1050</v>
      </c>
    </row>
    <row r="230" spans="3:17" x14ac:dyDescent="0.25">
      <c r="C230" s="15" t="s">
        <v>257</v>
      </c>
      <c r="D230" s="14" t="s">
        <v>13</v>
      </c>
      <c r="E230" s="14">
        <v>13.8699999999999</v>
      </c>
      <c r="F230" s="14">
        <v>1.8999999999999899</v>
      </c>
      <c r="G230" s="14">
        <v>2.7999999999999901</v>
      </c>
      <c r="H230" s="14">
        <v>19.399999999999899</v>
      </c>
      <c r="I230" s="14">
        <v>107</v>
      </c>
      <c r="J230" s="14">
        <v>2.95</v>
      </c>
      <c r="K230" s="14">
        <v>2.97</v>
      </c>
      <c r="L230" s="14">
        <v>0.37</v>
      </c>
      <c r="M230" s="14">
        <v>1.76</v>
      </c>
      <c r="N230" s="14">
        <v>4.5</v>
      </c>
      <c r="O230" s="14">
        <v>1.25</v>
      </c>
      <c r="P230" s="14">
        <v>3.3999999999999901</v>
      </c>
      <c r="Q230">
        <v>915</v>
      </c>
    </row>
    <row r="231" spans="3:17" x14ac:dyDescent="0.25">
      <c r="C231" s="15" t="s">
        <v>309</v>
      </c>
      <c r="D231" s="14" t="s">
        <v>14</v>
      </c>
      <c r="E231" s="14">
        <v>12</v>
      </c>
      <c r="F231" s="14">
        <v>0.92</v>
      </c>
      <c r="G231" s="14">
        <v>2</v>
      </c>
      <c r="H231" s="14">
        <v>19</v>
      </c>
      <c r="I231" s="14">
        <v>86</v>
      </c>
      <c r="J231" s="14">
        <v>2.4199999999999902</v>
      </c>
      <c r="K231" s="14">
        <v>2.25999999999999</v>
      </c>
      <c r="L231" s="14">
        <v>0.29999999999999899</v>
      </c>
      <c r="M231" s="14">
        <v>1.4299999999999899</v>
      </c>
      <c r="N231" s="14">
        <v>2.5</v>
      </c>
      <c r="O231" s="14">
        <v>1.3799999999999899</v>
      </c>
      <c r="P231" s="14">
        <v>3.12</v>
      </c>
      <c r="Q231">
        <v>278</v>
      </c>
    </row>
    <row r="232" spans="3:17" x14ac:dyDescent="0.25">
      <c r="C232" s="15" t="s">
        <v>302</v>
      </c>
      <c r="D232" s="14" t="s">
        <v>14</v>
      </c>
      <c r="E232" s="14">
        <v>12.99</v>
      </c>
      <c r="F232" s="14">
        <v>1.6699999999999899</v>
      </c>
      <c r="G232" s="14">
        <v>2.6</v>
      </c>
      <c r="H232" s="14">
        <v>30</v>
      </c>
      <c r="I232" s="14">
        <v>139</v>
      </c>
      <c r="J232" s="14">
        <v>3.2999999999999901</v>
      </c>
      <c r="K232" s="14">
        <v>2.89</v>
      </c>
      <c r="L232" s="14">
        <v>0.20999999999999899</v>
      </c>
      <c r="M232" s="14">
        <v>1.96</v>
      </c>
      <c r="N232" s="14">
        <v>3.35</v>
      </c>
      <c r="O232" s="14">
        <v>1.31</v>
      </c>
      <c r="P232" s="14">
        <v>3.5</v>
      </c>
      <c r="Q232">
        <v>985</v>
      </c>
    </row>
    <row r="233" spans="3:17" x14ac:dyDescent="0.25">
      <c r="C233" s="15" t="s">
        <v>177</v>
      </c>
      <c r="D233" s="14" t="s">
        <v>14</v>
      </c>
      <c r="E233" s="14">
        <v>11.82</v>
      </c>
      <c r="F233" s="14">
        <v>1.72</v>
      </c>
      <c r="G233" s="14">
        <v>1.8799999999999899</v>
      </c>
      <c r="H233" s="14">
        <v>19.5</v>
      </c>
      <c r="I233" s="14">
        <v>86</v>
      </c>
      <c r="J233" s="14">
        <v>2.5</v>
      </c>
      <c r="K233" s="14">
        <v>1.6399999999999899</v>
      </c>
      <c r="L233" s="14">
        <v>0.37</v>
      </c>
      <c r="M233" s="14">
        <v>1.4199999999999899</v>
      </c>
      <c r="N233" s="14">
        <v>2.06</v>
      </c>
      <c r="O233" s="14">
        <v>0.93999999999999895</v>
      </c>
      <c r="P233" s="14">
        <v>2.4399999999999902</v>
      </c>
      <c r="Q233">
        <v>415</v>
      </c>
    </row>
    <row r="234" spans="3:17" x14ac:dyDescent="0.25">
      <c r="C234" s="15" t="s">
        <v>236</v>
      </c>
      <c r="D234" s="14" t="s">
        <v>15</v>
      </c>
      <c r="E234" s="14">
        <v>12.85</v>
      </c>
      <c r="F234" s="14">
        <v>3.27</v>
      </c>
      <c r="G234" s="14">
        <v>2.58</v>
      </c>
      <c r="H234" s="14">
        <v>22</v>
      </c>
      <c r="I234" s="14">
        <v>106</v>
      </c>
      <c r="J234" s="14">
        <v>1.6499999999999899</v>
      </c>
      <c r="K234" s="14">
        <v>0.59999999999999898</v>
      </c>
      <c r="L234" s="14">
        <v>0.59999999999999898</v>
      </c>
      <c r="M234" s="14">
        <v>0.95999999999999897</v>
      </c>
      <c r="N234" s="14">
        <v>5.58</v>
      </c>
      <c r="O234" s="14">
        <v>0.87</v>
      </c>
      <c r="P234" s="14">
        <v>2.1099999999999901</v>
      </c>
      <c r="Q234">
        <v>570</v>
      </c>
    </row>
    <row r="235" spans="3:17" x14ac:dyDescent="0.25">
      <c r="C235" s="15" t="s">
        <v>363</v>
      </c>
      <c r="D235" s="14" t="s">
        <v>15</v>
      </c>
      <c r="E235" s="14">
        <v>12.51</v>
      </c>
      <c r="F235" s="14">
        <v>1.24</v>
      </c>
      <c r="G235" s="14">
        <v>2.25</v>
      </c>
      <c r="H235" s="14">
        <v>17.5</v>
      </c>
      <c r="I235" s="14">
        <v>85</v>
      </c>
      <c r="J235" s="14">
        <v>2</v>
      </c>
      <c r="K235" s="14">
        <v>0.57999999999999896</v>
      </c>
      <c r="L235" s="14">
        <v>0.59999999999999898</v>
      </c>
      <c r="M235" s="14">
        <v>1.25</v>
      </c>
      <c r="N235" s="14">
        <v>5.45</v>
      </c>
      <c r="O235" s="14">
        <v>0.75</v>
      </c>
      <c r="P235" s="14">
        <v>1.51</v>
      </c>
      <c r="Q235">
        <v>650</v>
      </c>
    </row>
    <row r="236" spans="3:17" x14ac:dyDescent="0.25">
      <c r="C236" s="15" t="s">
        <v>280</v>
      </c>
      <c r="D236" s="14" t="s">
        <v>13</v>
      </c>
      <c r="E236" s="14">
        <v>13.83</v>
      </c>
      <c r="F236" s="14">
        <v>1.6499999999999899</v>
      </c>
      <c r="G236" s="14">
        <v>2.6</v>
      </c>
      <c r="H236" s="14">
        <v>17.1999999999999</v>
      </c>
      <c r="I236" s="14">
        <v>94</v>
      </c>
      <c r="J236" s="14">
        <v>2.4500000000000002</v>
      </c>
      <c r="K236" s="14">
        <v>2.99</v>
      </c>
      <c r="L236" s="14">
        <v>0.22</v>
      </c>
      <c r="M236" s="14">
        <v>2.29</v>
      </c>
      <c r="N236" s="14">
        <v>5.5999999999999899</v>
      </c>
      <c r="O236" s="14">
        <v>1.24</v>
      </c>
      <c r="P236" s="14">
        <v>3.37</v>
      </c>
      <c r="Q236">
        <v>1265</v>
      </c>
    </row>
    <row r="237" spans="3:17" x14ac:dyDescent="0.25">
      <c r="C237" s="15" t="s">
        <v>401</v>
      </c>
      <c r="D237" s="14" t="s">
        <v>15</v>
      </c>
      <c r="E237" s="14">
        <v>14.16</v>
      </c>
      <c r="F237" s="14">
        <v>2.50999999999999</v>
      </c>
      <c r="G237" s="14">
        <v>2.48</v>
      </c>
      <c r="H237" s="14">
        <v>20</v>
      </c>
      <c r="I237" s="14">
        <v>91</v>
      </c>
      <c r="J237" s="14">
        <v>1.6799999999999899</v>
      </c>
      <c r="K237" s="14">
        <v>0.69999999999999896</v>
      </c>
      <c r="L237" s="14">
        <v>0.44</v>
      </c>
      <c r="M237" s="14">
        <v>1.24</v>
      </c>
      <c r="N237" s="14">
        <v>9.6999999999999904</v>
      </c>
      <c r="O237" s="14">
        <v>0.62</v>
      </c>
      <c r="P237" s="14">
        <v>1.71</v>
      </c>
      <c r="Q237">
        <v>660</v>
      </c>
    </row>
    <row r="238" spans="3:17" x14ac:dyDescent="0.25">
      <c r="C238" s="15" t="s">
        <v>199</v>
      </c>
      <c r="D238" s="14" t="s">
        <v>14</v>
      </c>
      <c r="E238" s="14">
        <v>12.07</v>
      </c>
      <c r="F238" s="14">
        <v>2.16</v>
      </c>
      <c r="G238" s="14">
        <v>2.1699999999999902</v>
      </c>
      <c r="H238" s="14">
        <v>21</v>
      </c>
      <c r="I238" s="14">
        <v>85</v>
      </c>
      <c r="J238" s="14">
        <v>2.6</v>
      </c>
      <c r="K238" s="14">
        <v>2.6499999999999901</v>
      </c>
      <c r="L238" s="14">
        <v>0.37</v>
      </c>
      <c r="M238" s="14">
        <v>1.35</v>
      </c>
      <c r="N238" s="14">
        <v>2.75999999999999</v>
      </c>
      <c r="O238" s="14">
        <v>0.85999999999999899</v>
      </c>
      <c r="P238" s="14">
        <v>3.27999999999999</v>
      </c>
      <c r="Q238">
        <v>378</v>
      </c>
    </row>
    <row r="239" spans="3:17" x14ac:dyDescent="0.25">
      <c r="C239" s="15" t="s">
        <v>301</v>
      </c>
      <c r="D239" s="14" t="s">
        <v>14</v>
      </c>
      <c r="E239" s="14">
        <v>13.49</v>
      </c>
      <c r="F239" s="14">
        <v>1.6599999999999899</v>
      </c>
      <c r="G239" s="14">
        <v>2.2400000000000002</v>
      </c>
      <c r="H239" s="14">
        <v>24</v>
      </c>
      <c r="I239" s="14">
        <v>87</v>
      </c>
      <c r="J239" s="14">
        <v>1.8799999999999899</v>
      </c>
      <c r="K239" s="14">
        <v>1.84</v>
      </c>
      <c r="L239" s="14">
        <v>0.27</v>
      </c>
      <c r="M239" s="14">
        <v>1.03</v>
      </c>
      <c r="N239" s="14">
        <v>3.74</v>
      </c>
      <c r="O239" s="14">
        <v>0.97999999999999898</v>
      </c>
      <c r="P239" s="14">
        <v>2.77999999999999</v>
      </c>
      <c r="Q239">
        <v>472</v>
      </c>
    </row>
    <row r="240" spans="3:17" x14ac:dyDescent="0.25">
      <c r="C240" s="15" t="s">
        <v>277</v>
      </c>
      <c r="D240" s="14" t="s">
        <v>13</v>
      </c>
      <c r="E240" s="14">
        <v>14.1</v>
      </c>
      <c r="F240" s="14">
        <v>2.02</v>
      </c>
      <c r="G240" s="14">
        <v>2.3999999999999901</v>
      </c>
      <c r="H240" s="14">
        <v>18.8</v>
      </c>
      <c r="I240" s="14">
        <v>103</v>
      </c>
      <c r="J240" s="14">
        <v>2.75</v>
      </c>
      <c r="K240" s="14">
        <v>2.9199999999999902</v>
      </c>
      <c r="L240" s="14">
        <v>0.32</v>
      </c>
      <c r="M240" s="14">
        <v>2.3799999999999901</v>
      </c>
      <c r="N240" s="14">
        <v>6.2</v>
      </c>
      <c r="O240" s="14">
        <v>1.07</v>
      </c>
      <c r="P240" s="14">
        <v>2.75</v>
      </c>
      <c r="Q240">
        <v>1060</v>
      </c>
    </row>
    <row r="241" spans="3:17" x14ac:dyDescent="0.25">
      <c r="C241" s="15" t="s">
        <v>308</v>
      </c>
      <c r="D241" s="14" t="s">
        <v>14</v>
      </c>
      <c r="E241" s="14">
        <v>12.6999999999999</v>
      </c>
      <c r="F241" s="14">
        <v>3.87</v>
      </c>
      <c r="G241" s="14">
        <v>2.3999999999999901</v>
      </c>
      <c r="H241" s="14">
        <v>23</v>
      </c>
      <c r="I241" s="14">
        <v>101</v>
      </c>
      <c r="J241" s="14">
        <v>2.83</v>
      </c>
      <c r="K241" s="14">
        <v>2.5499999999999901</v>
      </c>
      <c r="L241" s="14">
        <v>0.42999999999999899</v>
      </c>
      <c r="M241" s="14">
        <v>1.95</v>
      </c>
      <c r="N241" s="14">
        <v>2.5699999999999901</v>
      </c>
      <c r="O241" s="14">
        <v>1.18999999999999</v>
      </c>
      <c r="P241" s="14">
        <v>3.1299999999999901</v>
      </c>
      <c r="Q241">
        <v>463</v>
      </c>
    </row>
    <row r="242" spans="3:17" x14ac:dyDescent="0.25">
      <c r="C242" s="15" t="s">
        <v>243</v>
      </c>
      <c r="D242" s="14" t="s">
        <v>15</v>
      </c>
      <c r="E242" s="14">
        <v>13.4</v>
      </c>
      <c r="F242" s="14">
        <v>4.5999999999999899</v>
      </c>
      <c r="G242" s="14">
        <v>2.8599999999999901</v>
      </c>
      <c r="H242" s="14">
        <v>25</v>
      </c>
      <c r="I242" s="14">
        <v>112</v>
      </c>
      <c r="J242" s="14">
        <v>1.98</v>
      </c>
      <c r="K242" s="14">
        <v>0.95999999999999897</v>
      </c>
      <c r="L242" s="14">
        <v>0.27</v>
      </c>
      <c r="M242" s="14">
        <v>1.1100000000000001</v>
      </c>
      <c r="N242" s="14">
        <v>8.5</v>
      </c>
      <c r="O242" s="14">
        <v>0.67</v>
      </c>
      <c r="P242" s="14">
        <v>1.9199999999999899</v>
      </c>
      <c r="Q242">
        <v>630</v>
      </c>
    </row>
    <row r="243" spans="3:17" x14ac:dyDescent="0.25">
      <c r="C243" s="15" t="s">
        <v>86</v>
      </c>
      <c r="D243" s="14" t="s">
        <v>13</v>
      </c>
      <c r="E243" s="14">
        <v>13.75</v>
      </c>
      <c r="F243" s="14">
        <v>1.73</v>
      </c>
      <c r="G243" s="14">
        <v>2.41</v>
      </c>
      <c r="H243" s="14">
        <v>16</v>
      </c>
      <c r="I243" s="14">
        <v>89</v>
      </c>
      <c r="J243" s="14">
        <v>2.6</v>
      </c>
      <c r="K243" s="14">
        <v>2.75999999999999</v>
      </c>
      <c r="L243" s="14">
        <v>0.28999999999999898</v>
      </c>
      <c r="M243" s="14">
        <v>1.81</v>
      </c>
      <c r="N243" s="14">
        <v>5.5999999999999899</v>
      </c>
      <c r="O243" s="14">
        <v>1.1499999999999899</v>
      </c>
      <c r="P243" s="14">
        <v>2.8999999999999901</v>
      </c>
      <c r="Q243">
        <v>1320</v>
      </c>
    </row>
    <row r="244" spans="3:17" x14ac:dyDescent="0.25">
      <c r="C244" s="15" t="s">
        <v>296</v>
      </c>
      <c r="D244" s="14" t="s">
        <v>14</v>
      </c>
      <c r="E244" s="14">
        <v>12.3699999999999</v>
      </c>
      <c r="F244" s="14">
        <v>1.1699999999999899</v>
      </c>
      <c r="G244" s="14">
        <v>1.9199999999999899</v>
      </c>
      <c r="H244" s="14">
        <v>19.600000000000001</v>
      </c>
      <c r="I244" s="14">
        <v>78</v>
      </c>
      <c r="J244" s="14">
        <v>2.1099999999999901</v>
      </c>
      <c r="K244" s="14">
        <v>2</v>
      </c>
      <c r="L244" s="14">
        <v>0.27</v>
      </c>
      <c r="M244" s="14">
        <v>1.04</v>
      </c>
      <c r="N244" s="14">
        <v>4.6799999999999899</v>
      </c>
      <c r="O244" s="14">
        <v>1.1200000000000001</v>
      </c>
      <c r="P244" s="14">
        <v>3.48</v>
      </c>
      <c r="Q244">
        <v>510</v>
      </c>
    </row>
    <row r="245" spans="3:17" x14ac:dyDescent="0.25">
      <c r="C245" s="15" t="s">
        <v>316</v>
      </c>
      <c r="D245" s="14" t="s">
        <v>14</v>
      </c>
      <c r="E245" s="14">
        <v>11.65</v>
      </c>
      <c r="F245" s="14">
        <v>1.6699999999999899</v>
      </c>
      <c r="G245" s="14">
        <v>2.62</v>
      </c>
      <c r="H245" s="14">
        <v>26</v>
      </c>
      <c r="I245" s="14">
        <v>88</v>
      </c>
      <c r="J245" s="14">
        <v>1.9199999999999899</v>
      </c>
      <c r="K245" s="14">
        <v>1.61</v>
      </c>
      <c r="L245" s="14">
        <v>0.4</v>
      </c>
      <c r="M245" s="14">
        <v>1.34</v>
      </c>
      <c r="N245" s="14">
        <v>2.6</v>
      </c>
      <c r="O245" s="14">
        <v>1.36</v>
      </c>
      <c r="P245" s="14">
        <v>3.21</v>
      </c>
      <c r="Q245">
        <v>562</v>
      </c>
    </row>
    <row r="246" spans="3:17" x14ac:dyDescent="0.25">
      <c r="C246" s="15" t="s">
        <v>358</v>
      </c>
      <c r="D246" s="14" t="s">
        <v>14</v>
      </c>
      <c r="E246" s="14">
        <v>12.0399999999999</v>
      </c>
      <c r="F246" s="14">
        <v>4.2999999999999901</v>
      </c>
      <c r="G246" s="14">
        <v>2.3799999999999901</v>
      </c>
      <c r="H246" s="14">
        <v>22</v>
      </c>
      <c r="I246" s="14">
        <v>80</v>
      </c>
      <c r="J246" s="14">
        <v>2.1</v>
      </c>
      <c r="K246" s="14">
        <v>1.75</v>
      </c>
      <c r="L246" s="14">
        <v>0.41999999999999899</v>
      </c>
      <c r="M246" s="14">
        <v>1.35</v>
      </c>
      <c r="N246" s="14">
        <v>2.6</v>
      </c>
      <c r="O246" s="14">
        <v>0.79</v>
      </c>
      <c r="P246" s="14">
        <v>2.5699999999999901</v>
      </c>
      <c r="Q246">
        <v>580</v>
      </c>
    </row>
    <row r="247" spans="3:17" x14ac:dyDescent="0.25">
      <c r="C247" s="15" t="s">
        <v>391</v>
      </c>
      <c r="D247" s="14" t="s">
        <v>15</v>
      </c>
      <c r="E247" s="14">
        <v>12.85</v>
      </c>
      <c r="F247" s="14">
        <v>3.27</v>
      </c>
      <c r="G247" s="14">
        <v>2.58</v>
      </c>
      <c r="H247" s="14">
        <v>22</v>
      </c>
      <c r="I247" s="14">
        <v>106</v>
      </c>
      <c r="J247" s="14">
        <v>1.6499999999999899</v>
      </c>
      <c r="K247" s="14">
        <v>0.59999999999999898</v>
      </c>
      <c r="L247" s="14">
        <v>0.59999999999999898</v>
      </c>
      <c r="M247" s="14">
        <v>0.95999999999999897</v>
      </c>
      <c r="N247" s="14">
        <v>5.58</v>
      </c>
      <c r="O247" s="14">
        <v>0.87</v>
      </c>
      <c r="P247" s="14">
        <v>2.1099999999999901</v>
      </c>
      <c r="Q247">
        <v>570</v>
      </c>
    </row>
    <row r="248" spans="3:17" x14ac:dyDescent="0.25">
      <c r="C248" s="15" t="s">
        <v>387</v>
      </c>
      <c r="D248" s="14" t="s">
        <v>15</v>
      </c>
      <c r="E248" s="14">
        <v>14.34</v>
      </c>
      <c r="F248" s="14">
        <v>1.6799999999999899</v>
      </c>
      <c r="G248" s="14">
        <v>2.7</v>
      </c>
      <c r="H248" s="14">
        <v>25</v>
      </c>
      <c r="I248" s="14">
        <v>98</v>
      </c>
      <c r="J248" s="14">
        <v>2.7999999999999901</v>
      </c>
      <c r="K248" s="14">
        <v>1.31</v>
      </c>
      <c r="L248" s="14">
        <v>0.53</v>
      </c>
      <c r="M248" s="14">
        <v>2.7</v>
      </c>
      <c r="N248" s="14">
        <v>13</v>
      </c>
      <c r="O248" s="14">
        <v>0.56999999999999895</v>
      </c>
      <c r="P248" s="14">
        <v>1.96</v>
      </c>
      <c r="Q248">
        <v>660</v>
      </c>
    </row>
    <row r="249" spans="3:17" x14ac:dyDescent="0.25">
      <c r="C249" s="15" t="s">
        <v>111</v>
      </c>
      <c r="D249" s="14" t="s">
        <v>13</v>
      </c>
      <c r="E249" s="14">
        <v>13.05</v>
      </c>
      <c r="F249" s="14">
        <v>1.6499999999999899</v>
      </c>
      <c r="G249" s="14">
        <v>2.5499999999999901</v>
      </c>
      <c r="H249" s="14">
        <v>18</v>
      </c>
      <c r="I249" s="14">
        <v>98</v>
      </c>
      <c r="J249" s="14">
        <v>2.4500000000000002</v>
      </c>
      <c r="K249" s="14">
        <v>2.4300000000000002</v>
      </c>
      <c r="L249" s="14">
        <v>0.28999999999999898</v>
      </c>
      <c r="M249" s="14">
        <v>1.43999999999999</v>
      </c>
      <c r="N249" s="14">
        <v>4.25</v>
      </c>
      <c r="O249" s="14">
        <v>1.1200000000000001</v>
      </c>
      <c r="P249" s="14">
        <v>2.50999999999999</v>
      </c>
      <c r="Q249">
        <v>1105</v>
      </c>
    </row>
    <row r="250" spans="3:17" x14ac:dyDescent="0.25">
      <c r="C250" s="15" t="s">
        <v>172</v>
      </c>
      <c r="D250" s="14" t="s">
        <v>14</v>
      </c>
      <c r="E250" s="14">
        <v>12.3699999999999</v>
      </c>
      <c r="F250" s="14">
        <v>1.07</v>
      </c>
      <c r="G250" s="14">
        <v>2.1</v>
      </c>
      <c r="H250" s="14">
        <v>18.5</v>
      </c>
      <c r="I250" s="14">
        <v>88</v>
      </c>
      <c r="J250" s="14">
        <v>3.52</v>
      </c>
      <c r="K250" s="14">
        <v>3.75</v>
      </c>
      <c r="L250" s="14">
        <v>0.23999999999999899</v>
      </c>
      <c r="M250" s="14">
        <v>1.95</v>
      </c>
      <c r="N250" s="14">
        <v>4.5</v>
      </c>
      <c r="O250" s="14">
        <v>1.04</v>
      </c>
      <c r="P250" s="14">
        <v>2.77</v>
      </c>
      <c r="Q250">
        <v>660</v>
      </c>
    </row>
    <row r="251" spans="3:17" x14ac:dyDescent="0.25">
      <c r="C251" s="15" t="s">
        <v>321</v>
      </c>
      <c r="D251" s="14" t="s">
        <v>14</v>
      </c>
      <c r="E251" s="14">
        <v>12.69</v>
      </c>
      <c r="F251" s="14">
        <v>1.53</v>
      </c>
      <c r="G251" s="14">
        <v>2.25999999999999</v>
      </c>
      <c r="H251" s="14">
        <v>20.6999999999999</v>
      </c>
      <c r="I251" s="14">
        <v>80</v>
      </c>
      <c r="J251" s="14">
        <v>1.3799999999999899</v>
      </c>
      <c r="K251" s="14">
        <v>1.46</v>
      </c>
      <c r="L251" s="14">
        <v>0.57999999999999896</v>
      </c>
      <c r="M251" s="14">
        <v>1.62</v>
      </c>
      <c r="N251" s="14">
        <v>3.0499999999999901</v>
      </c>
      <c r="O251" s="14">
        <v>0.95999999999999897</v>
      </c>
      <c r="P251" s="14">
        <v>2.06</v>
      </c>
      <c r="Q251">
        <v>495</v>
      </c>
    </row>
    <row r="252" spans="3:17" x14ac:dyDescent="0.25">
      <c r="C252" s="15" t="s">
        <v>211</v>
      </c>
      <c r="D252" s="14" t="s">
        <v>15</v>
      </c>
      <c r="E252" s="14">
        <v>12.5299999999999</v>
      </c>
      <c r="F252" s="14">
        <v>5.50999999999999</v>
      </c>
      <c r="G252" s="14">
        <v>2.64</v>
      </c>
      <c r="H252" s="14">
        <v>25</v>
      </c>
      <c r="I252" s="14">
        <v>96</v>
      </c>
      <c r="J252" s="14">
        <v>1.79</v>
      </c>
      <c r="K252" s="14">
        <v>0.59999999999999898</v>
      </c>
      <c r="L252" s="14">
        <v>0.63</v>
      </c>
      <c r="M252" s="14">
        <v>1.1000000000000001</v>
      </c>
      <c r="N252" s="14">
        <v>5</v>
      </c>
      <c r="O252" s="14">
        <v>0.81999999999999895</v>
      </c>
      <c r="P252" s="14">
        <v>1.68999999999999</v>
      </c>
      <c r="Q252">
        <v>515</v>
      </c>
    </row>
    <row r="253" spans="3:17" x14ac:dyDescent="0.25">
      <c r="C253" s="15" t="s">
        <v>217</v>
      </c>
      <c r="D253" s="14" t="s">
        <v>15</v>
      </c>
      <c r="E253" s="14">
        <v>13.6199999999999</v>
      </c>
      <c r="F253" s="14">
        <v>4.95</v>
      </c>
      <c r="G253" s="14">
        <v>2.35</v>
      </c>
      <c r="H253" s="14">
        <v>20</v>
      </c>
      <c r="I253" s="14">
        <v>92</v>
      </c>
      <c r="J253" s="14">
        <v>2</v>
      </c>
      <c r="K253" s="14">
        <v>0.8</v>
      </c>
      <c r="L253" s="14">
        <v>0.46999999999999897</v>
      </c>
      <c r="M253" s="14">
        <v>1.02</v>
      </c>
      <c r="N253" s="14">
        <v>4.4000000000000004</v>
      </c>
      <c r="O253" s="14">
        <v>0.91</v>
      </c>
      <c r="P253" s="14">
        <v>2.0499999999999901</v>
      </c>
      <c r="Q253">
        <v>550</v>
      </c>
    </row>
    <row r="254" spans="3:17" x14ac:dyDescent="0.25">
      <c r="C254" s="15" t="s">
        <v>324</v>
      </c>
      <c r="D254" s="14" t="s">
        <v>14</v>
      </c>
      <c r="E254" s="14">
        <v>12.47</v>
      </c>
      <c r="F254" s="14">
        <v>1.52</v>
      </c>
      <c r="G254" s="14">
        <v>2.2000000000000002</v>
      </c>
      <c r="H254" s="14">
        <v>19</v>
      </c>
      <c r="I254" s="14">
        <v>162</v>
      </c>
      <c r="J254" s="14">
        <v>2.5</v>
      </c>
      <c r="K254" s="14">
        <v>2.27</v>
      </c>
      <c r="L254" s="14">
        <v>0.32</v>
      </c>
      <c r="M254" s="14">
        <v>3.27999999999999</v>
      </c>
      <c r="N254" s="14">
        <v>2.6</v>
      </c>
      <c r="O254" s="14">
        <v>1.1599999999999899</v>
      </c>
      <c r="P254" s="14">
        <v>2.6299999999999901</v>
      </c>
      <c r="Q254">
        <v>937</v>
      </c>
    </row>
    <row r="255" spans="3:17" x14ac:dyDescent="0.25">
      <c r="C255" s="15" t="s">
        <v>104</v>
      </c>
      <c r="D255" s="14" t="s">
        <v>13</v>
      </c>
      <c r="E255" s="14">
        <v>13.73</v>
      </c>
      <c r="F255" s="14">
        <v>1.5</v>
      </c>
      <c r="G255" s="14">
        <v>2.7</v>
      </c>
      <c r="H255" s="14">
        <v>22.5</v>
      </c>
      <c r="I255" s="14">
        <v>101</v>
      </c>
      <c r="J255" s="14">
        <v>3</v>
      </c>
      <c r="K255" s="14">
        <v>3.25</v>
      </c>
      <c r="L255" s="14">
        <v>0.28999999999999898</v>
      </c>
      <c r="M255" s="14">
        <v>2.3799999999999901</v>
      </c>
      <c r="N255" s="14">
        <v>5.7</v>
      </c>
      <c r="O255" s="14">
        <v>1.18999999999999</v>
      </c>
      <c r="P255" s="14">
        <v>2.71</v>
      </c>
      <c r="Q255">
        <v>1285</v>
      </c>
    </row>
    <row r="256" spans="3:17" x14ac:dyDescent="0.25">
      <c r="C256" s="15" t="s">
        <v>100</v>
      </c>
      <c r="D256" s="14" t="s">
        <v>13</v>
      </c>
      <c r="E256" s="14">
        <v>13.39</v>
      </c>
      <c r="F256" s="14">
        <v>1.77</v>
      </c>
      <c r="G256" s="14">
        <v>2.62</v>
      </c>
      <c r="H256" s="14">
        <v>16.100000000000001</v>
      </c>
      <c r="I256" s="14">
        <v>93</v>
      </c>
      <c r="J256" s="14">
        <v>2.85</v>
      </c>
      <c r="K256" s="14">
        <v>2.9399999999999902</v>
      </c>
      <c r="L256" s="14">
        <v>0.34</v>
      </c>
      <c r="M256" s="14">
        <v>1.45</v>
      </c>
      <c r="N256" s="14">
        <v>4.7999999999999901</v>
      </c>
      <c r="O256" s="14">
        <v>0.92</v>
      </c>
      <c r="P256" s="14">
        <v>3.22</v>
      </c>
      <c r="Q256">
        <v>1195</v>
      </c>
    </row>
    <row r="257" spans="3:17" x14ac:dyDescent="0.25">
      <c r="C257" s="15" t="s">
        <v>167</v>
      </c>
      <c r="D257" s="14" t="s">
        <v>14</v>
      </c>
      <c r="E257" s="14">
        <v>12.2899999999999</v>
      </c>
      <c r="F257" s="14">
        <v>2.83</v>
      </c>
      <c r="G257" s="14">
        <v>2.2200000000000002</v>
      </c>
      <c r="H257" s="14">
        <v>18</v>
      </c>
      <c r="I257" s="14">
        <v>88</v>
      </c>
      <c r="J257" s="14">
        <v>2.4500000000000002</v>
      </c>
      <c r="K257" s="14">
        <v>2.25</v>
      </c>
      <c r="L257" s="14">
        <v>0.25</v>
      </c>
      <c r="M257" s="14">
        <v>1.99</v>
      </c>
      <c r="N257" s="14">
        <v>2.1499999999999901</v>
      </c>
      <c r="O257" s="14">
        <v>1.1499999999999899</v>
      </c>
      <c r="P257" s="14">
        <v>3.2999999999999901</v>
      </c>
      <c r="Q257">
        <v>290</v>
      </c>
    </row>
    <row r="258" spans="3:17" x14ac:dyDescent="0.25">
      <c r="C258" s="15" t="s">
        <v>267</v>
      </c>
      <c r="D258" s="14" t="s">
        <v>13</v>
      </c>
      <c r="E258" s="14">
        <v>13.07</v>
      </c>
      <c r="F258" s="14">
        <v>1.5</v>
      </c>
      <c r="G258" s="14">
        <v>2.1</v>
      </c>
      <c r="H258" s="14">
        <v>15.5</v>
      </c>
      <c r="I258" s="14">
        <v>98</v>
      </c>
      <c r="J258" s="14">
        <v>2.3999999999999901</v>
      </c>
      <c r="K258" s="14">
        <v>2.64</v>
      </c>
      <c r="L258" s="14">
        <v>0.28000000000000003</v>
      </c>
      <c r="M258" s="14">
        <v>1.37</v>
      </c>
      <c r="N258" s="14">
        <v>3.7</v>
      </c>
      <c r="O258" s="14">
        <v>1.1799999999999899</v>
      </c>
      <c r="P258" s="14">
        <v>2.6899999999999902</v>
      </c>
      <c r="Q258">
        <v>1020</v>
      </c>
    </row>
    <row r="259" spans="3:17" x14ac:dyDescent="0.25">
      <c r="C259" s="15" t="s">
        <v>87</v>
      </c>
      <c r="D259" s="14" t="s">
        <v>13</v>
      </c>
      <c r="E259" s="14">
        <v>14.75</v>
      </c>
      <c r="F259" s="14">
        <v>1.73</v>
      </c>
      <c r="G259" s="14">
        <v>2.39</v>
      </c>
      <c r="H259" s="14">
        <v>11.4</v>
      </c>
      <c r="I259" s="14">
        <v>91</v>
      </c>
      <c r="J259" s="14">
        <v>3.1</v>
      </c>
      <c r="K259" s="14">
        <v>3.6899999999999902</v>
      </c>
      <c r="L259" s="14">
        <v>0.42999999999999899</v>
      </c>
      <c r="M259" s="14">
        <v>2.81</v>
      </c>
      <c r="N259" s="14">
        <v>5.4</v>
      </c>
      <c r="O259" s="14">
        <v>1.25</v>
      </c>
      <c r="P259" s="14">
        <v>2.73</v>
      </c>
      <c r="Q259">
        <v>1150</v>
      </c>
    </row>
    <row r="260" spans="3:17" x14ac:dyDescent="0.25">
      <c r="C260" s="15" t="s">
        <v>90</v>
      </c>
      <c r="D260" s="14" t="s">
        <v>13</v>
      </c>
      <c r="E260" s="14">
        <v>14.3</v>
      </c>
      <c r="F260" s="14">
        <v>1.9199999999999899</v>
      </c>
      <c r="G260" s="14">
        <v>2.72</v>
      </c>
      <c r="H260" s="14">
        <v>20</v>
      </c>
      <c r="I260" s="14">
        <v>120</v>
      </c>
      <c r="J260" s="14">
        <v>2.7999999999999901</v>
      </c>
      <c r="K260" s="14">
        <v>3.14</v>
      </c>
      <c r="L260" s="14">
        <v>0.33</v>
      </c>
      <c r="M260" s="14">
        <v>1.97</v>
      </c>
      <c r="N260" s="14">
        <v>6.2</v>
      </c>
      <c r="O260" s="14">
        <v>1.07</v>
      </c>
      <c r="P260" s="14">
        <v>2.6499999999999901</v>
      </c>
      <c r="Q260">
        <v>1280</v>
      </c>
    </row>
    <row r="261" spans="3:17" x14ac:dyDescent="0.25">
      <c r="C261" s="15" t="s">
        <v>145</v>
      </c>
      <c r="D261" s="14" t="s">
        <v>14</v>
      </c>
      <c r="E261" s="14">
        <v>13.8599999999999</v>
      </c>
      <c r="F261" s="14">
        <v>1.51</v>
      </c>
      <c r="G261" s="14">
        <v>2.6699999999999902</v>
      </c>
      <c r="H261" s="14">
        <v>25</v>
      </c>
      <c r="I261" s="14">
        <v>86</v>
      </c>
      <c r="J261" s="14">
        <v>2.95</v>
      </c>
      <c r="K261" s="14">
        <v>2.8599999999999901</v>
      </c>
      <c r="L261" s="14">
        <v>0.20999999999999899</v>
      </c>
      <c r="M261" s="14">
        <v>1.87</v>
      </c>
      <c r="N261" s="14">
        <v>3.3799999999999901</v>
      </c>
      <c r="O261" s="14">
        <v>1.36</v>
      </c>
      <c r="P261" s="14">
        <v>3.16</v>
      </c>
      <c r="Q261">
        <v>410</v>
      </c>
    </row>
    <row r="262" spans="3:17" x14ac:dyDescent="0.25">
      <c r="C262" s="15" t="s">
        <v>77</v>
      </c>
      <c r="D262" s="14" t="s">
        <v>13</v>
      </c>
      <c r="E262" s="14">
        <v>14.3699999999999</v>
      </c>
      <c r="F262" s="14">
        <v>1.95</v>
      </c>
      <c r="G262" s="14">
        <v>2.5</v>
      </c>
      <c r="H262" s="14">
        <v>16.8</v>
      </c>
      <c r="I262" s="14">
        <v>113</v>
      </c>
      <c r="J262" s="14">
        <v>3.85</v>
      </c>
      <c r="K262" s="14">
        <v>3.49</v>
      </c>
      <c r="L262" s="14">
        <v>0.23999999999999899</v>
      </c>
      <c r="M262" s="14">
        <v>2.1800000000000002</v>
      </c>
      <c r="N262" s="14">
        <v>7.7999999999999901</v>
      </c>
      <c r="O262" s="14">
        <v>0.85999999999999899</v>
      </c>
      <c r="P262" s="14">
        <v>3.45</v>
      </c>
      <c r="Q262">
        <v>1480</v>
      </c>
    </row>
    <row r="263" spans="3:17" x14ac:dyDescent="0.25">
      <c r="C263" s="15" t="s">
        <v>238</v>
      </c>
      <c r="D263" s="14" t="s">
        <v>15</v>
      </c>
      <c r="E263" s="14">
        <v>13.7799999999999</v>
      </c>
      <c r="F263" s="14">
        <v>2.75999999999999</v>
      </c>
      <c r="G263" s="14">
        <v>2.2999999999999901</v>
      </c>
      <c r="H263" s="14">
        <v>22</v>
      </c>
      <c r="I263" s="14">
        <v>90</v>
      </c>
      <c r="J263" s="14">
        <v>1.35</v>
      </c>
      <c r="K263" s="14">
        <v>0.68</v>
      </c>
      <c r="L263" s="14">
        <v>0.40999999999999898</v>
      </c>
      <c r="M263" s="14">
        <v>1.03</v>
      </c>
      <c r="N263" s="14">
        <v>9.58</v>
      </c>
      <c r="O263" s="14">
        <v>0.69999999999999896</v>
      </c>
      <c r="P263" s="14">
        <v>1.6799999999999899</v>
      </c>
      <c r="Q263">
        <v>615</v>
      </c>
    </row>
    <row r="264" spans="3:17" x14ac:dyDescent="0.25">
      <c r="C264" s="15" t="s">
        <v>382</v>
      </c>
      <c r="D264" s="14" t="s">
        <v>15</v>
      </c>
      <c r="E264" s="14">
        <v>13.23</v>
      </c>
      <c r="F264" s="14">
        <v>3.2999999999999901</v>
      </c>
      <c r="G264" s="14">
        <v>2.27999999999999</v>
      </c>
      <c r="H264" s="14">
        <v>18.5</v>
      </c>
      <c r="I264" s="14">
        <v>98</v>
      </c>
      <c r="J264" s="14">
        <v>1.8</v>
      </c>
      <c r="K264" s="14">
        <v>0.82999999999999896</v>
      </c>
      <c r="L264" s="14">
        <v>0.60999999999999899</v>
      </c>
      <c r="M264" s="14">
        <v>1.87</v>
      </c>
      <c r="N264" s="14">
        <v>10.52</v>
      </c>
      <c r="O264" s="14">
        <v>0.56000000000000005</v>
      </c>
      <c r="P264" s="14">
        <v>1.51</v>
      </c>
      <c r="Q264">
        <v>675</v>
      </c>
    </row>
    <row r="265" spans="3:17" x14ac:dyDescent="0.25">
      <c r="C265" s="15" t="s">
        <v>116</v>
      </c>
      <c r="D265" s="14" t="s">
        <v>13</v>
      </c>
      <c r="E265" s="14">
        <v>13.88</v>
      </c>
      <c r="F265" s="14">
        <v>1.8899999999999899</v>
      </c>
      <c r="G265" s="14">
        <v>2.5899999999999901</v>
      </c>
      <c r="H265" s="14">
        <v>15</v>
      </c>
      <c r="I265" s="14">
        <v>101</v>
      </c>
      <c r="J265" s="14">
        <v>3.25</v>
      </c>
      <c r="K265" s="14">
        <v>3.56</v>
      </c>
      <c r="L265" s="14">
        <v>0.17</v>
      </c>
      <c r="M265" s="14">
        <v>1.7</v>
      </c>
      <c r="N265" s="14">
        <v>5.4299999999999899</v>
      </c>
      <c r="O265" s="14">
        <v>0.88</v>
      </c>
      <c r="P265" s="14">
        <v>3.56</v>
      </c>
      <c r="Q265">
        <v>1095</v>
      </c>
    </row>
    <row r="266" spans="3:17" x14ac:dyDescent="0.25">
      <c r="C266" s="15" t="s">
        <v>310</v>
      </c>
      <c r="D266" s="14" t="s">
        <v>14</v>
      </c>
      <c r="E266" s="14">
        <v>12.72</v>
      </c>
      <c r="F266" s="14">
        <v>1.81</v>
      </c>
      <c r="G266" s="14">
        <v>2.2000000000000002</v>
      </c>
      <c r="H266" s="14">
        <v>18.8</v>
      </c>
      <c r="I266" s="14">
        <v>86</v>
      </c>
      <c r="J266" s="14">
        <v>2.2000000000000002</v>
      </c>
      <c r="K266" s="14">
        <v>2.52999999999999</v>
      </c>
      <c r="L266" s="14">
        <v>0.26</v>
      </c>
      <c r="M266" s="14">
        <v>1.77</v>
      </c>
      <c r="N266" s="14">
        <v>3.8999999999999901</v>
      </c>
      <c r="O266" s="14">
        <v>1.1599999999999899</v>
      </c>
      <c r="P266" s="14">
        <v>3.14</v>
      </c>
      <c r="Q266">
        <v>714</v>
      </c>
    </row>
    <row r="267" spans="3:17" x14ac:dyDescent="0.25">
      <c r="C267" s="15" t="s">
        <v>109</v>
      </c>
      <c r="D267" s="14" t="s">
        <v>13</v>
      </c>
      <c r="E267" s="14">
        <v>13.48</v>
      </c>
      <c r="F267" s="14">
        <v>1.81</v>
      </c>
      <c r="G267" s="14">
        <v>2.41</v>
      </c>
      <c r="H267" s="14">
        <v>20.5</v>
      </c>
      <c r="I267" s="14">
        <v>100</v>
      </c>
      <c r="J267" s="14">
        <v>2.7</v>
      </c>
      <c r="K267" s="14">
        <v>2.98</v>
      </c>
      <c r="L267" s="14">
        <v>0.26</v>
      </c>
      <c r="M267" s="14">
        <v>1.86</v>
      </c>
      <c r="N267" s="14">
        <v>5.0999999999999899</v>
      </c>
      <c r="O267" s="14">
        <v>1.04</v>
      </c>
      <c r="P267" s="14">
        <v>3.47</v>
      </c>
      <c r="Q267">
        <v>920</v>
      </c>
    </row>
    <row r="268" spans="3:17" x14ac:dyDescent="0.25">
      <c r="C268" s="15" t="s">
        <v>348</v>
      </c>
      <c r="D268" s="14" t="s">
        <v>14</v>
      </c>
      <c r="E268" s="14">
        <v>12</v>
      </c>
      <c r="F268" s="14">
        <v>3.43</v>
      </c>
      <c r="G268" s="14">
        <v>2</v>
      </c>
      <c r="H268" s="14">
        <v>19</v>
      </c>
      <c r="I268" s="14">
        <v>87</v>
      </c>
      <c r="J268" s="14">
        <v>2</v>
      </c>
      <c r="K268" s="14">
        <v>1.6399999999999899</v>
      </c>
      <c r="L268" s="14">
        <v>0.37</v>
      </c>
      <c r="M268" s="14">
        <v>1.87</v>
      </c>
      <c r="N268" s="14">
        <v>1.28</v>
      </c>
      <c r="O268" s="14">
        <v>0.93</v>
      </c>
      <c r="P268" s="14">
        <v>3.0499999999999901</v>
      </c>
      <c r="Q268">
        <v>564</v>
      </c>
    </row>
    <row r="269" spans="3:17" x14ac:dyDescent="0.25">
      <c r="C269" s="15" t="s">
        <v>189</v>
      </c>
      <c r="D269" s="14" t="s">
        <v>14</v>
      </c>
      <c r="E269" s="14">
        <v>11.0299999999999</v>
      </c>
      <c r="F269" s="14">
        <v>1.51</v>
      </c>
      <c r="G269" s="14">
        <v>2.2000000000000002</v>
      </c>
      <c r="H269" s="14">
        <v>21.5</v>
      </c>
      <c r="I269" s="14">
        <v>85</v>
      </c>
      <c r="J269" s="14">
        <v>2.46</v>
      </c>
      <c r="K269" s="14">
        <v>2.1699999999999902</v>
      </c>
      <c r="L269" s="14">
        <v>0.52</v>
      </c>
      <c r="M269" s="14">
        <v>2.00999999999999</v>
      </c>
      <c r="N269" s="14">
        <v>1.8999999999999899</v>
      </c>
      <c r="O269" s="14">
        <v>1.71</v>
      </c>
      <c r="P269" s="14">
        <v>2.87</v>
      </c>
      <c r="Q269">
        <v>407</v>
      </c>
    </row>
    <row r="270" spans="3:17" x14ac:dyDescent="0.25">
      <c r="C270" s="15" t="s">
        <v>352</v>
      </c>
      <c r="D270" s="14" t="s">
        <v>14</v>
      </c>
      <c r="E270" s="14">
        <v>13.05</v>
      </c>
      <c r="F270" s="14">
        <v>5.7999999999999901</v>
      </c>
      <c r="G270" s="14">
        <v>2.1299999999999901</v>
      </c>
      <c r="H270" s="14">
        <v>21.5</v>
      </c>
      <c r="I270" s="14">
        <v>86</v>
      </c>
      <c r="J270" s="14">
        <v>2.62</v>
      </c>
      <c r="K270" s="14">
        <v>2.6499999999999901</v>
      </c>
      <c r="L270" s="14">
        <v>0.36538226299694199</v>
      </c>
      <c r="M270" s="14">
        <v>2.00999999999999</v>
      </c>
      <c r="N270" s="14">
        <v>2.6</v>
      </c>
      <c r="O270" s="14">
        <v>0.72999999999999898</v>
      </c>
      <c r="P270" s="14">
        <v>3.1</v>
      </c>
      <c r="Q270">
        <v>380</v>
      </c>
    </row>
    <row r="271" spans="3:17" x14ac:dyDescent="0.25">
      <c r="C271" s="15" t="s">
        <v>83</v>
      </c>
      <c r="D271" s="14" t="s">
        <v>13</v>
      </c>
      <c r="E271" s="14">
        <v>13.8599999999999</v>
      </c>
      <c r="F271" s="14">
        <v>1.35</v>
      </c>
      <c r="G271" s="14">
        <v>2.27</v>
      </c>
      <c r="H271" s="14">
        <v>16</v>
      </c>
      <c r="I271" s="14">
        <v>98</v>
      </c>
      <c r="J271" s="14">
        <v>2.98</v>
      </c>
      <c r="K271" s="14">
        <v>3.1499999999999901</v>
      </c>
      <c r="L271" s="14">
        <v>0.22</v>
      </c>
      <c r="M271" s="14">
        <v>1.85</v>
      </c>
      <c r="N271" s="14">
        <v>7.21999999999999</v>
      </c>
      <c r="O271" s="14">
        <v>1.01</v>
      </c>
      <c r="P271" s="14">
        <v>3.5499999999999901</v>
      </c>
      <c r="Q271">
        <v>1045</v>
      </c>
    </row>
    <row r="272" spans="3:17" x14ac:dyDescent="0.25">
      <c r="C272" s="15" t="s">
        <v>79</v>
      </c>
      <c r="D272" s="14" t="s">
        <v>13</v>
      </c>
      <c r="E272" s="14">
        <v>14.1999999999999</v>
      </c>
      <c r="F272" s="14">
        <v>1.76</v>
      </c>
      <c r="G272" s="14">
        <v>2.4500000000000002</v>
      </c>
      <c r="H272" s="14">
        <v>15.1999999999999</v>
      </c>
      <c r="I272" s="14">
        <v>112</v>
      </c>
      <c r="J272" s="14">
        <v>3.27</v>
      </c>
      <c r="K272" s="14">
        <v>3.39</v>
      </c>
      <c r="L272" s="14">
        <v>0.34</v>
      </c>
      <c r="M272" s="14">
        <v>1.97</v>
      </c>
      <c r="N272" s="14">
        <v>6.75</v>
      </c>
      <c r="O272" s="14">
        <v>1.05</v>
      </c>
      <c r="P272" s="14">
        <v>2.85</v>
      </c>
      <c r="Q272">
        <v>1450</v>
      </c>
    </row>
    <row r="273" spans="3:17" x14ac:dyDescent="0.25">
      <c r="C273" s="15" t="s">
        <v>137</v>
      </c>
      <c r="D273" s="14" t="s">
        <v>14</v>
      </c>
      <c r="E273" s="14">
        <v>12.3699999999999</v>
      </c>
      <c r="F273" s="14">
        <v>1.1299999999999899</v>
      </c>
      <c r="G273" s="14">
        <v>2.16</v>
      </c>
      <c r="H273" s="14">
        <v>19</v>
      </c>
      <c r="I273" s="14">
        <v>87</v>
      </c>
      <c r="J273" s="14">
        <v>3.5</v>
      </c>
      <c r="K273" s="14">
        <v>3.1</v>
      </c>
      <c r="L273" s="14">
        <v>0.19</v>
      </c>
      <c r="M273" s="14">
        <v>1.87</v>
      </c>
      <c r="N273" s="14">
        <v>4.45</v>
      </c>
      <c r="O273" s="14">
        <v>1.22</v>
      </c>
      <c r="P273" s="14">
        <v>2.87</v>
      </c>
      <c r="Q273">
        <v>420</v>
      </c>
    </row>
    <row r="274" spans="3:17" x14ac:dyDescent="0.25">
      <c r="C274" s="15" t="s">
        <v>256</v>
      </c>
      <c r="D274" s="14" t="s">
        <v>13</v>
      </c>
      <c r="E274" s="14">
        <v>13.3</v>
      </c>
      <c r="F274" s="14">
        <v>1.72</v>
      </c>
      <c r="G274" s="14">
        <v>2.14</v>
      </c>
      <c r="H274" s="14">
        <v>17</v>
      </c>
      <c r="I274" s="14">
        <v>94</v>
      </c>
      <c r="J274" s="14">
        <v>2.3999999999999901</v>
      </c>
      <c r="K274" s="14">
        <v>2.1899999999999902</v>
      </c>
      <c r="L274" s="14">
        <v>0.27</v>
      </c>
      <c r="M274" s="14">
        <v>1.35</v>
      </c>
      <c r="N274" s="14">
        <v>3.95</v>
      </c>
      <c r="O274" s="14">
        <v>1.02</v>
      </c>
      <c r="P274" s="14">
        <v>2.77</v>
      </c>
      <c r="Q274">
        <v>1285</v>
      </c>
    </row>
    <row r="275" spans="3:17" x14ac:dyDescent="0.25">
      <c r="C275" s="15" t="s">
        <v>212</v>
      </c>
      <c r="D275" s="14" t="s">
        <v>15</v>
      </c>
      <c r="E275" s="14">
        <v>13.49</v>
      </c>
      <c r="F275" s="14">
        <v>3.5899999999999901</v>
      </c>
      <c r="G275" s="14">
        <v>2.1899999999999902</v>
      </c>
      <c r="H275" s="14">
        <v>19.5</v>
      </c>
      <c r="I275" s="14">
        <v>88</v>
      </c>
      <c r="J275" s="14">
        <v>1.62</v>
      </c>
      <c r="K275" s="14">
        <v>0.47999999999999898</v>
      </c>
      <c r="L275" s="14">
        <v>0.57999999999999896</v>
      </c>
      <c r="M275" s="14">
        <v>0.88</v>
      </c>
      <c r="N275" s="14">
        <v>5.7</v>
      </c>
      <c r="O275" s="14">
        <v>0.81</v>
      </c>
      <c r="P275" s="14">
        <v>1.82</v>
      </c>
      <c r="Q275">
        <v>580</v>
      </c>
    </row>
    <row r="276" spans="3:17" x14ac:dyDescent="0.25">
      <c r="C276" s="15" t="s">
        <v>354</v>
      </c>
      <c r="D276" s="14" t="s">
        <v>14</v>
      </c>
      <c r="E276" s="14">
        <v>12.07</v>
      </c>
      <c r="F276" s="14">
        <v>2.16</v>
      </c>
      <c r="G276" s="14">
        <v>2.1699999999999902</v>
      </c>
      <c r="H276" s="14">
        <v>21</v>
      </c>
      <c r="I276" s="14">
        <v>85</v>
      </c>
      <c r="J276" s="14">
        <v>2.6</v>
      </c>
      <c r="K276" s="14">
        <v>2.6499999999999901</v>
      </c>
      <c r="L276" s="14">
        <v>0.37</v>
      </c>
      <c r="M276" s="14">
        <v>1.35</v>
      </c>
      <c r="N276" s="14">
        <v>2.75999999999999</v>
      </c>
      <c r="O276" s="14">
        <v>0.85999999999999899</v>
      </c>
      <c r="P276" s="14">
        <v>3.27999999999999</v>
      </c>
      <c r="Q276">
        <v>378</v>
      </c>
    </row>
    <row r="277" spans="3:17" x14ac:dyDescent="0.25">
      <c r="C277" s="15" t="s">
        <v>306</v>
      </c>
      <c r="D277" s="14" t="s">
        <v>14</v>
      </c>
      <c r="E277" s="14">
        <v>11.84</v>
      </c>
      <c r="F277" s="14">
        <v>2.89</v>
      </c>
      <c r="G277" s="14">
        <v>2.23</v>
      </c>
      <c r="H277" s="14">
        <v>18</v>
      </c>
      <c r="I277" s="14">
        <v>112</v>
      </c>
      <c r="J277" s="14">
        <v>1.72</v>
      </c>
      <c r="K277" s="14">
        <v>1.32</v>
      </c>
      <c r="L277" s="14">
        <v>0.42999999999999899</v>
      </c>
      <c r="M277" s="14">
        <v>0.94999999999999896</v>
      </c>
      <c r="N277" s="14">
        <v>2.6499999999999901</v>
      </c>
      <c r="O277" s="14">
        <v>0.95999999999999897</v>
      </c>
      <c r="P277" s="14">
        <v>2.52</v>
      </c>
      <c r="Q277">
        <v>500</v>
      </c>
    </row>
    <row r="278" spans="3:17" x14ac:dyDescent="0.25">
      <c r="C278" s="15" t="s">
        <v>320</v>
      </c>
      <c r="D278" s="14" t="s">
        <v>14</v>
      </c>
      <c r="E278" s="14">
        <v>12</v>
      </c>
      <c r="F278" s="14">
        <v>1.51</v>
      </c>
      <c r="G278" s="14">
        <v>2.4199999999999902</v>
      </c>
      <c r="H278" s="14">
        <v>22</v>
      </c>
      <c r="I278" s="14">
        <v>86</v>
      </c>
      <c r="J278" s="14">
        <v>1.45</v>
      </c>
      <c r="K278" s="14">
        <v>1.25</v>
      </c>
      <c r="L278" s="14">
        <v>0.5</v>
      </c>
      <c r="M278" s="14">
        <v>1.6299999999999899</v>
      </c>
      <c r="N278" s="14">
        <v>3.6</v>
      </c>
      <c r="O278" s="14">
        <v>1.05</v>
      </c>
      <c r="P278" s="14">
        <v>2.6499999999999901</v>
      </c>
      <c r="Q278">
        <v>450</v>
      </c>
    </row>
    <row r="279" spans="3:17" x14ac:dyDescent="0.25">
      <c r="C279" s="15" t="s">
        <v>235</v>
      </c>
      <c r="D279" s="14" t="s">
        <v>15</v>
      </c>
      <c r="E279" s="14">
        <v>13.69</v>
      </c>
      <c r="F279" s="14">
        <v>3.25999999999999</v>
      </c>
      <c r="G279" s="14">
        <v>2.54</v>
      </c>
      <c r="H279" s="14">
        <v>20</v>
      </c>
      <c r="I279" s="14">
        <v>107</v>
      </c>
      <c r="J279" s="14">
        <v>1.83</v>
      </c>
      <c r="K279" s="14">
        <v>0.56000000000000005</v>
      </c>
      <c r="L279" s="14">
        <v>0.5</v>
      </c>
      <c r="M279" s="14">
        <v>0.8</v>
      </c>
      <c r="N279" s="14">
        <v>5.8799999999999901</v>
      </c>
      <c r="O279" s="14">
        <v>0.95999999999999897</v>
      </c>
      <c r="P279" s="14">
        <v>1.82</v>
      </c>
      <c r="Q279">
        <v>680</v>
      </c>
    </row>
    <row r="280" spans="3:17" x14ac:dyDescent="0.25">
      <c r="C280" s="15" t="s">
        <v>124</v>
      </c>
      <c r="D280" s="14" t="s">
        <v>13</v>
      </c>
      <c r="E280" s="14">
        <v>13.05</v>
      </c>
      <c r="F280" s="14">
        <v>1.73</v>
      </c>
      <c r="G280" s="14">
        <v>2.04</v>
      </c>
      <c r="H280" s="14">
        <v>12.4</v>
      </c>
      <c r="I280" s="14">
        <v>92</v>
      </c>
      <c r="J280" s="14">
        <v>2.72</v>
      </c>
      <c r="K280" s="14">
        <v>3.27</v>
      </c>
      <c r="L280" s="14">
        <v>0.17</v>
      </c>
      <c r="M280" s="14">
        <v>2.91</v>
      </c>
      <c r="N280" s="14">
        <v>7.2</v>
      </c>
      <c r="O280" s="14">
        <v>1.1200000000000001</v>
      </c>
      <c r="P280" s="14">
        <v>2.91</v>
      </c>
      <c r="Q280">
        <v>1150</v>
      </c>
    </row>
    <row r="281" spans="3:17" x14ac:dyDescent="0.25">
      <c r="C281" s="15" t="s">
        <v>341</v>
      </c>
      <c r="D281" s="14" t="s">
        <v>14</v>
      </c>
      <c r="E281" s="14">
        <v>11.76</v>
      </c>
      <c r="F281" s="14">
        <v>2.68</v>
      </c>
      <c r="G281" s="14">
        <v>2.9199999999999902</v>
      </c>
      <c r="H281" s="14">
        <v>20</v>
      </c>
      <c r="I281" s="14">
        <v>103</v>
      </c>
      <c r="J281" s="14">
        <v>1.75</v>
      </c>
      <c r="K281" s="14">
        <v>2.02999999999999</v>
      </c>
      <c r="L281" s="14">
        <v>0.59999999999999898</v>
      </c>
      <c r="M281" s="14">
        <v>1.05</v>
      </c>
      <c r="N281" s="14">
        <v>3.7999999999999901</v>
      </c>
      <c r="O281" s="14">
        <v>1.23</v>
      </c>
      <c r="P281" s="14">
        <v>2.5</v>
      </c>
      <c r="Q281">
        <v>607</v>
      </c>
    </row>
    <row r="282" spans="3:17" x14ac:dyDescent="0.25">
      <c r="C282" s="15" t="s">
        <v>142</v>
      </c>
      <c r="D282" s="14" t="s">
        <v>14</v>
      </c>
      <c r="E282" s="14">
        <v>13.34</v>
      </c>
      <c r="F282" s="14">
        <v>0.93999999999999895</v>
      </c>
      <c r="G282" s="14">
        <v>2.3599999999999901</v>
      </c>
      <c r="H282" s="14">
        <v>17</v>
      </c>
      <c r="I282" s="14">
        <v>110</v>
      </c>
      <c r="J282" s="14">
        <v>2.52999999999999</v>
      </c>
      <c r="K282" s="14">
        <v>1.3</v>
      </c>
      <c r="L282" s="14">
        <v>0.55000000000000004</v>
      </c>
      <c r="M282" s="14">
        <v>0.41999999999999899</v>
      </c>
      <c r="N282" s="14">
        <v>3.1699999999999902</v>
      </c>
      <c r="O282" s="14">
        <v>1.02</v>
      </c>
      <c r="P282" s="14">
        <v>1.9299999999999899</v>
      </c>
      <c r="Q282">
        <v>750</v>
      </c>
    </row>
    <row r="283" spans="3:17" x14ac:dyDescent="0.25">
      <c r="C283" s="15" t="s">
        <v>220</v>
      </c>
      <c r="D283" s="14" t="s">
        <v>15</v>
      </c>
      <c r="E283" s="14">
        <v>13.88</v>
      </c>
      <c r="F283" s="14">
        <v>5.04</v>
      </c>
      <c r="G283" s="14">
        <v>2.23</v>
      </c>
      <c r="H283" s="14">
        <v>20</v>
      </c>
      <c r="I283" s="14">
        <v>80</v>
      </c>
      <c r="J283" s="14">
        <v>0.97999999999999898</v>
      </c>
      <c r="K283" s="14">
        <v>0.34</v>
      </c>
      <c r="L283" s="14">
        <v>0.4</v>
      </c>
      <c r="M283" s="14">
        <v>0.68</v>
      </c>
      <c r="N283" s="14">
        <v>4.9000000000000004</v>
      </c>
      <c r="O283" s="14">
        <v>0.57999999999999896</v>
      </c>
      <c r="P283" s="14">
        <v>1.33</v>
      </c>
      <c r="Q283">
        <v>415</v>
      </c>
    </row>
    <row r="284" spans="3:17" x14ac:dyDescent="0.25">
      <c r="C284" s="15" t="s">
        <v>213</v>
      </c>
      <c r="D284" s="14" t="s">
        <v>15</v>
      </c>
      <c r="E284" s="14">
        <v>12.84</v>
      </c>
      <c r="F284" s="14">
        <v>2.96</v>
      </c>
      <c r="G284" s="14">
        <v>2.6099999999999901</v>
      </c>
      <c r="H284" s="14">
        <v>24</v>
      </c>
      <c r="I284" s="14">
        <v>101</v>
      </c>
      <c r="J284" s="14">
        <v>2.3199999999999901</v>
      </c>
      <c r="K284" s="14">
        <v>0.59999999999999898</v>
      </c>
      <c r="L284" s="14">
        <v>0.53</v>
      </c>
      <c r="M284" s="14">
        <v>0.81</v>
      </c>
      <c r="N284" s="14">
        <v>4.9199999999999902</v>
      </c>
      <c r="O284" s="14">
        <v>0.89</v>
      </c>
      <c r="P284" s="14">
        <v>2.1499999999999901</v>
      </c>
      <c r="Q284">
        <v>590</v>
      </c>
    </row>
    <row r="285" spans="3:17" x14ac:dyDescent="0.25">
      <c r="C285" s="15" t="s">
        <v>160</v>
      </c>
      <c r="D285" s="14" t="s">
        <v>14</v>
      </c>
      <c r="E285" s="14">
        <v>12.16</v>
      </c>
      <c r="F285" s="14">
        <v>1.61</v>
      </c>
      <c r="G285" s="14">
        <v>2.31</v>
      </c>
      <c r="H285" s="14">
        <v>22.8</v>
      </c>
      <c r="I285" s="14">
        <v>90</v>
      </c>
      <c r="J285" s="14">
        <v>1.78</v>
      </c>
      <c r="K285" s="14">
        <v>1.68999999999999</v>
      </c>
      <c r="L285" s="14">
        <v>0.42999999999999899</v>
      </c>
      <c r="M285" s="14">
        <v>1.56</v>
      </c>
      <c r="N285" s="14">
        <v>2.4500000000000002</v>
      </c>
      <c r="O285" s="14">
        <v>1.33</v>
      </c>
      <c r="P285" s="14">
        <v>2.25999999999999</v>
      </c>
      <c r="Q285">
        <v>495</v>
      </c>
    </row>
    <row r="286" spans="3:17" x14ac:dyDescent="0.25">
      <c r="C286" s="15" t="s">
        <v>264</v>
      </c>
      <c r="D286" s="14" t="s">
        <v>13</v>
      </c>
      <c r="E286" s="14">
        <v>13.48</v>
      </c>
      <c r="F286" s="14">
        <v>1.81</v>
      </c>
      <c r="G286" s="14">
        <v>2.41</v>
      </c>
      <c r="H286" s="14">
        <v>20.5</v>
      </c>
      <c r="I286" s="14">
        <v>100</v>
      </c>
      <c r="J286" s="14">
        <v>2.7</v>
      </c>
      <c r="K286" s="14">
        <v>2.98</v>
      </c>
      <c r="L286" s="14">
        <v>0.26</v>
      </c>
      <c r="M286" s="14">
        <v>1.86</v>
      </c>
      <c r="N286" s="14">
        <v>5.0999999999999899</v>
      </c>
      <c r="O286" s="14">
        <v>1.04</v>
      </c>
      <c r="P286" s="14">
        <v>3.47</v>
      </c>
      <c r="Q286">
        <v>920</v>
      </c>
    </row>
    <row r="287" spans="3:17" x14ac:dyDescent="0.25">
      <c r="C287" s="15" t="s">
        <v>380</v>
      </c>
      <c r="D287" s="14" t="s">
        <v>15</v>
      </c>
      <c r="E287" s="14">
        <v>12.7899999999999</v>
      </c>
      <c r="F287" s="14">
        <v>2.6699999999999902</v>
      </c>
      <c r="G287" s="14">
        <v>2.48</v>
      </c>
      <c r="H287" s="14">
        <v>22</v>
      </c>
      <c r="I287" s="14">
        <v>112</v>
      </c>
      <c r="J287" s="14">
        <v>1.48</v>
      </c>
      <c r="K287" s="14">
        <v>1.36</v>
      </c>
      <c r="L287" s="14">
        <v>0.23999999999999899</v>
      </c>
      <c r="M287" s="14">
        <v>1.26</v>
      </c>
      <c r="N287" s="14">
        <v>10.8</v>
      </c>
      <c r="O287" s="14">
        <v>0.47999999999999898</v>
      </c>
      <c r="P287" s="14">
        <v>1.47</v>
      </c>
      <c r="Q287">
        <v>480</v>
      </c>
    </row>
    <row r="288" spans="3:17" x14ac:dyDescent="0.25">
      <c r="C288" s="15" t="s">
        <v>386</v>
      </c>
      <c r="D288" s="14" t="s">
        <v>15</v>
      </c>
      <c r="E288" s="14">
        <v>12.4499999999999</v>
      </c>
      <c r="F288" s="14">
        <v>3.02999999999999</v>
      </c>
      <c r="G288" s="14">
        <v>2.64</v>
      </c>
      <c r="H288" s="14">
        <v>27</v>
      </c>
      <c r="I288" s="14">
        <v>97</v>
      </c>
      <c r="J288" s="14">
        <v>1.8999999999999899</v>
      </c>
      <c r="K288" s="14">
        <v>0.57999999999999896</v>
      </c>
      <c r="L288" s="14">
        <v>0.63</v>
      </c>
      <c r="M288" s="14">
        <v>1.1399999999999899</v>
      </c>
      <c r="N288" s="14">
        <v>7.5</v>
      </c>
      <c r="O288" s="14">
        <v>0.67</v>
      </c>
      <c r="P288" s="14">
        <v>1.73</v>
      </c>
      <c r="Q288">
        <v>880</v>
      </c>
    </row>
    <row r="289" spans="3:17" x14ac:dyDescent="0.25">
      <c r="C289" s="15" t="s">
        <v>117</v>
      </c>
      <c r="D289" s="14" t="s">
        <v>13</v>
      </c>
      <c r="E289" s="14">
        <v>13.24</v>
      </c>
      <c r="F289" s="14">
        <v>3.98</v>
      </c>
      <c r="G289" s="14">
        <v>2.29</v>
      </c>
      <c r="H289" s="14">
        <v>17.5</v>
      </c>
      <c r="I289" s="14">
        <v>103</v>
      </c>
      <c r="J289" s="14">
        <v>2.64</v>
      </c>
      <c r="K289" s="14">
        <v>2.6299999999999901</v>
      </c>
      <c r="L289" s="14">
        <v>0.32</v>
      </c>
      <c r="M289" s="14">
        <v>1.6599999999999899</v>
      </c>
      <c r="N289" s="14">
        <v>4.3600000000000003</v>
      </c>
      <c r="O289" s="14">
        <v>0.81999999999999895</v>
      </c>
      <c r="P289" s="14">
        <v>3</v>
      </c>
      <c r="Q289">
        <v>680</v>
      </c>
    </row>
    <row r="290" spans="3:17" x14ac:dyDescent="0.25">
      <c r="C290" s="15" t="s">
        <v>332</v>
      </c>
      <c r="D290" s="14" t="s">
        <v>14</v>
      </c>
      <c r="E290" s="14">
        <v>11.82</v>
      </c>
      <c r="F290" s="14">
        <v>1.72</v>
      </c>
      <c r="G290" s="14">
        <v>1.8799999999999899</v>
      </c>
      <c r="H290" s="14">
        <v>19.5</v>
      </c>
      <c r="I290" s="14">
        <v>86</v>
      </c>
      <c r="J290" s="14">
        <v>2.5</v>
      </c>
      <c r="K290" s="14">
        <v>1.6399999999999899</v>
      </c>
      <c r="L290" s="14">
        <v>0.37</v>
      </c>
      <c r="M290" s="14">
        <v>1.4199999999999899</v>
      </c>
      <c r="N290" s="14">
        <v>2.06</v>
      </c>
      <c r="O290" s="14">
        <v>0.93999999999999895</v>
      </c>
      <c r="P290" s="14">
        <v>2.4399999999999902</v>
      </c>
      <c r="Q290">
        <v>415</v>
      </c>
    </row>
    <row r="291" spans="3:17" x14ac:dyDescent="0.25">
      <c r="C291" s="15" t="s">
        <v>249</v>
      </c>
      <c r="D291" s="14" t="s">
        <v>15</v>
      </c>
      <c r="E291" s="14">
        <v>13.27</v>
      </c>
      <c r="F291" s="14">
        <v>4.28</v>
      </c>
      <c r="G291" s="14">
        <v>2.25999999999999</v>
      </c>
      <c r="H291" s="14">
        <v>20</v>
      </c>
      <c r="I291" s="14">
        <v>120</v>
      </c>
      <c r="J291" s="14">
        <v>1.59</v>
      </c>
      <c r="K291" s="14">
        <v>0.68999999999999895</v>
      </c>
      <c r="L291" s="14">
        <v>0.42999999999999899</v>
      </c>
      <c r="M291" s="14">
        <v>1.35</v>
      </c>
      <c r="N291" s="14">
        <v>10.1999999999999</v>
      </c>
      <c r="O291" s="14">
        <v>0.58999999999999897</v>
      </c>
      <c r="P291" s="14">
        <v>1.56</v>
      </c>
      <c r="Q291">
        <v>835</v>
      </c>
    </row>
    <row r="292" spans="3:17" x14ac:dyDescent="0.25">
      <c r="C292" s="15" t="s">
        <v>331</v>
      </c>
      <c r="D292" s="14" t="s">
        <v>14</v>
      </c>
      <c r="E292" s="14">
        <v>12.34</v>
      </c>
      <c r="F292" s="14">
        <v>2.4500000000000002</v>
      </c>
      <c r="G292" s="14">
        <v>2.46</v>
      </c>
      <c r="H292" s="14">
        <v>21</v>
      </c>
      <c r="I292" s="14">
        <v>98</v>
      </c>
      <c r="J292" s="14">
        <v>2.56</v>
      </c>
      <c r="K292" s="14">
        <v>2.1099999999999901</v>
      </c>
      <c r="L292" s="14">
        <v>0.34</v>
      </c>
      <c r="M292" s="14">
        <v>1.31</v>
      </c>
      <c r="N292" s="14">
        <v>2.7999999999999901</v>
      </c>
      <c r="O292" s="14">
        <v>0.8</v>
      </c>
      <c r="P292" s="14">
        <v>3.3799999999999901</v>
      </c>
      <c r="Q292">
        <v>438</v>
      </c>
    </row>
    <row r="293" spans="3:17" x14ac:dyDescent="0.25">
      <c r="C293" s="15" t="s">
        <v>76</v>
      </c>
      <c r="D293" s="14" t="s">
        <v>13</v>
      </c>
      <c r="E293" s="14">
        <v>13.16</v>
      </c>
      <c r="F293" s="14">
        <v>2.3599999999999901</v>
      </c>
      <c r="G293" s="14">
        <v>2.6699999999999902</v>
      </c>
      <c r="H293" s="14">
        <v>18.600000000000001</v>
      </c>
      <c r="I293" s="14">
        <v>101</v>
      </c>
      <c r="J293" s="14">
        <v>2.7999999999999901</v>
      </c>
      <c r="K293" s="14">
        <v>3.24</v>
      </c>
      <c r="L293" s="14">
        <v>0.29999999999999899</v>
      </c>
      <c r="M293" s="14">
        <v>2.81</v>
      </c>
      <c r="N293" s="14">
        <v>5.6799999999999899</v>
      </c>
      <c r="O293" s="14">
        <v>1.03</v>
      </c>
      <c r="P293" s="14">
        <v>3.1699999999999902</v>
      </c>
      <c r="Q293">
        <v>1185</v>
      </c>
    </row>
    <row r="294" spans="3:17" x14ac:dyDescent="0.25">
      <c r="C294" s="15" t="s">
        <v>366</v>
      </c>
      <c r="D294" s="14" t="s">
        <v>15</v>
      </c>
      <c r="E294" s="14">
        <v>12.5299999999999</v>
      </c>
      <c r="F294" s="14">
        <v>5.50999999999999</v>
      </c>
      <c r="G294" s="14">
        <v>2.64</v>
      </c>
      <c r="H294" s="14">
        <v>25</v>
      </c>
      <c r="I294" s="14">
        <v>96</v>
      </c>
      <c r="J294" s="14">
        <v>1.79</v>
      </c>
      <c r="K294" s="14">
        <v>0.59999999999999898</v>
      </c>
      <c r="L294" s="14">
        <v>0.63</v>
      </c>
      <c r="M294" s="14">
        <v>1.1000000000000001</v>
      </c>
      <c r="N294" s="14">
        <v>5</v>
      </c>
      <c r="O294" s="14">
        <v>0.81999999999999895</v>
      </c>
      <c r="P294" s="14">
        <v>1.68999999999999</v>
      </c>
      <c r="Q294">
        <v>515</v>
      </c>
    </row>
    <row r="295" spans="3:17" x14ac:dyDescent="0.25">
      <c r="C295" s="15" t="s">
        <v>392</v>
      </c>
      <c r="D295" s="14" t="s">
        <v>15</v>
      </c>
      <c r="E295" s="14">
        <v>12.96</v>
      </c>
      <c r="F295" s="14">
        <v>3.45</v>
      </c>
      <c r="G295" s="14">
        <v>2.35</v>
      </c>
      <c r="H295" s="14">
        <v>18.5</v>
      </c>
      <c r="I295" s="14">
        <v>106</v>
      </c>
      <c r="J295" s="14">
        <v>1.3899999999999899</v>
      </c>
      <c r="K295" s="14">
        <v>0.69999999999999896</v>
      </c>
      <c r="L295" s="14">
        <v>0.4</v>
      </c>
      <c r="M295" s="14">
        <v>0.93999999999999895</v>
      </c>
      <c r="N295" s="14">
        <v>5.28</v>
      </c>
      <c r="O295" s="14">
        <v>0.68</v>
      </c>
      <c r="P295" s="14">
        <v>1.75</v>
      </c>
      <c r="Q295">
        <v>675</v>
      </c>
    </row>
    <row r="296" spans="3:17" x14ac:dyDescent="0.25">
      <c r="C296" s="15" t="s">
        <v>92</v>
      </c>
      <c r="D296" s="14" t="s">
        <v>13</v>
      </c>
      <c r="E296" s="14">
        <v>14.19</v>
      </c>
      <c r="F296" s="14">
        <v>1.59</v>
      </c>
      <c r="G296" s="14">
        <v>2.48</v>
      </c>
      <c r="H296" s="14">
        <v>16.5</v>
      </c>
      <c r="I296" s="14">
        <v>108</v>
      </c>
      <c r="J296" s="14">
        <v>3.2999999999999901</v>
      </c>
      <c r="K296" s="14">
        <v>3.93</v>
      </c>
      <c r="L296" s="14">
        <v>0.32</v>
      </c>
      <c r="M296" s="14">
        <v>1.86</v>
      </c>
      <c r="N296" s="14">
        <v>8.6999999999999904</v>
      </c>
      <c r="O296" s="14">
        <v>1.23</v>
      </c>
      <c r="P296" s="14">
        <v>2.8199999999999901</v>
      </c>
      <c r="Q296">
        <v>1680</v>
      </c>
    </row>
    <row r="297" spans="3:17" x14ac:dyDescent="0.25">
      <c r="C297" s="15" t="s">
        <v>356</v>
      </c>
      <c r="D297" s="14" t="s">
        <v>14</v>
      </c>
      <c r="E297" s="14">
        <v>11.7899999999999</v>
      </c>
      <c r="F297" s="14">
        <v>2.1299999999999901</v>
      </c>
      <c r="G297" s="14">
        <v>2.77999999999999</v>
      </c>
      <c r="H297" s="14">
        <v>28.5</v>
      </c>
      <c r="I297" s="14">
        <v>92</v>
      </c>
      <c r="J297" s="14">
        <v>2.1299999999999901</v>
      </c>
      <c r="K297" s="14">
        <v>2.2400000000000002</v>
      </c>
      <c r="L297" s="14">
        <v>0.57999999999999896</v>
      </c>
      <c r="M297" s="14">
        <v>1.76</v>
      </c>
      <c r="N297" s="14">
        <v>3</v>
      </c>
      <c r="O297" s="14">
        <v>0.96999999999999897</v>
      </c>
      <c r="P297" s="14">
        <v>2.4399999999999902</v>
      </c>
      <c r="Q297">
        <v>466</v>
      </c>
    </row>
    <row r="298" spans="3:17" x14ac:dyDescent="0.25">
      <c r="C298" s="15" t="s">
        <v>147</v>
      </c>
      <c r="D298" s="14" t="s">
        <v>14</v>
      </c>
      <c r="E298" s="14">
        <v>12.99</v>
      </c>
      <c r="F298" s="14">
        <v>1.6699999999999899</v>
      </c>
      <c r="G298" s="14">
        <v>2.6</v>
      </c>
      <c r="H298" s="14">
        <v>30</v>
      </c>
      <c r="I298" s="14">
        <v>139</v>
      </c>
      <c r="J298" s="14">
        <v>3.2999999999999901</v>
      </c>
      <c r="K298" s="14">
        <v>2.89</v>
      </c>
      <c r="L298" s="14">
        <v>0.20999999999999899</v>
      </c>
      <c r="M298" s="14">
        <v>1.96</v>
      </c>
      <c r="N298" s="14">
        <v>3.35</v>
      </c>
      <c r="O298" s="14">
        <v>1.31</v>
      </c>
      <c r="P298" s="14">
        <v>3.5</v>
      </c>
      <c r="Q298">
        <v>985</v>
      </c>
    </row>
    <row r="299" spans="3:17" x14ac:dyDescent="0.25">
      <c r="C299" s="15" t="s">
        <v>174</v>
      </c>
      <c r="D299" s="14" t="s">
        <v>14</v>
      </c>
      <c r="E299" s="14">
        <v>12.08</v>
      </c>
      <c r="F299" s="14">
        <v>2.08</v>
      </c>
      <c r="G299" s="14">
        <v>1.7</v>
      </c>
      <c r="H299" s="14">
        <v>17.5</v>
      </c>
      <c r="I299" s="14">
        <v>97</v>
      </c>
      <c r="J299" s="14">
        <v>2.23</v>
      </c>
      <c r="K299" s="14">
        <v>2.1699999999999902</v>
      </c>
      <c r="L299" s="14">
        <v>0.26</v>
      </c>
      <c r="M299" s="14">
        <v>1.3999999999999899</v>
      </c>
      <c r="N299" s="14">
        <v>3.2999999999999901</v>
      </c>
      <c r="O299" s="14">
        <v>1.27</v>
      </c>
      <c r="P299" s="14">
        <v>2.96</v>
      </c>
      <c r="Q299">
        <v>710</v>
      </c>
    </row>
    <row r="300" spans="3:17" x14ac:dyDescent="0.25">
      <c r="C300" s="15" t="s">
        <v>372</v>
      </c>
      <c r="D300" s="14" t="s">
        <v>15</v>
      </c>
      <c r="E300" s="14">
        <v>13.6199999999999</v>
      </c>
      <c r="F300" s="14">
        <v>4.95</v>
      </c>
      <c r="G300" s="14">
        <v>2.35</v>
      </c>
      <c r="H300" s="14">
        <v>20</v>
      </c>
      <c r="I300" s="14">
        <v>92</v>
      </c>
      <c r="J300" s="14">
        <v>2</v>
      </c>
      <c r="K300" s="14">
        <v>0.8</v>
      </c>
      <c r="L300" s="14">
        <v>0.46999999999999897</v>
      </c>
      <c r="M300" s="14">
        <v>1.02</v>
      </c>
      <c r="N300" s="14">
        <v>4.4000000000000004</v>
      </c>
      <c r="O300" s="14">
        <v>0.91</v>
      </c>
      <c r="P300" s="14">
        <v>2.0499999999999901</v>
      </c>
      <c r="Q300">
        <v>550</v>
      </c>
    </row>
    <row r="301" spans="3:17" x14ac:dyDescent="0.25">
      <c r="C301" s="15" t="s">
        <v>131</v>
      </c>
      <c r="D301" s="14" t="s">
        <v>13</v>
      </c>
      <c r="E301" s="14">
        <v>13.2899999999999</v>
      </c>
      <c r="F301" s="14">
        <v>1.97</v>
      </c>
      <c r="G301" s="14">
        <v>2.68</v>
      </c>
      <c r="H301" s="14">
        <v>16.8</v>
      </c>
      <c r="I301" s="14">
        <v>102</v>
      </c>
      <c r="J301" s="14">
        <v>3</v>
      </c>
      <c r="K301" s="14">
        <v>3.23</v>
      </c>
      <c r="L301" s="14">
        <v>0.31</v>
      </c>
      <c r="M301" s="14">
        <v>1.6599999999999899</v>
      </c>
      <c r="N301" s="14">
        <v>6</v>
      </c>
      <c r="O301" s="14">
        <v>1.07</v>
      </c>
      <c r="P301" s="14">
        <v>2.8399999999999901</v>
      </c>
      <c r="Q301">
        <v>1270</v>
      </c>
    </row>
    <row r="302" spans="3:17" x14ac:dyDescent="0.25">
      <c r="C302" s="15" t="s">
        <v>175</v>
      </c>
      <c r="D302" s="14" t="s">
        <v>14</v>
      </c>
      <c r="E302" s="14">
        <v>12.6</v>
      </c>
      <c r="F302" s="14">
        <v>1.34</v>
      </c>
      <c r="G302" s="14">
        <v>1.8999999999999899</v>
      </c>
      <c r="H302" s="14">
        <v>18.5</v>
      </c>
      <c r="I302" s="14">
        <v>88</v>
      </c>
      <c r="J302" s="14">
        <v>1.45</v>
      </c>
      <c r="K302" s="14">
        <v>1.36</v>
      </c>
      <c r="L302" s="14">
        <v>0.28999999999999898</v>
      </c>
      <c r="M302" s="14">
        <v>1.35</v>
      </c>
      <c r="N302" s="14">
        <v>2.4500000000000002</v>
      </c>
      <c r="O302" s="14">
        <v>1.04</v>
      </c>
      <c r="P302" s="14">
        <v>2.77</v>
      </c>
      <c r="Q302">
        <v>562</v>
      </c>
    </row>
    <row r="303" spans="3:17" x14ac:dyDescent="0.25">
      <c r="C303" s="15" t="s">
        <v>298</v>
      </c>
      <c r="D303" s="14" t="s">
        <v>14</v>
      </c>
      <c r="E303" s="14">
        <v>12.21</v>
      </c>
      <c r="F303" s="14">
        <v>1.18999999999999</v>
      </c>
      <c r="G303" s="14">
        <v>1.75</v>
      </c>
      <c r="H303" s="14">
        <v>16.8</v>
      </c>
      <c r="I303" s="14">
        <v>151</v>
      </c>
      <c r="J303" s="14">
        <v>1.85</v>
      </c>
      <c r="K303" s="14">
        <v>1.28</v>
      </c>
      <c r="L303" s="14">
        <v>0.14000000000000001</v>
      </c>
      <c r="M303" s="14">
        <v>2.5</v>
      </c>
      <c r="N303" s="14">
        <v>2.85</v>
      </c>
      <c r="O303" s="14">
        <v>1.28</v>
      </c>
      <c r="P303" s="14">
        <v>3.0699999999999901</v>
      </c>
      <c r="Q303">
        <v>718</v>
      </c>
    </row>
    <row r="304" spans="3:17" x14ac:dyDescent="0.25">
      <c r="C304" s="15" t="s">
        <v>136</v>
      </c>
      <c r="D304" s="14" t="s">
        <v>14</v>
      </c>
      <c r="E304" s="14">
        <v>13.67</v>
      </c>
      <c r="F304" s="14">
        <v>1.25</v>
      </c>
      <c r="G304" s="14">
        <v>1.9199999999999899</v>
      </c>
      <c r="H304" s="14">
        <v>18</v>
      </c>
      <c r="I304" s="14">
        <v>94</v>
      </c>
      <c r="J304" s="14">
        <v>2.1</v>
      </c>
      <c r="K304" s="14">
        <v>1.79</v>
      </c>
      <c r="L304" s="14">
        <v>0.32</v>
      </c>
      <c r="M304" s="14">
        <v>0.72999999999999898</v>
      </c>
      <c r="N304" s="14">
        <v>3.7999999999999901</v>
      </c>
      <c r="O304" s="14">
        <v>1.23</v>
      </c>
      <c r="P304" s="14">
        <v>2.46</v>
      </c>
      <c r="Q304">
        <v>630</v>
      </c>
    </row>
    <row r="305" spans="3:17" x14ac:dyDescent="0.25">
      <c r="C305" s="15" t="s">
        <v>326</v>
      </c>
      <c r="D305" s="14" t="s">
        <v>14</v>
      </c>
      <c r="E305" s="14">
        <v>12.2899999999999</v>
      </c>
      <c r="F305" s="14">
        <v>1.4099999999999899</v>
      </c>
      <c r="G305" s="14">
        <v>1.98</v>
      </c>
      <c r="H305" s="14">
        <v>16</v>
      </c>
      <c r="I305" s="14">
        <v>85</v>
      </c>
      <c r="J305" s="14">
        <v>2.5499999999999901</v>
      </c>
      <c r="K305" s="14">
        <v>2.5</v>
      </c>
      <c r="L305" s="14">
        <v>0.28999999999999898</v>
      </c>
      <c r="M305" s="14">
        <v>1.77</v>
      </c>
      <c r="N305" s="14">
        <v>2.8999999999999901</v>
      </c>
      <c r="O305" s="14">
        <v>1.23</v>
      </c>
      <c r="P305" s="14">
        <v>2.74</v>
      </c>
      <c r="Q305">
        <v>428</v>
      </c>
    </row>
    <row r="306" spans="3:17" x14ac:dyDescent="0.25">
      <c r="C306" s="15" t="s">
        <v>399</v>
      </c>
      <c r="D306" s="14" t="s">
        <v>15</v>
      </c>
      <c r="E306" s="14">
        <v>12.1999999999999</v>
      </c>
      <c r="F306" s="14">
        <v>3.02999999999999</v>
      </c>
      <c r="G306" s="14">
        <v>2.3199999999999901</v>
      </c>
      <c r="H306" s="14">
        <v>19</v>
      </c>
      <c r="I306" s="14">
        <v>96</v>
      </c>
      <c r="J306" s="14">
        <v>1.25</v>
      </c>
      <c r="K306" s="14">
        <v>0.48999999999999899</v>
      </c>
      <c r="L306" s="14">
        <v>0.4</v>
      </c>
      <c r="M306" s="14">
        <v>0.72999999999999898</v>
      </c>
      <c r="N306" s="14">
        <v>5.5</v>
      </c>
      <c r="O306" s="14">
        <v>0.66</v>
      </c>
      <c r="P306" s="14">
        <v>1.83</v>
      </c>
      <c r="Q306">
        <v>510</v>
      </c>
    </row>
    <row r="307" spans="3:17" x14ac:dyDescent="0.25">
      <c r="C307" s="15" t="s">
        <v>357</v>
      </c>
      <c r="D307" s="14" t="s">
        <v>14</v>
      </c>
      <c r="E307" s="14">
        <v>12.3699999999999</v>
      </c>
      <c r="F307" s="14">
        <v>1.6299999999999899</v>
      </c>
      <c r="G307" s="14">
        <v>2.2999999999999901</v>
      </c>
      <c r="H307" s="14">
        <v>24.5</v>
      </c>
      <c r="I307" s="14">
        <v>88</v>
      </c>
      <c r="J307" s="14">
        <v>2.2200000000000002</v>
      </c>
      <c r="K307" s="14">
        <v>2.4500000000000002</v>
      </c>
      <c r="L307" s="14">
        <v>0.4</v>
      </c>
      <c r="M307" s="14">
        <v>1.8999999999999899</v>
      </c>
      <c r="N307" s="14">
        <v>2.12</v>
      </c>
      <c r="O307" s="14">
        <v>0.89</v>
      </c>
      <c r="P307" s="14">
        <v>2.77999999999999</v>
      </c>
      <c r="Q307">
        <v>342</v>
      </c>
    </row>
    <row r="308" spans="3:17" x14ac:dyDescent="0.25">
      <c r="C308" s="15" t="s">
        <v>338</v>
      </c>
      <c r="D308" s="14" t="s">
        <v>14</v>
      </c>
      <c r="E308" s="14">
        <v>11.6099999999999</v>
      </c>
      <c r="F308" s="14">
        <v>1.35</v>
      </c>
      <c r="G308" s="14">
        <v>2.7</v>
      </c>
      <c r="H308" s="14">
        <v>20</v>
      </c>
      <c r="I308" s="14">
        <v>94</v>
      </c>
      <c r="J308" s="14">
        <v>2.74</v>
      </c>
      <c r="K308" s="14">
        <v>2.9199999999999902</v>
      </c>
      <c r="L308" s="14">
        <v>0.28999999999999898</v>
      </c>
      <c r="M308" s="14">
        <v>2.4900000000000002</v>
      </c>
      <c r="N308" s="14">
        <v>2.6499999999999901</v>
      </c>
      <c r="O308" s="14">
        <v>0.95999999999999897</v>
      </c>
      <c r="P308" s="14">
        <v>3.25999999999999</v>
      </c>
      <c r="Q308">
        <v>680</v>
      </c>
    </row>
    <row r="309" spans="3:17" x14ac:dyDescent="0.25">
      <c r="C309" s="15" t="s">
        <v>248</v>
      </c>
      <c r="D309" s="14" t="s">
        <v>15</v>
      </c>
      <c r="E309" s="14">
        <v>13.4</v>
      </c>
      <c r="F309" s="14">
        <v>3.91</v>
      </c>
      <c r="G309" s="14">
        <v>2.48</v>
      </c>
      <c r="H309" s="14">
        <v>23</v>
      </c>
      <c r="I309" s="14">
        <v>102</v>
      </c>
      <c r="J309" s="14">
        <v>1.8</v>
      </c>
      <c r="K309" s="14">
        <v>0.75</v>
      </c>
      <c r="L309" s="14">
        <v>0.42999999999999899</v>
      </c>
      <c r="M309" s="14">
        <v>1.4099999999999899</v>
      </c>
      <c r="N309" s="14">
        <v>7.2999999999999901</v>
      </c>
      <c r="O309" s="14">
        <v>0.69999999999999896</v>
      </c>
      <c r="P309" s="14">
        <v>1.56</v>
      </c>
      <c r="Q309">
        <v>750</v>
      </c>
    </row>
    <row r="310" spans="3:17" x14ac:dyDescent="0.25">
      <c r="C310" s="15" t="s">
        <v>250</v>
      </c>
      <c r="D310" s="14" t="s">
        <v>15</v>
      </c>
      <c r="E310" s="14">
        <v>13.17</v>
      </c>
      <c r="F310" s="14">
        <v>2.5899999999999901</v>
      </c>
      <c r="G310" s="14">
        <v>2.37</v>
      </c>
      <c r="H310" s="14">
        <v>20</v>
      </c>
      <c r="I310" s="14">
        <v>120</v>
      </c>
      <c r="J310" s="14">
        <v>1.6499999999999899</v>
      </c>
      <c r="K310" s="14">
        <v>0.68</v>
      </c>
      <c r="L310" s="14">
        <v>0.53</v>
      </c>
      <c r="M310" s="14">
        <v>1.46</v>
      </c>
      <c r="N310" s="14">
        <v>9.3000000000000007</v>
      </c>
      <c r="O310" s="14">
        <v>0.59999999999999898</v>
      </c>
      <c r="P310" s="14">
        <v>1.62</v>
      </c>
      <c r="Q310">
        <v>840</v>
      </c>
    </row>
    <row r="311" spans="3:17" x14ac:dyDescent="0.25">
      <c r="C311" s="15" t="s">
        <v>246</v>
      </c>
      <c r="D311" s="14" t="s">
        <v>15</v>
      </c>
      <c r="E311" s="14">
        <v>14.16</v>
      </c>
      <c r="F311" s="14">
        <v>2.50999999999999</v>
      </c>
      <c r="G311" s="14">
        <v>2.48</v>
      </c>
      <c r="H311" s="14">
        <v>20</v>
      </c>
      <c r="I311" s="14">
        <v>91</v>
      </c>
      <c r="J311" s="14">
        <v>1.6799999999999899</v>
      </c>
      <c r="K311" s="14">
        <v>0.69999999999999896</v>
      </c>
      <c r="L311" s="14">
        <v>0.44</v>
      </c>
      <c r="M311" s="14">
        <v>1.24</v>
      </c>
      <c r="N311" s="14">
        <v>9.6999999999999904</v>
      </c>
      <c r="O311" s="14">
        <v>0.62</v>
      </c>
      <c r="P311" s="14">
        <v>1.71</v>
      </c>
      <c r="Q311">
        <v>660</v>
      </c>
    </row>
    <row r="312" spans="3:17" x14ac:dyDescent="0.25">
      <c r="C312" s="15" t="s">
        <v>272</v>
      </c>
      <c r="D312" s="14" t="s">
        <v>13</v>
      </c>
      <c r="E312" s="14">
        <v>13.24</v>
      </c>
      <c r="F312" s="14">
        <v>3.98</v>
      </c>
      <c r="G312" s="14">
        <v>2.29</v>
      </c>
      <c r="H312" s="14">
        <v>17.5</v>
      </c>
      <c r="I312" s="14">
        <v>103</v>
      </c>
      <c r="J312" s="14">
        <v>2.64</v>
      </c>
      <c r="K312" s="14">
        <v>2.6299999999999901</v>
      </c>
      <c r="L312" s="14">
        <v>0.32</v>
      </c>
      <c r="M312" s="14">
        <v>1.6599999999999899</v>
      </c>
      <c r="N312" s="14">
        <v>4.3600000000000003</v>
      </c>
      <c r="O312" s="14">
        <v>0.81999999999999895</v>
      </c>
      <c r="P312" s="14">
        <v>3</v>
      </c>
      <c r="Q312">
        <v>680</v>
      </c>
    </row>
    <row r="313" spans="3:17" x14ac:dyDescent="0.25">
      <c r="C313" s="15" t="s">
        <v>80</v>
      </c>
      <c r="D313" s="14" t="s">
        <v>13</v>
      </c>
      <c r="E313" s="14">
        <v>14.39</v>
      </c>
      <c r="F313" s="14">
        <v>1.87</v>
      </c>
      <c r="G313" s="14">
        <v>2.4500000000000002</v>
      </c>
      <c r="H313" s="14">
        <v>14.6</v>
      </c>
      <c r="I313" s="14">
        <v>96</v>
      </c>
      <c r="J313" s="14">
        <v>2.5</v>
      </c>
      <c r="K313" s="14">
        <v>2.52</v>
      </c>
      <c r="L313" s="14">
        <v>0.29999999999999899</v>
      </c>
      <c r="M313" s="14">
        <v>1.98</v>
      </c>
      <c r="N313" s="14">
        <v>5.25</v>
      </c>
      <c r="O313" s="14">
        <v>1.02</v>
      </c>
      <c r="P313" s="14">
        <v>3.58</v>
      </c>
      <c r="Q313">
        <v>1290</v>
      </c>
    </row>
    <row r="314" spans="3:17" x14ac:dyDescent="0.25">
      <c r="C314" s="15" t="s">
        <v>159</v>
      </c>
      <c r="D314" s="14" t="s">
        <v>14</v>
      </c>
      <c r="E314" s="14">
        <v>12.67</v>
      </c>
      <c r="F314" s="14">
        <v>0.97999999999999898</v>
      </c>
      <c r="G314" s="14">
        <v>2.2400000000000002</v>
      </c>
      <c r="H314" s="14">
        <v>18</v>
      </c>
      <c r="I314" s="14">
        <v>99</v>
      </c>
      <c r="J314" s="14">
        <v>2.2000000000000002</v>
      </c>
      <c r="K314" s="14">
        <v>1.93999999999999</v>
      </c>
      <c r="L314" s="14">
        <v>0.29999999999999899</v>
      </c>
      <c r="M314" s="14">
        <v>1.46</v>
      </c>
      <c r="N314" s="14">
        <v>2.62</v>
      </c>
      <c r="O314" s="14">
        <v>1.23</v>
      </c>
      <c r="P314" s="14">
        <v>3.16</v>
      </c>
      <c r="Q314">
        <v>450</v>
      </c>
    </row>
    <row r="315" spans="3:17" x14ac:dyDescent="0.25">
      <c r="C315" s="15" t="s">
        <v>364</v>
      </c>
      <c r="D315" s="14" t="s">
        <v>15</v>
      </c>
      <c r="E315" s="14">
        <v>12.6</v>
      </c>
      <c r="F315" s="14">
        <v>2.46</v>
      </c>
      <c r="G315" s="14">
        <v>2.2000000000000002</v>
      </c>
      <c r="H315" s="14">
        <v>18.5</v>
      </c>
      <c r="I315" s="14">
        <v>94</v>
      </c>
      <c r="J315" s="14">
        <v>1.62</v>
      </c>
      <c r="K315" s="14">
        <v>0.66</v>
      </c>
      <c r="L315" s="14">
        <v>0.63</v>
      </c>
      <c r="M315" s="14">
        <v>0.93999999999999895</v>
      </c>
      <c r="N315" s="14">
        <v>7.0999999999999899</v>
      </c>
      <c r="O315" s="14">
        <v>0.72999999999999898</v>
      </c>
      <c r="P315" s="14">
        <v>1.58</v>
      </c>
      <c r="Q315">
        <v>695</v>
      </c>
    </row>
    <row r="316" spans="3:17" x14ac:dyDescent="0.25">
      <c r="C316" s="15" t="s">
        <v>103</v>
      </c>
      <c r="D316" s="14" t="s">
        <v>13</v>
      </c>
      <c r="E316" s="14">
        <v>14.02</v>
      </c>
      <c r="F316" s="14">
        <v>1.6799999999999899</v>
      </c>
      <c r="G316" s="14">
        <v>2.21</v>
      </c>
      <c r="H316" s="14">
        <v>16</v>
      </c>
      <c r="I316" s="14">
        <v>96</v>
      </c>
      <c r="J316" s="14">
        <v>2.6499999999999901</v>
      </c>
      <c r="K316" s="14">
        <v>2.33</v>
      </c>
      <c r="L316" s="14">
        <v>0.26</v>
      </c>
      <c r="M316" s="14">
        <v>1.98</v>
      </c>
      <c r="N316" s="14">
        <v>4.7</v>
      </c>
      <c r="O316" s="14">
        <v>1.04</v>
      </c>
      <c r="P316" s="14">
        <v>3.5899999999999901</v>
      </c>
      <c r="Q316">
        <v>1035</v>
      </c>
    </row>
    <row r="317" spans="3:17" x14ac:dyDescent="0.25">
      <c r="C317" s="15" t="s">
        <v>140</v>
      </c>
      <c r="D317" s="14" t="s">
        <v>14</v>
      </c>
      <c r="E317" s="14">
        <v>13.1099999999999</v>
      </c>
      <c r="F317" s="14">
        <v>1.01</v>
      </c>
      <c r="G317" s="14">
        <v>1.7</v>
      </c>
      <c r="H317" s="14">
        <v>15</v>
      </c>
      <c r="I317" s="14">
        <v>78</v>
      </c>
      <c r="J317" s="14">
        <v>2.98</v>
      </c>
      <c r="K317" s="14">
        <v>3.18</v>
      </c>
      <c r="L317" s="14">
        <v>0.26</v>
      </c>
      <c r="M317" s="14">
        <v>2.27999999999999</v>
      </c>
      <c r="N317" s="14">
        <v>5.2999999999999901</v>
      </c>
      <c r="O317" s="14">
        <v>1.1200000000000001</v>
      </c>
      <c r="P317" s="14">
        <v>3.18</v>
      </c>
      <c r="Q317">
        <v>502</v>
      </c>
    </row>
    <row r="318" spans="3:17" x14ac:dyDescent="0.25">
      <c r="C318" s="15" t="s">
        <v>158</v>
      </c>
      <c r="D318" s="14" t="s">
        <v>14</v>
      </c>
      <c r="E318" s="14">
        <v>11.84</v>
      </c>
      <c r="F318" s="14">
        <v>0.89</v>
      </c>
      <c r="G318" s="14">
        <v>2.58</v>
      </c>
      <c r="H318" s="14">
        <v>18</v>
      </c>
      <c r="I318" s="14">
        <v>94</v>
      </c>
      <c r="J318" s="14">
        <v>2.2000000000000002</v>
      </c>
      <c r="K318" s="14">
        <v>2.21</v>
      </c>
      <c r="L318" s="14">
        <v>0.22</v>
      </c>
      <c r="M318" s="14">
        <v>2.35</v>
      </c>
      <c r="N318" s="14">
        <v>3.0499999999999901</v>
      </c>
      <c r="O318" s="14">
        <v>0.79</v>
      </c>
      <c r="P318" s="14">
        <v>3.08</v>
      </c>
      <c r="Q318">
        <v>520</v>
      </c>
    </row>
    <row r="319" spans="3:17" x14ac:dyDescent="0.25">
      <c r="C319" s="15" t="s">
        <v>344</v>
      </c>
      <c r="D319" s="14" t="s">
        <v>14</v>
      </c>
      <c r="E319" s="14">
        <v>11.0299999999999</v>
      </c>
      <c r="F319" s="14">
        <v>1.51</v>
      </c>
      <c r="G319" s="14">
        <v>2.2000000000000002</v>
      </c>
      <c r="H319" s="14">
        <v>21.5</v>
      </c>
      <c r="I319" s="14">
        <v>85</v>
      </c>
      <c r="J319" s="14">
        <v>2.46</v>
      </c>
      <c r="K319" s="14">
        <v>2.1699999999999902</v>
      </c>
      <c r="L319" s="14">
        <v>0.52</v>
      </c>
      <c r="M319" s="14">
        <v>2.00999999999999</v>
      </c>
      <c r="N319" s="14">
        <v>1.8999999999999899</v>
      </c>
      <c r="O319" s="14">
        <v>1.71</v>
      </c>
      <c r="P319" s="14">
        <v>2.87</v>
      </c>
      <c r="Q319">
        <v>407</v>
      </c>
    </row>
    <row r="320" spans="3:17" x14ac:dyDescent="0.25">
      <c r="C320" s="15" t="s">
        <v>210</v>
      </c>
      <c r="D320" s="14" t="s">
        <v>15</v>
      </c>
      <c r="E320" s="14">
        <v>12.25</v>
      </c>
      <c r="F320" s="14">
        <v>4.71999999999999</v>
      </c>
      <c r="G320" s="14">
        <v>2.54</v>
      </c>
      <c r="H320" s="14">
        <v>21</v>
      </c>
      <c r="I320" s="14">
        <v>89</v>
      </c>
      <c r="J320" s="14">
        <v>1.3799999999999899</v>
      </c>
      <c r="K320" s="14">
        <v>0.46999999999999897</v>
      </c>
      <c r="L320" s="14">
        <v>0.53</v>
      </c>
      <c r="M320" s="14">
        <v>0.8</v>
      </c>
      <c r="N320" s="14">
        <v>3.85</v>
      </c>
      <c r="O320" s="14">
        <v>0.75</v>
      </c>
      <c r="P320" s="14">
        <v>1.27</v>
      </c>
      <c r="Q320">
        <v>720</v>
      </c>
    </row>
    <row r="321" spans="3:17" x14ac:dyDescent="0.25">
      <c r="C321" s="15" t="s">
        <v>148</v>
      </c>
      <c r="D321" s="14" t="s">
        <v>14</v>
      </c>
      <c r="E321" s="14">
        <v>11.96</v>
      </c>
      <c r="F321" s="14">
        <v>1.0900000000000001</v>
      </c>
      <c r="G321" s="14">
        <v>2.2999999999999901</v>
      </c>
      <c r="H321" s="14">
        <v>21</v>
      </c>
      <c r="I321" s="14">
        <v>101</v>
      </c>
      <c r="J321" s="14">
        <v>3.3799999999999901</v>
      </c>
      <c r="K321" s="14">
        <v>2.14</v>
      </c>
      <c r="L321" s="14">
        <v>0.13</v>
      </c>
      <c r="M321" s="14">
        <v>1.6499999999999899</v>
      </c>
      <c r="N321" s="14">
        <v>3.21</v>
      </c>
      <c r="O321" s="14">
        <v>0.98999999999999899</v>
      </c>
      <c r="P321" s="14">
        <v>3.1299999999999901</v>
      </c>
      <c r="Q321">
        <v>886</v>
      </c>
    </row>
    <row r="322" spans="3:17" x14ac:dyDescent="0.25">
      <c r="C322" s="15" t="s">
        <v>184</v>
      </c>
      <c r="D322" s="14" t="s">
        <v>14</v>
      </c>
      <c r="E322" s="14">
        <v>11.46</v>
      </c>
      <c r="F322" s="14">
        <v>3.74</v>
      </c>
      <c r="G322" s="14">
        <v>1.82</v>
      </c>
      <c r="H322" s="14">
        <v>19.5</v>
      </c>
      <c r="I322" s="14">
        <v>107</v>
      </c>
      <c r="J322" s="14">
        <v>3.18</v>
      </c>
      <c r="K322" s="14">
        <v>2.58</v>
      </c>
      <c r="L322" s="14">
        <v>0.23999999999999899</v>
      </c>
      <c r="M322" s="14">
        <v>3.58</v>
      </c>
      <c r="N322" s="14">
        <v>2.8999999999999901</v>
      </c>
      <c r="O322" s="14">
        <v>0.75</v>
      </c>
      <c r="P322" s="14">
        <v>2.81</v>
      </c>
      <c r="Q322">
        <v>562</v>
      </c>
    </row>
    <row r="323" spans="3:17" x14ac:dyDescent="0.25">
      <c r="C323" s="15" t="s">
        <v>125</v>
      </c>
      <c r="D323" s="14" t="s">
        <v>13</v>
      </c>
      <c r="E323" s="14">
        <v>13.83</v>
      </c>
      <c r="F323" s="14">
        <v>1.6499999999999899</v>
      </c>
      <c r="G323" s="14">
        <v>2.6</v>
      </c>
      <c r="H323" s="14">
        <v>17.1999999999999</v>
      </c>
      <c r="I323" s="14">
        <v>94</v>
      </c>
      <c r="J323" s="14">
        <v>2.4500000000000002</v>
      </c>
      <c r="K323" s="14">
        <v>2.99</v>
      </c>
      <c r="L323" s="14">
        <v>0.22</v>
      </c>
      <c r="M323" s="14">
        <v>2.29</v>
      </c>
      <c r="N323" s="14">
        <v>5.5999999999999899</v>
      </c>
      <c r="O323" s="14">
        <v>1.24</v>
      </c>
      <c r="P323" s="14">
        <v>3.37</v>
      </c>
      <c r="Q323">
        <v>1265</v>
      </c>
    </row>
    <row r="324" spans="3:17" x14ac:dyDescent="0.25">
      <c r="C324" s="15" t="s">
        <v>113</v>
      </c>
      <c r="D324" s="14" t="s">
        <v>13</v>
      </c>
      <c r="E324" s="14">
        <v>14.22</v>
      </c>
      <c r="F324" s="14">
        <v>3.99</v>
      </c>
      <c r="G324" s="14">
        <v>2.50999999999999</v>
      </c>
      <c r="H324" s="14">
        <v>13.1999999999999</v>
      </c>
      <c r="I324" s="14">
        <v>128</v>
      </c>
      <c r="J324" s="14">
        <v>3</v>
      </c>
      <c r="K324" s="14">
        <v>3.04</v>
      </c>
      <c r="L324" s="14">
        <v>0.2</v>
      </c>
      <c r="M324" s="14">
        <v>2.08</v>
      </c>
      <c r="N324" s="14">
        <v>5.0999999999999899</v>
      </c>
      <c r="O324" s="14">
        <v>0.89</v>
      </c>
      <c r="P324" s="14">
        <v>3.52999999999999</v>
      </c>
      <c r="Q324">
        <v>760</v>
      </c>
    </row>
    <row r="325" spans="3:17" x14ac:dyDescent="0.25">
      <c r="C325" s="15" t="s">
        <v>385</v>
      </c>
      <c r="D325" s="14" t="s">
        <v>15</v>
      </c>
      <c r="E325" s="14">
        <v>13.84</v>
      </c>
      <c r="F325" s="14">
        <v>4.12</v>
      </c>
      <c r="G325" s="14">
        <v>2.3799999999999901</v>
      </c>
      <c r="H325" s="14">
        <v>19.5</v>
      </c>
      <c r="I325" s="14">
        <v>89</v>
      </c>
      <c r="J325" s="14">
        <v>1.8</v>
      </c>
      <c r="K325" s="14">
        <v>0.82999999999999896</v>
      </c>
      <c r="L325" s="14">
        <v>0.47999999999999898</v>
      </c>
      <c r="M325" s="14">
        <v>1.56</v>
      </c>
      <c r="N325" s="14">
        <v>9.0099999999999891</v>
      </c>
      <c r="O325" s="14">
        <v>0.56999999999999895</v>
      </c>
      <c r="P325" s="14">
        <v>1.6399999999999899</v>
      </c>
      <c r="Q325">
        <v>480</v>
      </c>
    </row>
    <row r="326" spans="3:17" x14ac:dyDescent="0.25">
      <c r="C326" s="15" t="s">
        <v>299</v>
      </c>
      <c r="D326" s="14" t="s">
        <v>14</v>
      </c>
      <c r="E326" s="14">
        <v>12.2899999999999</v>
      </c>
      <c r="F326" s="14">
        <v>1.61</v>
      </c>
      <c r="G326" s="14">
        <v>2.21</v>
      </c>
      <c r="H326" s="14">
        <v>20.399999999999899</v>
      </c>
      <c r="I326" s="14">
        <v>103</v>
      </c>
      <c r="J326" s="14">
        <v>1.1000000000000001</v>
      </c>
      <c r="K326" s="14">
        <v>1.02</v>
      </c>
      <c r="L326" s="14">
        <v>0.37</v>
      </c>
      <c r="M326" s="14">
        <v>1.46</v>
      </c>
      <c r="N326" s="14">
        <v>3.0499999999999901</v>
      </c>
      <c r="O326" s="14">
        <v>0.90600000000000003</v>
      </c>
      <c r="P326" s="14">
        <v>1.82</v>
      </c>
      <c r="Q326">
        <v>870</v>
      </c>
    </row>
    <row r="327" spans="3:17" x14ac:dyDescent="0.25">
      <c r="C327" s="15" t="s">
        <v>166</v>
      </c>
      <c r="D327" s="14" t="s">
        <v>14</v>
      </c>
      <c r="E327" s="14">
        <v>12.69</v>
      </c>
      <c r="F327" s="14">
        <v>1.53</v>
      </c>
      <c r="G327" s="14">
        <v>2.25999999999999</v>
      </c>
      <c r="H327" s="14">
        <v>20.6999999999999</v>
      </c>
      <c r="I327" s="14">
        <v>80</v>
      </c>
      <c r="J327" s="14">
        <v>1.3799999999999899</v>
      </c>
      <c r="K327" s="14">
        <v>1.46</v>
      </c>
      <c r="L327" s="14">
        <v>0.57999999999999896</v>
      </c>
      <c r="M327" s="14">
        <v>1.62</v>
      </c>
      <c r="N327" s="14">
        <v>3.0499999999999901</v>
      </c>
      <c r="O327" s="14">
        <v>0.95999999999999897</v>
      </c>
      <c r="P327" s="14">
        <v>2.06</v>
      </c>
      <c r="Q327">
        <v>495</v>
      </c>
    </row>
    <row r="328" spans="3:17" x14ac:dyDescent="0.25">
      <c r="C328" s="15" t="s">
        <v>289</v>
      </c>
      <c r="D328" s="14" t="s">
        <v>14</v>
      </c>
      <c r="E328" s="14">
        <v>12.33</v>
      </c>
      <c r="F328" s="14">
        <v>1.1000000000000001</v>
      </c>
      <c r="G328" s="14">
        <v>2.27999999999999</v>
      </c>
      <c r="H328" s="14">
        <v>16</v>
      </c>
      <c r="I328" s="14">
        <v>101</v>
      </c>
      <c r="J328" s="14">
        <v>2.0499999999999901</v>
      </c>
      <c r="K328" s="14">
        <v>1.0900000000000001</v>
      </c>
      <c r="L328" s="14">
        <v>0.63</v>
      </c>
      <c r="M328" s="14">
        <v>0.40999999999999898</v>
      </c>
      <c r="N328" s="14">
        <v>3.27</v>
      </c>
      <c r="O328" s="14">
        <v>1.25</v>
      </c>
      <c r="P328" s="14">
        <v>1.6699999999999899</v>
      </c>
      <c r="Q328">
        <v>680</v>
      </c>
    </row>
    <row r="329" spans="3:17" x14ac:dyDescent="0.25">
      <c r="C329" s="15" t="s">
        <v>176</v>
      </c>
      <c r="D329" s="14" t="s">
        <v>14</v>
      </c>
      <c r="E329" s="14">
        <v>12.34</v>
      </c>
      <c r="F329" s="14">
        <v>2.4500000000000002</v>
      </c>
      <c r="G329" s="14">
        <v>2.46</v>
      </c>
      <c r="H329" s="14">
        <v>21</v>
      </c>
      <c r="I329" s="14">
        <v>98</v>
      </c>
      <c r="J329" s="14">
        <v>2.56</v>
      </c>
      <c r="K329" s="14">
        <v>2.1099999999999901</v>
      </c>
      <c r="L329" s="14">
        <v>0.34</v>
      </c>
      <c r="M329" s="14">
        <v>1.31</v>
      </c>
      <c r="N329" s="14">
        <v>2.7999999999999901</v>
      </c>
      <c r="O329" s="14">
        <v>0.8</v>
      </c>
      <c r="P329" s="14">
        <v>3.3799999999999901</v>
      </c>
      <c r="Q329">
        <v>438</v>
      </c>
    </row>
    <row r="330" spans="3:17" x14ac:dyDescent="0.25">
      <c r="C330" s="15" t="s">
        <v>204</v>
      </c>
      <c r="D330" s="14" t="s">
        <v>15</v>
      </c>
      <c r="E330" s="14">
        <v>12.8599999999999</v>
      </c>
      <c r="F330" s="14">
        <v>1.35</v>
      </c>
      <c r="G330" s="14">
        <v>2.3199999999999901</v>
      </c>
      <c r="H330" s="14">
        <v>18</v>
      </c>
      <c r="I330" s="14">
        <v>122</v>
      </c>
      <c r="J330" s="14">
        <v>1.51</v>
      </c>
      <c r="K330" s="14">
        <v>1.25</v>
      </c>
      <c r="L330" s="14">
        <v>0.20999999999999899</v>
      </c>
      <c r="M330" s="14">
        <v>0.93999999999999895</v>
      </c>
      <c r="N330" s="14">
        <v>4.0999999999999899</v>
      </c>
      <c r="O330" s="14">
        <v>0.76</v>
      </c>
      <c r="P330" s="14">
        <v>1.29</v>
      </c>
      <c r="Q330">
        <v>630</v>
      </c>
    </row>
    <row r="331" spans="3:17" x14ac:dyDescent="0.25">
      <c r="C331" s="15" t="s">
        <v>374</v>
      </c>
      <c r="D331" s="14" t="s">
        <v>15</v>
      </c>
      <c r="E331" s="14">
        <v>13.16</v>
      </c>
      <c r="F331" s="14">
        <v>3.5699999999999901</v>
      </c>
      <c r="G331" s="14">
        <v>2.1499999999999901</v>
      </c>
      <c r="H331" s="14">
        <v>21</v>
      </c>
      <c r="I331" s="14">
        <v>102</v>
      </c>
      <c r="J331" s="14">
        <v>1.5</v>
      </c>
      <c r="K331" s="14">
        <v>0.55000000000000004</v>
      </c>
      <c r="L331" s="14">
        <v>0.42999999999999899</v>
      </c>
      <c r="M331" s="14">
        <v>1.3</v>
      </c>
      <c r="N331" s="14">
        <v>4</v>
      </c>
      <c r="O331" s="14">
        <v>0.59999999999999898</v>
      </c>
      <c r="P331" s="14">
        <v>1.6799999999999899</v>
      </c>
      <c r="Q331">
        <v>830</v>
      </c>
    </row>
    <row r="332" spans="3:17" x14ac:dyDescent="0.25">
      <c r="C332" s="15" t="s">
        <v>300</v>
      </c>
      <c r="D332" s="14" t="s">
        <v>14</v>
      </c>
      <c r="E332" s="14">
        <v>13.8599999999999</v>
      </c>
      <c r="F332" s="14">
        <v>1.51</v>
      </c>
      <c r="G332" s="14">
        <v>2.6699999999999902</v>
      </c>
      <c r="H332" s="14">
        <v>25</v>
      </c>
      <c r="I332" s="14">
        <v>86</v>
      </c>
      <c r="J332" s="14">
        <v>2.95</v>
      </c>
      <c r="K332" s="14">
        <v>2.8599999999999901</v>
      </c>
      <c r="L332" s="14">
        <v>0.20999999999999899</v>
      </c>
      <c r="M332" s="14">
        <v>1.87</v>
      </c>
      <c r="N332" s="14">
        <v>3.3799999999999901</v>
      </c>
      <c r="O332" s="14">
        <v>1.36</v>
      </c>
      <c r="P332" s="14">
        <v>3.16</v>
      </c>
      <c r="Q332">
        <v>410</v>
      </c>
    </row>
    <row r="333" spans="3:17" x14ac:dyDescent="0.25">
      <c r="C333" s="15" t="s">
        <v>279</v>
      </c>
      <c r="D333" s="14" t="s">
        <v>13</v>
      </c>
      <c r="E333" s="14">
        <v>13.05</v>
      </c>
      <c r="F333" s="14">
        <v>1.73</v>
      </c>
      <c r="G333" s="14">
        <v>2.04</v>
      </c>
      <c r="H333" s="14">
        <v>12.4</v>
      </c>
      <c r="I333" s="14">
        <v>92</v>
      </c>
      <c r="J333" s="14">
        <v>2.72</v>
      </c>
      <c r="K333" s="14">
        <v>3.27</v>
      </c>
      <c r="L333" s="14">
        <v>0.17</v>
      </c>
      <c r="M333" s="14">
        <v>2.91</v>
      </c>
      <c r="N333" s="14">
        <v>7.2</v>
      </c>
      <c r="O333" s="14">
        <v>1.1200000000000001</v>
      </c>
      <c r="P333" s="14">
        <v>2.91</v>
      </c>
      <c r="Q333">
        <v>1150</v>
      </c>
    </row>
    <row r="334" spans="3:17" x14ac:dyDescent="0.25">
      <c r="C334" s="15" t="s">
        <v>225</v>
      </c>
      <c r="D334" s="14" t="s">
        <v>15</v>
      </c>
      <c r="E334" s="14">
        <v>12.7899999999999</v>
      </c>
      <c r="F334" s="14">
        <v>2.6699999999999902</v>
      </c>
      <c r="G334" s="14">
        <v>2.48</v>
      </c>
      <c r="H334" s="14">
        <v>22</v>
      </c>
      <c r="I334" s="14">
        <v>112</v>
      </c>
      <c r="J334" s="14">
        <v>1.48</v>
      </c>
      <c r="K334" s="14">
        <v>1.36</v>
      </c>
      <c r="L334" s="14">
        <v>0.23999999999999899</v>
      </c>
      <c r="M334" s="14">
        <v>1.26</v>
      </c>
      <c r="N334" s="14">
        <v>10.8</v>
      </c>
      <c r="O334" s="14">
        <v>0.47999999999999898</v>
      </c>
      <c r="P334" s="14">
        <v>1.47</v>
      </c>
      <c r="Q334">
        <v>480</v>
      </c>
    </row>
    <row r="335" spans="3:17" x14ac:dyDescent="0.25">
      <c r="C335" s="15" t="s">
        <v>286</v>
      </c>
      <c r="D335" s="14" t="s">
        <v>13</v>
      </c>
      <c r="E335" s="14">
        <v>13.2899999999999</v>
      </c>
      <c r="F335" s="14">
        <v>1.97</v>
      </c>
      <c r="G335" s="14">
        <v>2.68</v>
      </c>
      <c r="H335" s="14">
        <v>16.8</v>
      </c>
      <c r="I335" s="14">
        <v>102</v>
      </c>
      <c r="J335" s="14">
        <v>3</v>
      </c>
      <c r="K335" s="14">
        <v>3.23</v>
      </c>
      <c r="L335" s="14">
        <v>0.31</v>
      </c>
      <c r="M335" s="14">
        <v>1.6599999999999899</v>
      </c>
      <c r="N335" s="14">
        <v>6</v>
      </c>
      <c r="O335" s="14">
        <v>1.07</v>
      </c>
      <c r="P335" s="14">
        <v>2.8399999999999901</v>
      </c>
      <c r="Q335">
        <v>1270</v>
      </c>
    </row>
    <row r="336" spans="3:17" x14ac:dyDescent="0.25">
      <c r="C336" s="15" t="s">
        <v>119</v>
      </c>
      <c r="D336" s="14" t="s">
        <v>13</v>
      </c>
      <c r="E336" s="14">
        <v>14.21</v>
      </c>
      <c r="F336" s="14">
        <v>4.04</v>
      </c>
      <c r="G336" s="14">
        <v>2.4399999999999902</v>
      </c>
      <c r="H336" s="14">
        <v>18.899999999999899</v>
      </c>
      <c r="I336" s="14">
        <v>111</v>
      </c>
      <c r="J336" s="14">
        <v>2.85</v>
      </c>
      <c r="K336" s="14">
        <v>2.6499999999999901</v>
      </c>
      <c r="L336" s="14">
        <v>0.29999999999999899</v>
      </c>
      <c r="M336" s="14">
        <v>1.25</v>
      </c>
      <c r="N336" s="14">
        <v>5.24</v>
      </c>
      <c r="O336" s="14">
        <v>0.87</v>
      </c>
      <c r="P336" s="14">
        <v>3.33</v>
      </c>
      <c r="Q336">
        <v>1080</v>
      </c>
    </row>
    <row r="337" spans="3:17" x14ac:dyDescent="0.25">
      <c r="C337" s="15" t="s">
        <v>82</v>
      </c>
      <c r="D337" s="14" t="s">
        <v>13</v>
      </c>
      <c r="E337" s="14">
        <v>14.83</v>
      </c>
      <c r="F337" s="14">
        <v>1.6399999999999899</v>
      </c>
      <c r="G337" s="14">
        <v>2.1699999999999902</v>
      </c>
      <c r="H337" s="14">
        <v>14</v>
      </c>
      <c r="I337" s="14">
        <v>97</v>
      </c>
      <c r="J337" s="14">
        <v>2.7999999999999901</v>
      </c>
      <c r="K337" s="14">
        <v>2.98</v>
      </c>
      <c r="L337" s="14">
        <v>0.28999999999999898</v>
      </c>
      <c r="M337" s="14">
        <v>1.98</v>
      </c>
      <c r="N337" s="14">
        <v>5.2</v>
      </c>
      <c r="O337" s="14">
        <v>1.08</v>
      </c>
      <c r="P337" s="14">
        <v>2.85</v>
      </c>
      <c r="Q337">
        <v>1045</v>
      </c>
    </row>
    <row r="338" spans="3:17" x14ac:dyDescent="0.25">
      <c r="C338" s="15" t="s">
        <v>304</v>
      </c>
      <c r="D338" s="14" t="s">
        <v>14</v>
      </c>
      <c r="E338" s="14">
        <v>11.66</v>
      </c>
      <c r="F338" s="14">
        <v>1.8799999999999899</v>
      </c>
      <c r="G338" s="14">
        <v>1.9199999999999899</v>
      </c>
      <c r="H338" s="14">
        <v>16</v>
      </c>
      <c r="I338" s="14">
        <v>97</v>
      </c>
      <c r="J338" s="14">
        <v>1.61</v>
      </c>
      <c r="K338" s="14">
        <v>1.57</v>
      </c>
      <c r="L338" s="14">
        <v>0.34</v>
      </c>
      <c r="M338" s="14">
        <v>1.1499999999999899</v>
      </c>
      <c r="N338" s="14">
        <v>3.7999999999999901</v>
      </c>
      <c r="O338" s="14">
        <v>1.23</v>
      </c>
      <c r="P338" s="14">
        <v>2.14</v>
      </c>
      <c r="Q338">
        <v>428</v>
      </c>
    </row>
    <row r="339" spans="3:17" x14ac:dyDescent="0.25">
      <c r="C339" s="15" t="s">
        <v>163</v>
      </c>
      <c r="D339" s="14" t="s">
        <v>14</v>
      </c>
      <c r="E339" s="14">
        <v>12.08</v>
      </c>
      <c r="F339" s="14">
        <v>1.33</v>
      </c>
      <c r="G339" s="14">
        <v>2.2999999999999901</v>
      </c>
      <c r="H339" s="14">
        <v>23.6</v>
      </c>
      <c r="I339" s="14">
        <v>70</v>
      </c>
      <c r="J339" s="14">
        <v>2.2000000000000002</v>
      </c>
      <c r="K339" s="14">
        <v>1.59</v>
      </c>
      <c r="L339" s="14">
        <v>0.41999999999999899</v>
      </c>
      <c r="M339" s="14">
        <v>1.3799999999999899</v>
      </c>
      <c r="N339" s="14">
        <v>1.74</v>
      </c>
      <c r="O339" s="14">
        <v>1.07</v>
      </c>
      <c r="P339" s="14">
        <v>3.21</v>
      </c>
      <c r="Q339">
        <v>625</v>
      </c>
    </row>
    <row r="340" spans="3:17" x14ac:dyDescent="0.25">
      <c r="C340" s="15" t="s">
        <v>152</v>
      </c>
      <c r="D340" s="14" t="s">
        <v>14</v>
      </c>
      <c r="E340" s="14">
        <v>12.33</v>
      </c>
      <c r="F340" s="14">
        <v>0.98999999999999899</v>
      </c>
      <c r="G340" s="14">
        <v>1.95</v>
      </c>
      <c r="H340" s="14">
        <v>14.8</v>
      </c>
      <c r="I340" s="14">
        <v>136</v>
      </c>
      <c r="J340" s="14">
        <v>1.8999999999999899</v>
      </c>
      <c r="K340" s="14">
        <v>1.85</v>
      </c>
      <c r="L340" s="14">
        <v>0.34999999999999898</v>
      </c>
      <c r="M340" s="14">
        <v>2.75999999999999</v>
      </c>
      <c r="N340" s="14">
        <v>3.3999999999999901</v>
      </c>
      <c r="O340" s="14">
        <v>1.06</v>
      </c>
      <c r="P340" s="14">
        <v>2.31</v>
      </c>
      <c r="Q340">
        <v>750</v>
      </c>
    </row>
    <row r="341" spans="3:17" x14ac:dyDescent="0.25">
      <c r="C341" s="15" t="s">
        <v>197</v>
      </c>
      <c r="D341" s="14" t="s">
        <v>14</v>
      </c>
      <c r="E341" s="14">
        <v>13.05</v>
      </c>
      <c r="F341" s="14">
        <v>5.7999999999999901</v>
      </c>
      <c r="G341" s="14">
        <v>2.1299999999999901</v>
      </c>
      <c r="H341" s="14">
        <v>21.5</v>
      </c>
      <c r="I341" s="14">
        <v>86</v>
      </c>
      <c r="J341" s="14">
        <v>2.62</v>
      </c>
      <c r="K341" s="14">
        <v>2.6499999999999901</v>
      </c>
      <c r="L341" s="14">
        <v>0.29999999999999899</v>
      </c>
      <c r="M341" s="14">
        <v>2.00999999999999</v>
      </c>
      <c r="N341" s="14">
        <v>2.6</v>
      </c>
      <c r="O341" s="14">
        <v>0.72999999999999898</v>
      </c>
      <c r="P341" s="14">
        <v>3.1</v>
      </c>
      <c r="Q341">
        <v>380</v>
      </c>
    </row>
    <row r="342" spans="3:17" x14ac:dyDescent="0.25">
      <c r="C342" s="15" t="s">
        <v>378</v>
      </c>
      <c r="D342" s="14" t="s">
        <v>15</v>
      </c>
      <c r="E342" s="14">
        <v>13.08</v>
      </c>
      <c r="F342" s="14">
        <v>3.8999999999999901</v>
      </c>
      <c r="G342" s="14">
        <v>2.3599999999999901</v>
      </c>
      <c r="H342" s="14">
        <v>21.5</v>
      </c>
      <c r="I342" s="14">
        <v>113</v>
      </c>
      <c r="J342" s="14">
        <v>1.4099999999999899</v>
      </c>
      <c r="K342" s="14">
        <v>1.3899999999999899</v>
      </c>
      <c r="L342" s="14">
        <v>0.34</v>
      </c>
      <c r="M342" s="14">
        <v>1.1399999999999899</v>
      </c>
      <c r="N342" s="14">
        <v>9.4</v>
      </c>
      <c r="O342" s="14">
        <v>0.56999999999999895</v>
      </c>
      <c r="P342" s="14">
        <v>1.33</v>
      </c>
      <c r="Q342">
        <v>550</v>
      </c>
    </row>
    <row r="343" spans="3:17" x14ac:dyDescent="0.25">
      <c r="C343" s="15" t="s">
        <v>233</v>
      </c>
      <c r="D343" s="14" t="s">
        <v>15</v>
      </c>
      <c r="E343" s="14">
        <v>13.48</v>
      </c>
      <c r="F343" s="14">
        <v>1.6699999999999899</v>
      </c>
      <c r="G343" s="14">
        <v>2.64</v>
      </c>
      <c r="H343" s="14">
        <v>22.5</v>
      </c>
      <c r="I343" s="14">
        <v>89</v>
      </c>
      <c r="J343" s="14">
        <v>2.6</v>
      </c>
      <c r="K343" s="14">
        <v>1.1000000000000001</v>
      </c>
      <c r="L343" s="14">
        <v>0.52</v>
      </c>
      <c r="M343" s="14">
        <v>2.29</v>
      </c>
      <c r="N343" s="14">
        <v>11.75</v>
      </c>
      <c r="O343" s="14">
        <v>0.56999999999999895</v>
      </c>
      <c r="P343" s="14">
        <v>1.78</v>
      </c>
      <c r="Q343">
        <v>620</v>
      </c>
    </row>
    <row r="344" spans="3:17" x14ac:dyDescent="0.25">
      <c r="C344" s="15" t="s">
        <v>346</v>
      </c>
      <c r="D344" s="14" t="s">
        <v>14</v>
      </c>
      <c r="E344" s="14">
        <v>12.42</v>
      </c>
      <c r="F344" s="14">
        <v>1.61</v>
      </c>
      <c r="G344" s="14">
        <v>2.1899999999999902</v>
      </c>
      <c r="H344" s="14">
        <v>22.5</v>
      </c>
      <c r="I344" s="14">
        <v>108</v>
      </c>
      <c r="J344" s="14">
        <v>2</v>
      </c>
      <c r="K344" s="14">
        <v>2.0899999999999901</v>
      </c>
      <c r="L344" s="14">
        <v>0.34</v>
      </c>
      <c r="M344" s="14">
        <v>1.61</v>
      </c>
      <c r="N344" s="14">
        <v>2.06</v>
      </c>
      <c r="O344" s="14">
        <v>1.06</v>
      </c>
      <c r="P344" s="14">
        <v>2.96</v>
      </c>
      <c r="Q344">
        <v>345</v>
      </c>
    </row>
    <row r="345" spans="3:17" x14ac:dyDescent="0.25">
      <c r="C345" s="15" t="s">
        <v>271</v>
      </c>
      <c r="D345" s="14" t="s">
        <v>13</v>
      </c>
      <c r="E345" s="14">
        <v>13.88</v>
      </c>
      <c r="F345" s="14">
        <v>1.8899999999999899</v>
      </c>
      <c r="G345" s="14">
        <v>2.5899999999999901</v>
      </c>
      <c r="H345" s="14">
        <v>15</v>
      </c>
      <c r="I345" s="14">
        <v>101</v>
      </c>
      <c r="J345" s="14">
        <v>3.25</v>
      </c>
      <c r="K345" s="14">
        <v>3.56</v>
      </c>
      <c r="L345" s="14">
        <v>0.17</v>
      </c>
      <c r="M345" s="14">
        <v>1.7</v>
      </c>
      <c r="N345" s="14">
        <v>5.4299999999999899</v>
      </c>
      <c r="O345" s="14">
        <v>0.88</v>
      </c>
      <c r="P345" s="14">
        <v>3.56</v>
      </c>
      <c r="Q345">
        <v>1095</v>
      </c>
    </row>
    <row r="346" spans="3:17" x14ac:dyDescent="0.25">
      <c r="C346" s="15" t="s">
        <v>228</v>
      </c>
      <c r="D346" s="14" t="s">
        <v>15</v>
      </c>
      <c r="E346" s="14">
        <v>12.58</v>
      </c>
      <c r="F346" s="14">
        <v>1.29</v>
      </c>
      <c r="G346" s="14">
        <v>2.1</v>
      </c>
      <c r="H346" s="14">
        <v>20</v>
      </c>
      <c r="I346" s="14">
        <v>103</v>
      </c>
      <c r="J346" s="14">
        <v>1.48</v>
      </c>
      <c r="K346" s="14">
        <v>0.57999999999999896</v>
      </c>
      <c r="L346" s="14">
        <v>0.53</v>
      </c>
      <c r="M346" s="14">
        <v>1.3999999999999899</v>
      </c>
      <c r="N346" s="14">
        <v>7.5999999999999899</v>
      </c>
      <c r="O346" s="14">
        <v>0.57999999999999896</v>
      </c>
      <c r="P346" s="14">
        <v>1.55</v>
      </c>
      <c r="Q346">
        <v>640</v>
      </c>
    </row>
    <row r="347" spans="3:17" x14ac:dyDescent="0.25">
      <c r="C347" s="15" t="s">
        <v>200</v>
      </c>
      <c r="D347" s="14" t="s">
        <v>14</v>
      </c>
      <c r="E347" s="14">
        <v>12.43</v>
      </c>
      <c r="F347" s="14">
        <v>1.53</v>
      </c>
      <c r="G347" s="14">
        <v>2.29</v>
      </c>
      <c r="H347" s="14">
        <v>21.5</v>
      </c>
      <c r="I347" s="14">
        <v>86</v>
      </c>
      <c r="J347" s="14">
        <v>2.74</v>
      </c>
      <c r="K347" s="14">
        <v>3.1499999999999901</v>
      </c>
      <c r="L347" s="14">
        <v>0.39</v>
      </c>
      <c r="M347" s="14">
        <v>1.77</v>
      </c>
      <c r="N347" s="14">
        <v>3.9399999999999902</v>
      </c>
      <c r="O347" s="14">
        <v>0.68999999999999895</v>
      </c>
      <c r="P347" s="14">
        <v>2.8399999999999901</v>
      </c>
      <c r="Q347">
        <v>352</v>
      </c>
    </row>
    <row r="348" spans="3:17" x14ac:dyDescent="0.25">
      <c r="C348" s="15" t="s">
        <v>270</v>
      </c>
      <c r="D348" s="14" t="s">
        <v>13</v>
      </c>
      <c r="E348" s="14">
        <v>13.41</v>
      </c>
      <c r="F348" s="14">
        <v>3.8399999999999901</v>
      </c>
      <c r="G348" s="14">
        <v>2.12</v>
      </c>
      <c r="H348" s="14">
        <v>18.8</v>
      </c>
      <c r="I348" s="14">
        <v>90</v>
      </c>
      <c r="J348" s="14">
        <v>2.4500000000000002</v>
      </c>
      <c r="K348" s="14">
        <v>2.68</v>
      </c>
      <c r="L348" s="14">
        <v>0.27</v>
      </c>
      <c r="M348" s="14">
        <v>1.48</v>
      </c>
      <c r="N348" s="14">
        <v>4.28</v>
      </c>
      <c r="O348" s="14">
        <v>0.91</v>
      </c>
      <c r="P348" s="14">
        <v>3</v>
      </c>
      <c r="Q348">
        <v>1035</v>
      </c>
    </row>
    <row r="349" spans="3:17" x14ac:dyDescent="0.25">
      <c r="C349" s="15" t="s">
        <v>208</v>
      </c>
      <c r="D349" s="14" t="s">
        <v>15</v>
      </c>
      <c r="E349" s="14">
        <v>12.51</v>
      </c>
      <c r="F349" s="14">
        <v>1.24</v>
      </c>
      <c r="G349" s="14">
        <v>2.25</v>
      </c>
      <c r="H349" s="14">
        <v>17.5</v>
      </c>
      <c r="I349" s="14">
        <v>85</v>
      </c>
      <c r="J349" s="14">
        <v>2</v>
      </c>
      <c r="K349" s="14">
        <v>0.57999999999999896</v>
      </c>
      <c r="L349" s="14">
        <v>0.59999999999999898</v>
      </c>
      <c r="M349" s="14">
        <v>1.25</v>
      </c>
      <c r="N349" s="14">
        <v>5.45</v>
      </c>
      <c r="O349" s="14">
        <v>0.75</v>
      </c>
      <c r="P349" s="14">
        <v>1.51</v>
      </c>
      <c r="Q349">
        <v>650</v>
      </c>
    </row>
    <row r="350" spans="3:17" x14ac:dyDescent="0.25">
      <c r="C350" s="15" t="s">
        <v>253</v>
      </c>
      <c r="D350" s="14" t="s">
        <v>13</v>
      </c>
      <c r="E350" s="14">
        <v>13.5</v>
      </c>
      <c r="F350" s="14">
        <v>1.81</v>
      </c>
      <c r="G350" s="14">
        <v>2.6099999999999901</v>
      </c>
      <c r="H350" s="14">
        <v>20</v>
      </c>
      <c r="I350" s="14">
        <v>96</v>
      </c>
      <c r="J350" s="14">
        <v>2.52999999999999</v>
      </c>
      <c r="K350" s="14">
        <v>2.6099999999999901</v>
      </c>
      <c r="L350" s="14">
        <v>0.28000000000000003</v>
      </c>
      <c r="M350" s="14">
        <v>1.6599999999999899</v>
      </c>
      <c r="N350" s="14">
        <v>3.52</v>
      </c>
      <c r="O350" s="14">
        <v>1.1200000000000001</v>
      </c>
      <c r="P350" s="14">
        <v>3.8199999999999901</v>
      </c>
      <c r="Q350">
        <v>845</v>
      </c>
    </row>
    <row r="351" spans="3:17" x14ac:dyDescent="0.25">
      <c r="C351" s="15" t="s">
        <v>224</v>
      </c>
      <c r="D351" s="14" t="s">
        <v>15</v>
      </c>
      <c r="E351" s="14">
        <v>13.5</v>
      </c>
      <c r="F351" s="14">
        <v>3.12</v>
      </c>
      <c r="G351" s="14">
        <v>2.62</v>
      </c>
      <c r="H351" s="14">
        <v>24</v>
      </c>
      <c r="I351" s="14">
        <v>123</v>
      </c>
      <c r="J351" s="14">
        <v>1.3999999999999899</v>
      </c>
      <c r="K351" s="14">
        <v>1.57</v>
      </c>
      <c r="L351" s="14">
        <v>0.22</v>
      </c>
      <c r="M351" s="14">
        <v>1.25</v>
      </c>
      <c r="N351" s="14">
        <v>8.5999999999999908</v>
      </c>
      <c r="O351" s="14">
        <v>0.58999999999999897</v>
      </c>
      <c r="P351" s="14">
        <v>1.3</v>
      </c>
      <c r="Q351">
        <v>500</v>
      </c>
    </row>
    <row r="352" spans="3:17" x14ac:dyDescent="0.25">
      <c r="C352" s="15" t="s">
        <v>245</v>
      </c>
      <c r="D352" s="14" t="s">
        <v>15</v>
      </c>
      <c r="E352" s="14">
        <v>12.77</v>
      </c>
      <c r="F352" s="14">
        <v>2.39</v>
      </c>
      <c r="G352" s="14">
        <v>2.27999999999999</v>
      </c>
      <c r="H352" s="14">
        <v>19.5</v>
      </c>
      <c r="I352" s="14">
        <v>86</v>
      </c>
      <c r="J352" s="14">
        <v>1.3899999999999899</v>
      </c>
      <c r="K352" s="14">
        <v>0.51</v>
      </c>
      <c r="L352" s="14">
        <v>0.47999999999999898</v>
      </c>
      <c r="M352" s="14">
        <v>0.64</v>
      </c>
      <c r="N352" s="14">
        <v>9.8999989999999904</v>
      </c>
      <c r="O352" s="14">
        <v>0.56999999999999895</v>
      </c>
      <c r="P352" s="14">
        <v>1.6299999999999899</v>
      </c>
      <c r="Q352">
        <v>470</v>
      </c>
    </row>
    <row r="353" spans="3:17" x14ac:dyDescent="0.25">
      <c r="C353" s="15" t="s">
        <v>194</v>
      </c>
      <c r="D353" s="14" t="s">
        <v>14</v>
      </c>
      <c r="E353" s="14">
        <v>11.4499999999999</v>
      </c>
      <c r="F353" s="14">
        <v>2.3999999999999901</v>
      </c>
      <c r="G353" s="14">
        <v>2.4199999999999902</v>
      </c>
      <c r="H353" s="14">
        <v>20</v>
      </c>
      <c r="I353" s="14">
        <v>96</v>
      </c>
      <c r="J353" s="14">
        <v>2.8999999999999901</v>
      </c>
      <c r="K353" s="14">
        <v>2.79</v>
      </c>
      <c r="L353" s="14">
        <v>0.32</v>
      </c>
      <c r="M353" s="14">
        <v>1.83</v>
      </c>
      <c r="N353" s="14">
        <v>3.25</v>
      </c>
      <c r="O353" s="14">
        <v>0.8</v>
      </c>
      <c r="P353" s="14">
        <v>3.39</v>
      </c>
      <c r="Q353">
        <v>625</v>
      </c>
    </row>
    <row r="354" spans="3:17" x14ac:dyDescent="0.25">
      <c r="C354" s="15" t="s">
        <v>251</v>
      </c>
      <c r="D354" s="14" t="s">
        <v>15</v>
      </c>
      <c r="E354" s="14">
        <v>14.13</v>
      </c>
      <c r="F354" s="14">
        <v>4.0999999999999899</v>
      </c>
      <c r="G354" s="14">
        <v>2.74</v>
      </c>
      <c r="H354" s="14">
        <v>24.5</v>
      </c>
      <c r="I354" s="14">
        <v>96</v>
      </c>
      <c r="J354" s="14">
        <v>2.0499999999999901</v>
      </c>
      <c r="K354" s="14">
        <v>0.76</v>
      </c>
      <c r="L354" s="14">
        <v>0.56000000000000005</v>
      </c>
      <c r="M354" s="14">
        <v>1.35</v>
      </c>
      <c r="N354" s="14">
        <v>9.1999999999999904</v>
      </c>
      <c r="O354" s="14">
        <v>0.60999999999999899</v>
      </c>
      <c r="P354" s="14">
        <v>1.6</v>
      </c>
      <c r="Q354">
        <v>560</v>
      </c>
    </row>
    <row r="355" spans="3:17" x14ac:dyDescent="0.25">
      <c r="C355" s="15" t="s">
        <v>349</v>
      </c>
      <c r="D355" s="14" t="s">
        <v>14</v>
      </c>
      <c r="E355" s="14">
        <v>11.4499999999999</v>
      </c>
      <c r="F355" s="14">
        <v>2.3999999999999901</v>
      </c>
      <c r="G355" s="14">
        <v>2.4199999999999902</v>
      </c>
      <c r="H355" s="14">
        <v>20</v>
      </c>
      <c r="I355" s="14">
        <v>96</v>
      </c>
      <c r="J355" s="14">
        <v>2.8999999999999901</v>
      </c>
      <c r="K355" s="14">
        <v>2.79</v>
      </c>
      <c r="L355" s="14">
        <v>0.32</v>
      </c>
      <c r="M355" s="14">
        <v>1.83</v>
      </c>
      <c r="N355" s="14">
        <v>3.25</v>
      </c>
      <c r="O355" s="14">
        <v>0.8</v>
      </c>
      <c r="P355" s="14">
        <v>3.39</v>
      </c>
      <c r="Q355">
        <v>625</v>
      </c>
    </row>
    <row r="356" spans="3:17" x14ac:dyDescent="0.25">
      <c r="C356" s="15" t="s">
        <v>107</v>
      </c>
      <c r="D356" s="14" t="s">
        <v>13</v>
      </c>
      <c r="E356" s="14">
        <v>13.76</v>
      </c>
      <c r="F356" s="14">
        <v>1.53</v>
      </c>
      <c r="G356" s="14">
        <v>2.7</v>
      </c>
      <c r="H356" s="14">
        <v>19.5</v>
      </c>
      <c r="I356" s="14">
        <v>132</v>
      </c>
      <c r="J356" s="14">
        <v>2.95</v>
      </c>
      <c r="K356" s="14">
        <v>2.74</v>
      </c>
      <c r="L356" s="14">
        <v>0.5</v>
      </c>
      <c r="M356" s="14">
        <v>1.35</v>
      </c>
      <c r="N356" s="14">
        <v>5.4</v>
      </c>
      <c r="O356" s="14">
        <v>1.25</v>
      </c>
      <c r="P356" s="14">
        <v>3</v>
      </c>
      <c r="Q356">
        <v>1235</v>
      </c>
    </row>
    <row r="357" spans="3:17" x14ac:dyDescent="0.25">
      <c r="C357" s="15" t="s">
        <v>169</v>
      </c>
      <c r="D357" s="14" t="s">
        <v>14</v>
      </c>
      <c r="E357" s="14">
        <v>12.47</v>
      </c>
      <c r="F357" s="14">
        <v>1.52</v>
      </c>
      <c r="G357" s="14">
        <v>2.2000000000000002</v>
      </c>
      <c r="H357" s="14">
        <v>19</v>
      </c>
      <c r="I357" s="14">
        <v>162</v>
      </c>
      <c r="J357" s="14">
        <v>2.5</v>
      </c>
      <c r="K357" s="14">
        <v>2.27</v>
      </c>
      <c r="L357" s="14">
        <v>0.32</v>
      </c>
      <c r="M357" s="14">
        <v>3.27999999999999</v>
      </c>
      <c r="N357" s="14">
        <v>2.6</v>
      </c>
      <c r="O357" s="14">
        <v>1.1599999999999899</v>
      </c>
      <c r="P357" s="14">
        <v>2.6299999999999901</v>
      </c>
      <c r="Q357">
        <v>937</v>
      </c>
    </row>
    <row r="358" spans="3:17" x14ac:dyDescent="0.25">
      <c r="C358" s="15" t="s">
        <v>361</v>
      </c>
      <c r="D358" s="14" t="s">
        <v>15</v>
      </c>
      <c r="E358" s="14">
        <v>12.81</v>
      </c>
      <c r="F358" s="14">
        <v>2.31</v>
      </c>
      <c r="G358" s="14">
        <v>2.3999999999999901</v>
      </c>
      <c r="H358" s="14">
        <v>24</v>
      </c>
      <c r="I358" s="14">
        <v>98</v>
      </c>
      <c r="J358" s="14">
        <v>1.1499999999999899</v>
      </c>
      <c r="K358" s="14">
        <v>1.0900000000000001</v>
      </c>
      <c r="L358" s="14">
        <v>0.27</v>
      </c>
      <c r="M358" s="14">
        <v>0.82999999999999896</v>
      </c>
      <c r="N358" s="14">
        <v>5.7</v>
      </c>
      <c r="O358" s="14">
        <v>0.66</v>
      </c>
      <c r="P358" s="14">
        <v>1.36</v>
      </c>
      <c r="Q358">
        <v>560</v>
      </c>
    </row>
    <row r="359" spans="3:17" x14ac:dyDescent="0.25">
      <c r="C359" s="15" t="s">
        <v>328</v>
      </c>
      <c r="D359" s="14" t="s">
        <v>14</v>
      </c>
      <c r="E359" s="14">
        <v>12.2899999999999</v>
      </c>
      <c r="F359" s="14">
        <v>3.1699999999999902</v>
      </c>
      <c r="G359" s="14">
        <v>2.21</v>
      </c>
      <c r="H359" s="14">
        <v>18</v>
      </c>
      <c r="I359" s="14">
        <v>88</v>
      </c>
      <c r="J359" s="14">
        <v>2.85</v>
      </c>
      <c r="K359" s="14">
        <v>2.99</v>
      </c>
      <c r="L359" s="14">
        <v>0.45</v>
      </c>
      <c r="M359" s="14">
        <v>2.81</v>
      </c>
      <c r="N359" s="14">
        <v>2.2999999999999901</v>
      </c>
      <c r="O359" s="14">
        <v>1.4199999999999899</v>
      </c>
      <c r="P359" s="14">
        <v>2.83</v>
      </c>
      <c r="Q359">
        <v>406</v>
      </c>
    </row>
    <row r="360" spans="3:17" x14ac:dyDescent="0.25">
      <c r="C360" s="15" t="s">
        <v>311</v>
      </c>
      <c r="D360" s="14" t="s">
        <v>14</v>
      </c>
      <c r="E360" s="14">
        <v>12.08</v>
      </c>
      <c r="F360" s="14">
        <v>1.1299999999999899</v>
      </c>
      <c r="G360" s="14">
        <v>2.50999999999999</v>
      </c>
      <c r="H360" s="14">
        <v>24</v>
      </c>
      <c r="I360" s="14">
        <v>78</v>
      </c>
      <c r="J360" s="14">
        <v>2</v>
      </c>
      <c r="K360" s="14">
        <v>1.58</v>
      </c>
      <c r="L360" s="14">
        <v>0.4</v>
      </c>
      <c r="M360" s="14">
        <v>1.3999999999999899</v>
      </c>
      <c r="N360" s="14">
        <v>2.2000000000000002</v>
      </c>
      <c r="O360" s="14">
        <v>1.31</v>
      </c>
      <c r="P360" s="14">
        <v>2.72</v>
      </c>
      <c r="Q360">
        <v>630</v>
      </c>
    </row>
    <row r="361" spans="3:17" x14ac:dyDescent="0.25">
      <c r="C361" s="15" t="s">
        <v>276</v>
      </c>
      <c r="D361" s="14" t="s">
        <v>13</v>
      </c>
      <c r="E361" s="14">
        <v>13.9</v>
      </c>
      <c r="F361" s="14">
        <v>1.6799999999999899</v>
      </c>
      <c r="G361" s="14">
        <v>2.12</v>
      </c>
      <c r="H361" s="14">
        <v>16</v>
      </c>
      <c r="I361" s="14">
        <v>101</v>
      </c>
      <c r="J361" s="14">
        <v>3.1</v>
      </c>
      <c r="K361" s="14">
        <v>3.39</v>
      </c>
      <c r="L361" s="14">
        <v>0.20999999999999899</v>
      </c>
      <c r="M361" s="14">
        <v>2.14</v>
      </c>
      <c r="N361" s="14">
        <v>6.0999999999999899</v>
      </c>
      <c r="O361" s="14">
        <v>0.91</v>
      </c>
      <c r="P361" s="14">
        <v>3.33</v>
      </c>
      <c r="Q361">
        <v>985</v>
      </c>
    </row>
    <row r="362" spans="3:17" x14ac:dyDescent="0.25">
      <c r="C362" s="15" t="s">
        <v>379</v>
      </c>
      <c r="D362" s="14" t="s">
        <v>15</v>
      </c>
      <c r="E362" s="14">
        <v>13.5</v>
      </c>
      <c r="F362" s="14">
        <v>3.12</v>
      </c>
      <c r="G362" s="14">
        <v>2.62</v>
      </c>
      <c r="H362" s="14">
        <v>24</v>
      </c>
      <c r="I362" s="14">
        <v>123</v>
      </c>
      <c r="J362" s="14">
        <v>1.3999999999999899</v>
      </c>
      <c r="K362" s="14">
        <v>1.57</v>
      </c>
      <c r="L362" s="14">
        <v>0.22</v>
      </c>
      <c r="M362" s="14">
        <v>1.25</v>
      </c>
      <c r="N362" s="14">
        <v>8.5999999999999908</v>
      </c>
      <c r="O362" s="14">
        <v>0.58999999999999897</v>
      </c>
      <c r="P362" s="14">
        <v>1.3</v>
      </c>
      <c r="Q362">
        <v>500</v>
      </c>
    </row>
    <row r="363" spans="3:17" x14ac:dyDescent="0.25">
      <c r="C363" s="15" t="s">
        <v>369</v>
      </c>
      <c r="D363" s="14" t="s">
        <v>15</v>
      </c>
      <c r="E363" s="14">
        <v>12.93</v>
      </c>
      <c r="F363" s="14">
        <v>2.81</v>
      </c>
      <c r="G363" s="14">
        <v>2.7</v>
      </c>
      <c r="H363" s="14">
        <v>21</v>
      </c>
      <c r="I363" s="14">
        <v>96</v>
      </c>
      <c r="J363" s="14">
        <v>1.54</v>
      </c>
      <c r="K363" s="14">
        <v>0.5</v>
      </c>
      <c r="L363" s="14">
        <v>0.53</v>
      </c>
      <c r="M363" s="14">
        <v>0.75</v>
      </c>
      <c r="N363" s="14">
        <v>4.5999999999999899</v>
      </c>
      <c r="O363" s="14">
        <v>0.77</v>
      </c>
      <c r="P363" s="14">
        <v>2.31</v>
      </c>
      <c r="Q363">
        <v>600</v>
      </c>
    </row>
    <row r="364" spans="3:17" x14ac:dyDescent="0.25">
      <c r="C364" s="15" t="s">
        <v>222</v>
      </c>
      <c r="D364" s="14" t="s">
        <v>15</v>
      </c>
      <c r="E364" s="14">
        <v>13.32</v>
      </c>
      <c r="F364" s="14">
        <v>3.24</v>
      </c>
      <c r="G364" s="14">
        <v>2.3799999999999901</v>
      </c>
      <c r="H364" s="14">
        <v>21.5</v>
      </c>
      <c r="I364" s="14">
        <v>92</v>
      </c>
      <c r="J364" s="14">
        <v>1.9299999999999899</v>
      </c>
      <c r="K364" s="14">
        <v>0.76</v>
      </c>
      <c r="L364" s="14">
        <v>0.45</v>
      </c>
      <c r="M364" s="14">
        <v>1.25</v>
      </c>
      <c r="N364" s="14">
        <v>8.4199999999999893</v>
      </c>
      <c r="O364" s="14">
        <v>0.55000000000000004</v>
      </c>
      <c r="P364" s="14">
        <v>1.62</v>
      </c>
      <c r="Q364">
        <v>650</v>
      </c>
    </row>
    <row r="365" spans="3:17" x14ac:dyDescent="0.25">
      <c r="C365" s="15" t="s">
        <v>383</v>
      </c>
      <c r="D365" s="14" t="s">
        <v>15</v>
      </c>
      <c r="E365" s="14">
        <v>12.58</v>
      </c>
      <c r="F365" s="14">
        <v>1.29</v>
      </c>
      <c r="G365" s="14">
        <v>2.1</v>
      </c>
      <c r="H365" s="14">
        <v>20</v>
      </c>
      <c r="I365" s="14">
        <v>103</v>
      </c>
      <c r="J365" s="14">
        <v>1.48</v>
      </c>
      <c r="K365" s="14">
        <v>0.57999999999999896</v>
      </c>
      <c r="L365" s="14">
        <v>0.53</v>
      </c>
      <c r="M365" s="14">
        <v>1.3999999999999899</v>
      </c>
      <c r="N365" s="14">
        <v>7.5999999999999899</v>
      </c>
      <c r="O365" s="14">
        <v>0.57999999999999896</v>
      </c>
      <c r="P365" s="14">
        <v>1.55</v>
      </c>
      <c r="Q365">
        <v>640</v>
      </c>
    </row>
  </sheetData>
  <mergeCells count="27"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C18:S18"/>
    <mergeCell ref="C19:E19"/>
    <mergeCell ref="C20:E20"/>
    <mergeCell ref="F19:S19"/>
    <mergeCell ref="C22:I22"/>
    <mergeCell ref="C24:E24"/>
    <mergeCell ref="C25:E25"/>
    <mergeCell ref="C26:E26"/>
    <mergeCell ref="F23:I23"/>
    <mergeCell ref="F24:I24"/>
    <mergeCell ref="F25:I25"/>
    <mergeCell ref="F26:I26"/>
    <mergeCell ref="C23:E23"/>
    <mergeCell ref="B4:C4"/>
    <mergeCell ref="D4:E4"/>
    <mergeCell ref="F4:G4"/>
    <mergeCell ref="B3:G3"/>
    <mergeCell ref="J3:M3"/>
  </mergeCells>
  <hyperlinks>
    <hyperlink ref="B4" location="'STDPartition5'!$B$10:$B$10" display="Inputs" xr:uid="{F53D43E9-EAE0-406A-BAEE-146F4AEBB802}"/>
    <hyperlink ref="D4" location="'STDPartition5'!$B$28:$B$28" display="Partition Summary" xr:uid="{F8E31086-3B8E-4DBA-B4A0-5639C520FD8B}"/>
    <hyperlink ref="F4" location="'STDPartition5'!$B$34:$B$34" display="Partitioned Data" xr:uid="{1858F8F5-BADF-4F3F-A717-099C3349AC45}"/>
  </hyperlink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B6A7D-3AC8-4A5F-8562-ACA7F36DE794}">
  <dimension ref="B1:CV80"/>
  <sheetViews>
    <sheetView showGridLines="0" topLeftCell="A57" workbookViewId="0"/>
  </sheetViews>
  <sheetFormatPr defaultRowHeight="13.2" x14ac:dyDescent="0.25"/>
  <cols>
    <col min="3" max="3" width="18" customWidth="1"/>
    <col min="4" max="4" width="12.6640625" customWidth="1"/>
    <col min="7" max="7" width="18" customWidth="1"/>
    <col min="8" max="8" width="12.109375" customWidth="1"/>
    <col min="14" max="14" width="33.109375" bestFit="1" customWidth="1"/>
  </cols>
  <sheetData>
    <row r="1" spans="2:100" ht="18" x14ac:dyDescent="0.35">
      <c r="B1" s="12" t="s">
        <v>564</v>
      </c>
      <c r="N1" t="s">
        <v>828</v>
      </c>
      <c r="CV1" s="19" t="s">
        <v>596</v>
      </c>
    </row>
    <row r="3" spans="2:100" ht="15.6" x14ac:dyDescent="0.3">
      <c r="B3" s="21" t="s">
        <v>30</v>
      </c>
      <c r="C3" s="22"/>
      <c r="D3" s="22"/>
      <c r="E3" s="22"/>
      <c r="F3" s="22"/>
      <c r="G3" s="22"/>
      <c r="H3" s="22"/>
      <c r="I3" s="22"/>
      <c r="J3" s="22"/>
      <c r="K3" s="23"/>
      <c r="N3" s="21" t="s">
        <v>53</v>
      </c>
      <c r="O3" s="22"/>
      <c r="P3" s="22"/>
      <c r="Q3" s="23"/>
    </row>
    <row r="4" spans="2:100" ht="13.8" x14ac:dyDescent="0.3">
      <c r="B4" s="35" t="s">
        <v>543</v>
      </c>
      <c r="C4" s="36"/>
      <c r="D4" s="35" t="s">
        <v>544</v>
      </c>
      <c r="E4" s="36"/>
      <c r="F4" s="35" t="s">
        <v>545</v>
      </c>
      <c r="G4" s="36"/>
      <c r="H4" s="35" t="s">
        <v>31</v>
      </c>
      <c r="I4" s="36"/>
      <c r="J4" s="35" t="s">
        <v>546</v>
      </c>
      <c r="K4" s="36"/>
      <c r="N4" s="18" t="s">
        <v>54</v>
      </c>
      <c r="O4" s="18" t="s">
        <v>55</v>
      </c>
      <c r="P4" s="18" t="s">
        <v>56</v>
      </c>
      <c r="Q4" s="18" t="s">
        <v>57</v>
      </c>
    </row>
    <row r="5" spans="2:100" ht="13.8" x14ac:dyDescent="0.3">
      <c r="B5" s="35" t="s">
        <v>421</v>
      </c>
      <c r="C5" s="36"/>
      <c r="D5" s="35" t="s">
        <v>547</v>
      </c>
      <c r="E5" s="36"/>
      <c r="F5" s="35" t="s">
        <v>548</v>
      </c>
      <c r="G5" s="36"/>
      <c r="H5" s="30"/>
      <c r="I5" s="31"/>
      <c r="J5" s="30"/>
      <c r="K5" s="31"/>
      <c r="N5" s="16">
        <v>425</v>
      </c>
      <c r="O5" s="16">
        <v>47</v>
      </c>
      <c r="P5" s="16">
        <v>8</v>
      </c>
      <c r="Q5" s="16">
        <v>480</v>
      </c>
    </row>
    <row r="10" spans="2:100" ht="18" x14ac:dyDescent="0.35">
      <c r="B10" s="13" t="s">
        <v>31</v>
      </c>
    </row>
    <row r="12" spans="2:100" ht="15.6" x14ac:dyDescent="0.3">
      <c r="C12" s="28" t="s">
        <v>33</v>
      </c>
      <c r="D12" s="28"/>
      <c r="E12" s="28"/>
      <c r="F12" s="28"/>
      <c r="G12" s="28"/>
      <c r="H12" s="28"/>
      <c r="I12" s="28"/>
      <c r="J12" s="28"/>
      <c r="K12" s="28"/>
    </row>
    <row r="13" spans="2:100" ht="13.8" x14ac:dyDescent="0.3">
      <c r="C13" s="24" t="s">
        <v>34</v>
      </c>
      <c r="D13" s="24"/>
      <c r="E13" s="24"/>
      <c r="F13" s="25"/>
      <c r="G13" s="27" t="s">
        <v>48</v>
      </c>
      <c r="H13" s="27"/>
      <c r="I13" s="27"/>
      <c r="J13" s="27"/>
      <c r="K13" s="27"/>
    </row>
    <row r="14" spans="2:100" ht="13.8" x14ac:dyDescent="0.3">
      <c r="C14" s="24" t="s">
        <v>35</v>
      </c>
      <c r="D14" s="24"/>
      <c r="E14" s="24"/>
      <c r="F14" s="25"/>
      <c r="G14" s="27" t="s">
        <v>846</v>
      </c>
      <c r="H14" s="27"/>
      <c r="I14" s="27"/>
      <c r="J14" s="27"/>
      <c r="K14" s="27"/>
    </row>
    <row r="15" spans="2:100" ht="13.8" x14ac:dyDescent="0.3">
      <c r="C15" s="24" t="s">
        <v>577</v>
      </c>
      <c r="D15" s="24"/>
      <c r="E15" s="24"/>
      <c r="F15" s="25"/>
      <c r="G15" s="27" t="s">
        <v>847</v>
      </c>
      <c r="H15" s="27"/>
      <c r="I15" s="27"/>
      <c r="J15" s="27"/>
      <c r="K15" s="27"/>
    </row>
    <row r="16" spans="2:100" ht="13.8" x14ac:dyDescent="0.3">
      <c r="C16" s="24" t="s">
        <v>578</v>
      </c>
      <c r="D16" s="24"/>
      <c r="E16" s="24"/>
      <c r="F16" s="25"/>
      <c r="G16" s="27">
        <v>181</v>
      </c>
      <c r="H16" s="27"/>
      <c r="I16" s="27"/>
      <c r="J16" s="27"/>
      <c r="K16" s="27"/>
    </row>
    <row r="17" spans="3:17" ht="13.8" x14ac:dyDescent="0.3">
      <c r="C17" s="24" t="s">
        <v>579</v>
      </c>
      <c r="D17" s="24"/>
      <c r="E17" s="24"/>
      <c r="F17" s="25"/>
      <c r="G17" s="27" t="s">
        <v>848</v>
      </c>
      <c r="H17" s="27"/>
      <c r="I17" s="27"/>
      <c r="J17" s="27"/>
      <c r="K17" s="27"/>
    </row>
    <row r="18" spans="3:17" ht="13.8" x14ac:dyDescent="0.3">
      <c r="C18" s="24" t="s">
        <v>580</v>
      </c>
      <c r="D18" s="24"/>
      <c r="E18" s="24"/>
      <c r="F18" s="25"/>
      <c r="G18" s="27">
        <v>148</v>
      </c>
      <c r="H18" s="27"/>
      <c r="I18" s="27"/>
      <c r="J18" s="27"/>
      <c r="K18" s="27"/>
    </row>
    <row r="20" spans="3:17" ht="15.6" x14ac:dyDescent="0.3">
      <c r="C20" s="28" t="s">
        <v>38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  <row r="21" spans="3:17" ht="13.8" x14ac:dyDescent="0.3">
      <c r="C21" s="24" t="s">
        <v>581</v>
      </c>
      <c r="D21" s="25"/>
      <c r="E21" s="27">
        <v>13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2" spans="3:17" ht="13.8" x14ac:dyDescent="0.3">
      <c r="C22" s="24" t="s">
        <v>582</v>
      </c>
      <c r="D22" s="25"/>
      <c r="E22" s="16" t="s">
        <v>61</v>
      </c>
      <c r="F22" s="16" t="s">
        <v>62</v>
      </c>
      <c r="G22" s="16" t="s">
        <v>63</v>
      </c>
      <c r="H22" s="16" t="s">
        <v>64</v>
      </c>
      <c r="I22" s="16" t="s">
        <v>65</v>
      </c>
      <c r="J22" s="16" t="s">
        <v>66</v>
      </c>
      <c r="K22" s="16" t="s">
        <v>67</v>
      </c>
      <c r="L22" s="16" t="s">
        <v>68</v>
      </c>
      <c r="M22" s="16" t="s">
        <v>69</v>
      </c>
      <c r="N22" s="16" t="s">
        <v>70</v>
      </c>
      <c r="O22" s="16" t="s">
        <v>71</v>
      </c>
      <c r="P22" s="16" t="s">
        <v>72</v>
      </c>
      <c r="Q22" s="16" t="s">
        <v>73</v>
      </c>
    </row>
    <row r="23" spans="3:17" ht="13.8" x14ac:dyDescent="0.3">
      <c r="C23" s="24" t="s">
        <v>583</v>
      </c>
      <c r="D23" s="2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 spans="3:17" ht="13.8" x14ac:dyDescent="0.3">
      <c r="C24" s="24" t="s">
        <v>584</v>
      </c>
      <c r="D24" s="25"/>
      <c r="E24" s="29" t="s">
        <v>0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6" spans="3:17" ht="15.6" x14ac:dyDescent="0.3">
      <c r="C26" s="28" t="s">
        <v>585</v>
      </c>
      <c r="D26" s="28"/>
      <c r="E26" s="28"/>
      <c r="F26" s="28"/>
      <c r="G26" s="28"/>
      <c r="H26" s="28"/>
      <c r="I26" s="28"/>
    </row>
    <row r="27" spans="3:17" ht="13.8" x14ac:dyDescent="0.3">
      <c r="C27" s="24" t="s">
        <v>586</v>
      </c>
      <c r="D27" s="24"/>
      <c r="E27" s="25"/>
      <c r="F27" s="27" t="b">
        <v>1</v>
      </c>
      <c r="G27" s="27"/>
      <c r="H27" s="27"/>
      <c r="I27" s="27"/>
    </row>
    <row r="28" spans="3:17" ht="13.8" x14ac:dyDescent="0.3">
      <c r="C28" s="24" t="s">
        <v>587</v>
      </c>
      <c r="D28" s="24"/>
      <c r="E28" s="25"/>
      <c r="F28" s="39" t="s">
        <v>591</v>
      </c>
      <c r="G28" s="40"/>
      <c r="H28" s="40"/>
      <c r="I28" s="41"/>
    </row>
    <row r="29" spans="3:17" ht="13.8" x14ac:dyDescent="0.3">
      <c r="C29" s="24" t="s">
        <v>588</v>
      </c>
      <c r="D29" s="24"/>
      <c r="E29" s="25"/>
      <c r="F29" s="39">
        <v>0.01</v>
      </c>
      <c r="G29" s="40"/>
      <c r="H29" s="40"/>
      <c r="I29" s="41"/>
    </row>
    <row r="31" spans="3:17" ht="15.6" x14ac:dyDescent="0.3">
      <c r="C31" s="21" t="s">
        <v>589</v>
      </c>
      <c r="D31" s="22"/>
      <c r="E31" s="22"/>
      <c r="F31" s="22"/>
      <c r="G31" s="22"/>
      <c r="H31" s="22"/>
      <c r="I31" s="23"/>
    </row>
    <row r="32" spans="3:17" ht="13.8" x14ac:dyDescent="0.3">
      <c r="C32" s="25" t="s">
        <v>590</v>
      </c>
      <c r="D32" s="37"/>
      <c r="E32" s="38"/>
      <c r="F32" s="39" t="s">
        <v>592</v>
      </c>
      <c r="G32" s="40"/>
      <c r="H32" s="40"/>
      <c r="I32" s="41"/>
    </row>
    <row r="34" spans="3:9" ht="15.6" x14ac:dyDescent="0.3">
      <c r="C34" s="21" t="s">
        <v>598</v>
      </c>
      <c r="D34" s="22"/>
      <c r="E34" s="22"/>
      <c r="F34" s="22"/>
      <c r="G34" s="22"/>
      <c r="H34" s="22"/>
      <c r="I34" s="23"/>
    </row>
    <row r="35" spans="3:9" ht="13.8" x14ac:dyDescent="0.3">
      <c r="C35" s="25" t="s">
        <v>599</v>
      </c>
      <c r="D35" s="37"/>
      <c r="E35" s="38"/>
      <c r="F35" s="39" t="b">
        <v>1</v>
      </c>
      <c r="G35" s="40"/>
      <c r="H35" s="40"/>
      <c r="I35" s="41"/>
    </row>
    <row r="36" spans="3:9" ht="13.8" x14ac:dyDescent="0.3">
      <c r="C36" s="25" t="s">
        <v>600</v>
      </c>
      <c r="D36" s="37"/>
      <c r="E36" s="38"/>
      <c r="F36" s="39" t="s">
        <v>610</v>
      </c>
      <c r="G36" s="40"/>
      <c r="H36" s="40"/>
      <c r="I36" s="41"/>
    </row>
    <row r="38" spans="3:9" ht="15.6" x14ac:dyDescent="0.3">
      <c r="C38" s="21" t="s">
        <v>601</v>
      </c>
      <c r="D38" s="22"/>
      <c r="E38" s="22"/>
      <c r="F38" s="22"/>
      <c r="G38" s="22"/>
      <c r="H38" s="22"/>
      <c r="I38" s="23"/>
    </row>
    <row r="39" spans="3:9" ht="13.8" x14ac:dyDescent="0.3">
      <c r="C39" s="25" t="s">
        <v>602</v>
      </c>
      <c r="D39" s="37"/>
      <c r="E39" s="38"/>
      <c r="F39" s="39">
        <v>3</v>
      </c>
      <c r="G39" s="40"/>
      <c r="H39" s="40"/>
      <c r="I39" s="41"/>
    </row>
    <row r="41" spans="3:9" ht="15.6" x14ac:dyDescent="0.3">
      <c r="C41" s="21" t="s">
        <v>603</v>
      </c>
      <c r="D41" s="22"/>
      <c r="E41" s="22"/>
      <c r="F41" s="22"/>
      <c r="G41" s="22"/>
      <c r="H41" s="22"/>
      <c r="I41" s="23"/>
    </row>
    <row r="42" spans="3:9" ht="13.8" x14ac:dyDescent="0.3">
      <c r="C42" s="25" t="s">
        <v>604</v>
      </c>
      <c r="D42" s="37"/>
      <c r="E42" s="38"/>
      <c r="F42" s="39" t="s">
        <v>611</v>
      </c>
      <c r="G42" s="40"/>
      <c r="H42" s="40"/>
      <c r="I42" s="41"/>
    </row>
    <row r="43" spans="3:9" ht="13.8" x14ac:dyDescent="0.3">
      <c r="C43" s="25" t="s">
        <v>605</v>
      </c>
      <c r="D43" s="37"/>
      <c r="E43" s="38"/>
      <c r="F43" s="39">
        <v>7</v>
      </c>
      <c r="G43" s="40"/>
      <c r="H43" s="40"/>
      <c r="I43" s="41"/>
    </row>
    <row r="44" spans="3:9" ht="13.8" x14ac:dyDescent="0.3">
      <c r="C44" s="25" t="s">
        <v>606</v>
      </c>
      <c r="D44" s="37"/>
      <c r="E44" s="38"/>
      <c r="F44" s="39" t="b">
        <v>1</v>
      </c>
      <c r="G44" s="40"/>
      <c r="H44" s="40"/>
      <c r="I44" s="41"/>
    </row>
    <row r="46" spans="3:9" ht="15.6" x14ac:dyDescent="0.3">
      <c r="C46" s="21" t="s">
        <v>607</v>
      </c>
      <c r="D46" s="22"/>
      <c r="E46" s="22"/>
      <c r="F46" s="22"/>
      <c r="G46" s="23"/>
    </row>
    <row r="47" spans="3:9" ht="13.8" x14ac:dyDescent="0.3">
      <c r="C47" s="32" t="s">
        <v>608</v>
      </c>
      <c r="D47" s="33"/>
      <c r="E47" s="33"/>
      <c r="F47" s="33"/>
      <c r="G47" s="34"/>
    </row>
    <row r="48" spans="3:9" ht="13.8" x14ac:dyDescent="0.3">
      <c r="C48" s="32" t="s">
        <v>609</v>
      </c>
      <c r="D48" s="33"/>
      <c r="E48" s="33"/>
      <c r="F48" s="33"/>
      <c r="G48" s="34"/>
    </row>
    <row r="51" spans="2:8" ht="18" x14ac:dyDescent="0.35">
      <c r="B51" s="13" t="s">
        <v>597</v>
      </c>
      <c r="F51" s="13" t="s">
        <v>612</v>
      </c>
    </row>
    <row r="53" spans="2:8" x14ac:dyDescent="0.25">
      <c r="C53" s="15" t="s">
        <v>613</v>
      </c>
      <c r="D53" t="s">
        <v>614</v>
      </c>
      <c r="G53" s="15" t="s">
        <v>613</v>
      </c>
      <c r="H53" t="s">
        <v>614</v>
      </c>
    </row>
    <row r="54" spans="2:8" x14ac:dyDescent="0.25">
      <c r="C54" s="15">
        <v>0</v>
      </c>
      <c r="D54">
        <v>0.56906077348066297</v>
      </c>
      <c r="G54" s="15">
        <v>0</v>
      </c>
      <c r="H54">
        <v>0.56756756756756754</v>
      </c>
    </row>
    <row r="55" spans="2:8" x14ac:dyDescent="0.25">
      <c r="C55" s="15">
        <v>1</v>
      </c>
      <c r="D55">
        <v>0.28176795580110503</v>
      </c>
      <c r="G55" s="15">
        <v>1</v>
      </c>
      <c r="H55">
        <v>0.35135135135135137</v>
      </c>
    </row>
    <row r="56" spans="2:8" x14ac:dyDescent="0.25">
      <c r="C56" s="15">
        <v>2</v>
      </c>
      <c r="D56">
        <v>9.3922651933701695E-2</v>
      </c>
      <c r="G56" s="15">
        <v>2</v>
      </c>
      <c r="H56">
        <v>0.13513513513513514</v>
      </c>
    </row>
    <row r="57" spans="2:8" x14ac:dyDescent="0.25">
      <c r="C57" s="15">
        <v>3</v>
      </c>
      <c r="D57">
        <v>6.0773480662983465E-2</v>
      </c>
      <c r="G57" s="15">
        <v>3</v>
      </c>
      <c r="H57">
        <v>0.13513513513513514</v>
      </c>
    </row>
    <row r="58" spans="2:8" x14ac:dyDescent="0.25">
      <c r="C58" s="15">
        <v>4</v>
      </c>
      <c r="D58">
        <v>3.8674033149171283E-2</v>
      </c>
      <c r="G58" s="15">
        <v>4</v>
      </c>
      <c r="H58">
        <v>9.45945945945946E-2</v>
      </c>
    </row>
    <row r="59" spans="2:8" x14ac:dyDescent="0.25">
      <c r="C59" s="15">
        <v>5</v>
      </c>
      <c r="D59">
        <v>1.6574585635359129E-2</v>
      </c>
      <c r="G59" s="15">
        <v>5</v>
      </c>
      <c r="H59">
        <v>9.45945945945946E-2</v>
      </c>
    </row>
    <row r="60" spans="2:8" x14ac:dyDescent="0.25">
      <c r="C60" s="15">
        <v>6</v>
      </c>
      <c r="D60">
        <v>5.5248618784530523E-3</v>
      </c>
      <c r="G60" s="15">
        <v>6</v>
      </c>
      <c r="H60">
        <v>8.1081081081081086E-2</v>
      </c>
    </row>
    <row r="61" spans="2:8" x14ac:dyDescent="0.25">
      <c r="C61" s="15">
        <v>7</v>
      </c>
      <c r="D61">
        <v>5.5248618784530749E-3</v>
      </c>
      <c r="G61" s="15">
        <v>7</v>
      </c>
      <c r="H61">
        <v>8.1081081081081086E-2</v>
      </c>
    </row>
    <row r="62" spans="2:8" x14ac:dyDescent="0.25">
      <c r="C62" s="15">
        <v>8</v>
      </c>
      <c r="D62">
        <v>3.6429192995512949E-17</v>
      </c>
      <c r="G62" s="15">
        <v>8</v>
      </c>
      <c r="H62">
        <v>8.1081081081081086E-2</v>
      </c>
    </row>
    <row r="65" spans="2:4" ht="18" x14ac:dyDescent="0.35">
      <c r="B65" s="13" t="s">
        <v>546</v>
      </c>
    </row>
    <row r="67" spans="2:4" x14ac:dyDescent="0.25">
      <c r="C67" s="15" t="s">
        <v>615</v>
      </c>
      <c r="D67" t="s">
        <v>616</v>
      </c>
    </row>
    <row r="68" spans="2:4" x14ac:dyDescent="0.25">
      <c r="C68" s="15" t="s">
        <v>61</v>
      </c>
      <c r="D68">
        <v>5.5248618784530749E-3</v>
      </c>
    </row>
    <row r="69" spans="2:4" x14ac:dyDescent="0.25">
      <c r="C69" s="15" t="s">
        <v>62</v>
      </c>
      <c r="D69">
        <v>1.6574585635359129E-2</v>
      </c>
    </row>
    <row r="70" spans="2:4" x14ac:dyDescent="0.25">
      <c r="C70" s="15" t="s">
        <v>63</v>
      </c>
      <c r="D70">
        <v>5.5248618784530523E-3</v>
      </c>
    </row>
    <row r="71" spans="2:4" x14ac:dyDescent="0.25">
      <c r="C71" s="15" t="s">
        <v>64</v>
      </c>
      <c r="D71">
        <v>0</v>
      </c>
    </row>
    <row r="72" spans="2:4" x14ac:dyDescent="0.25">
      <c r="C72" s="15" t="s">
        <v>65</v>
      </c>
      <c r="D72">
        <v>0</v>
      </c>
    </row>
    <row r="73" spans="2:4" x14ac:dyDescent="0.25">
      <c r="C73" s="15" t="s">
        <v>66</v>
      </c>
      <c r="D73">
        <v>0</v>
      </c>
    </row>
    <row r="74" spans="2:4" x14ac:dyDescent="0.25">
      <c r="C74" s="15" t="s">
        <v>67</v>
      </c>
      <c r="D74">
        <v>0.19337016574585644</v>
      </c>
    </row>
    <row r="75" spans="2:4" x14ac:dyDescent="0.25">
      <c r="C75" s="15" t="s">
        <v>68</v>
      </c>
      <c r="D75">
        <v>0</v>
      </c>
    </row>
    <row r="76" spans="2:4" x14ac:dyDescent="0.25">
      <c r="C76" s="15" t="s">
        <v>69</v>
      </c>
      <c r="D76">
        <v>0</v>
      </c>
    </row>
    <row r="77" spans="2:4" x14ac:dyDescent="0.25">
      <c r="C77" s="15" t="s">
        <v>70</v>
      </c>
      <c r="D77">
        <v>0.28176795580110503</v>
      </c>
    </row>
    <row r="78" spans="2:4" x14ac:dyDescent="0.25">
      <c r="C78" s="15" t="s">
        <v>71</v>
      </c>
      <c r="D78">
        <v>0</v>
      </c>
    </row>
    <row r="79" spans="2:4" x14ac:dyDescent="0.25">
      <c r="C79" s="15" t="s">
        <v>72</v>
      </c>
      <c r="D79">
        <v>0</v>
      </c>
    </row>
    <row r="80" spans="2:4" x14ac:dyDescent="0.25">
      <c r="C80" s="15" t="s">
        <v>73</v>
      </c>
      <c r="D80">
        <v>0.56906077348066297</v>
      </c>
    </row>
  </sheetData>
  <mergeCells count="60">
    <mergeCell ref="C12:K12"/>
    <mergeCell ref="C13:F13"/>
    <mergeCell ref="C14:F14"/>
    <mergeCell ref="C15:F15"/>
    <mergeCell ref="C16:F16"/>
    <mergeCell ref="C18:F18"/>
    <mergeCell ref="G13:K13"/>
    <mergeCell ref="G14:K14"/>
    <mergeCell ref="G15:K15"/>
    <mergeCell ref="G16:K16"/>
    <mergeCell ref="G17:K17"/>
    <mergeCell ref="G18:K18"/>
    <mergeCell ref="C17:F17"/>
    <mergeCell ref="C20:Q20"/>
    <mergeCell ref="C21:D21"/>
    <mergeCell ref="C22:D22"/>
    <mergeCell ref="C23:D23"/>
    <mergeCell ref="C24:D24"/>
    <mergeCell ref="E21:Q21"/>
    <mergeCell ref="E24:Q24"/>
    <mergeCell ref="C36:E36"/>
    <mergeCell ref="F35:I35"/>
    <mergeCell ref="F36:I36"/>
    <mergeCell ref="C26:I26"/>
    <mergeCell ref="C27:E27"/>
    <mergeCell ref="C28:E28"/>
    <mergeCell ref="C29:E29"/>
    <mergeCell ref="F27:I27"/>
    <mergeCell ref="F28:I28"/>
    <mergeCell ref="F29:I29"/>
    <mergeCell ref="C31:I31"/>
    <mergeCell ref="C32:E32"/>
    <mergeCell ref="F32:I32"/>
    <mergeCell ref="C34:I34"/>
    <mergeCell ref="C35:E35"/>
    <mergeCell ref="F44:I44"/>
    <mergeCell ref="C46:G46"/>
    <mergeCell ref="C47:G47"/>
    <mergeCell ref="C38:I38"/>
    <mergeCell ref="C39:E39"/>
    <mergeCell ref="F39:I39"/>
    <mergeCell ref="C41:I41"/>
    <mergeCell ref="C42:E42"/>
    <mergeCell ref="C43:E43"/>
    <mergeCell ref="J5:K5"/>
    <mergeCell ref="B3:K3"/>
    <mergeCell ref="N3:Q3"/>
    <mergeCell ref="C48:G48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C44:E44"/>
    <mergeCell ref="F42:I42"/>
    <mergeCell ref="F43:I43"/>
  </mergeCells>
  <hyperlinks>
    <hyperlink ref="B4" location="'CT_BestTree5'!$B$10:$B$10" display="Best Pruned Tree Rules (Using Validation Data)" xr:uid="{09454123-A9D7-4C85-81C2-D9330BF868B5}"/>
    <hyperlink ref="D4" location="'CT_FullTree5'!$B$10:$B$10" display="Fully Grown Tree Rules (Using Training Data)" xr:uid="{BC20ACBD-B86E-487E-902E-9AC37BE5C913}"/>
    <hyperlink ref="F4" location="'CT_MinErrorTree5'!$B$10:$B$10" display="Min Error Tree Rules (Using Validation Data)" xr:uid="{50952EA3-7363-4356-9F9E-F6892463642E}"/>
    <hyperlink ref="H4" location="'CT_Output5'!$B$10:$B$10" display="Inputs" xr:uid="{1B2AFCA7-188A-4EEE-8822-637D0E4F928D}"/>
    <hyperlink ref="J4" location="'CT_Output5'!$B$65:$B$65" display="Feature Importance" xr:uid="{C67211B5-1349-4467-919E-5C1EECCAEB65}"/>
    <hyperlink ref="B5" location="'CT_Stored5'!$B$10:$B$10" display="PMML Model" xr:uid="{251BEDE9-2E05-48EB-8756-0F5A4F77AEE8}"/>
    <hyperlink ref="D5" location="'CT_TrainingScore5'!$B$10:$B$10" display="Training: Classification Summary" xr:uid="{0F196F21-9206-4A69-9E54-A5ED7F7AF5C0}"/>
    <hyperlink ref="F5" location="'CT_ValidationScore5'!$B$10:$B$10" display="Validation: Classification Summary" xr:uid="{6D8F6FC7-4E6F-4EBA-B9AF-9BA847FCE233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496B-2709-4820-9903-CD92E6D1301D}">
  <dimension ref="B1:Q29"/>
  <sheetViews>
    <sheetView showGridLines="0" workbookViewId="0"/>
  </sheetViews>
  <sheetFormatPr defaultRowHeight="13.2" x14ac:dyDescent="0.25"/>
  <cols>
    <col min="3" max="3" width="9.77734375" customWidth="1"/>
    <col min="4" max="4" width="11" customWidth="1"/>
    <col min="5" max="5" width="13.5546875" customWidth="1"/>
    <col min="6" max="6" width="14.88671875" customWidth="1"/>
    <col min="7" max="7" width="10.33203125" customWidth="1"/>
    <col min="8" max="8" width="15.5546875" customWidth="1"/>
    <col min="9" max="9" width="15.88671875" customWidth="1"/>
    <col min="10" max="10" width="17.33203125" customWidth="1"/>
    <col min="11" max="11" width="11.5546875" customWidth="1"/>
    <col min="12" max="12" width="12.21875" customWidth="1"/>
    <col min="14" max="14" width="24.33203125" bestFit="1" customWidth="1"/>
  </cols>
  <sheetData>
    <row r="1" spans="2:17" ht="18" x14ac:dyDescent="0.35">
      <c r="B1" s="12" t="s">
        <v>564</v>
      </c>
      <c r="N1" t="s">
        <v>828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425</v>
      </c>
      <c r="O5" s="16">
        <v>47</v>
      </c>
      <c r="P5" s="16">
        <v>8</v>
      </c>
      <c r="Q5" s="16">
        <v>480</v>
      </c>
    </row>
    <row r="10" spans="2:17" ht="18" x14ac:dyDescent="0.35">
      <c r="B10" s="13" t="s">
        <v>544</v>
      </c>
    </row>
    <row r="12" spans="2:17" x14ac:dyDescent="0.25">
      <c r="C12" s="15" t="s">
        <v>565</v>
      </c>
      <c r="D12" t="s">
        <v>566</v>
      </c>
      <c r="E12" t="s">
        <v>567</v>
      </c>
      <c r="F12" t="s">
        <v>568</v>
      </c>
      <c r="G12" t="s">
        <v>569</v>
      </c>
      <c r="H12" t="s">
        <v>570</v>
      </c>
      <c r="I12" t="s">
        <v>571</v>
      </c>
      <c r="J12" t="s">
        <v>572</v>
      </c>
      <c r="K12" t="s">
        <v>573</v>
      </c>
      <c r="L12" t="s">
        <v>574</v>
      </c>
    </row>
    <row r="13" spans="2:17" x14ac:dyDescent="0.25">
      <c r="C13" s="15">
        <v>1</v>
      </c>
      <c r="D13" s="14" t="e">
        <f>NA()</f>
        <v>#N/A</v>
      </c>
      <c r="E13" s="14">
        <v>2</v>
      </c>
      <c r="F13" s="14">
        <v>3</v>
      </c>
      <c r="G13" s="14" t="s">
        <v>73</v>
      </c>
      <c r="H13" s="14">
        <v>0.37589</v>
      </c>
      <c r="I13" s="14">
        <v>181</v>
      </c>
      <c r="J13" s="14">
        <v>148</v>
      </c>
      <c r="K13" s="14" t="s">
        <v>14</v>
      </c>
      <c r="L13" t="s">
        <v>575</v>
      </c>
    </row>
    <row r="14" spans="2:17" x14ac:dyDescent="0.25">
      <c r="C14" s="15">
        <v>2</v>
      </c>
      <c r="D14" s="14">
        <v>1</v>
      </c>
      <c r="E14" s="14">
        <v>4</v>
      </c>
      <c r="F14" s="14">
        <v>5</v>
      </c>
      <c r="G14" s="14" t="s">
        <v>70</v>
      </c>
      <c r="H14" s="14">
        <v>0.30493999999999999</v>
      </c>
      <c r="I14" s="14">
        <v>119</v>
      </c>
      <c r="J14" s="14">
        <v>100</v>
      </c>
      <c r="K14" s="14" t="s">
        <v>14</v>
      </c>
      <c r="L14" t="s">
        <v>575</v>
      </c>
    </row>
    <row r="15" spans="2:17" x14ac:dyDescent="0.25">
      <c r="C15" s="15">
        <v>3</v>
      </c>
      <c r="D15" s="14">
        <v>1</v>
      </c>
      <c r="E15" s="14">
        <v>6</v>
      </c>
      <c r="F15" s="14">
        <v>7</v>
      </c>
      <c r="G15" s="14" t="s">
        <v>67</v>
      </c>
      <c r="H15" s="14">
        <v>0.38550000000000001</v>
      </c>
      <c r="I15" s="14">
        <v>62</v>
      </c>
      <c r="J15" s="14">
        <v>48</v>
      </c>
      <c r="K15" s="14" t="s">
        <v>13</v>
      </c>
      <c r="L15" t="s">
        <v>575</v>
      </c>
    </row>
    <row r="16" spans="2:17" x14ac:dyDescent="0.25">
      <c r="C16" s="15">
        <v>4</v>
      </c>
      <c r="D16" s="14">
        <v>2</v>
      </c>
      <c r="E16" s="14">
        <v>8</v>
      </c>
      <c r="F16" s="14">
        <v>9</v>
      </c>
      <c r="G16" s="14" t="s">
        <v>67</v>
      </c>
      <c r="H16" s="14">
        <v>4.5168E-2</v>
      </c>
      <c r="I16" s="14">
        <v>77</v>
      </c>
      <c r="J16" s="14">
        <v>64</v>
      </c>
      <c r="K16" s="14" t="s">
        <v>14</v>
      </c>
      <c r="L16" t="s">
        <v>575</v>
      </c>
    </row>
    <row r="17" spans="3:12" x14ac:dyDescent="0.25">
      <c r="C17" s="15">
        <v>5</v>
      </c>
      <c r="D17" s="14">
        <v>2</v>
      </c>
      <c r="E17" s="14">
        <v>10</v>
      </c>
      <c r="F17" s="14">
        <v>11</v>
      </c>
      <c r="G17" s="14" t="s">
        <v>67</v>
      </c>
      <c r="H17" s="14">
        <v>0.22478999999999999</v>
      </c>
      <c r="I17" s="14">
        <v>42</v>
      </c>
      <c r="J17" s="14">
        <v>36</v>
      </c>
      <c r="K17" s="14" t="s">
        <v>15</v>
      </c>
      <c r="L17" t="s">
        <v>575</v>
      </c>
    </row>
    <row r="18" spans="3:12" x14ac:dyDescent="0.25">
      <c r="C18" s="15">
        <v>6</v>
      </c>
      <c r="D18" s="14">
        <v>3</v>
      </c>
      <c r="E18" s="14">
        <v>12</v>
      </c>
      <c r="F18" s="14">
        <v>13</v>
      </c>
      <c r="G18" s="14" t="s">
        <v>62</v>
      </c>
      <c r="H18" s="14">
        <v>0.27484999999999998</v>
      </c>
      <c r="I18" s="14">
        <v>8</v>
      </c>
      <c r="J18" s="14">
        <v>6</v>
      </c>
      <c r="K18" s="14" t="s">
        <v>15</v>
      </c>
      <c r="L18" t="s">
        <v>575</v>
      </c>
    </row>
    <row r="19" spans="3:12" x14ac:dyDescent="0.25">
      <c r="C19" s="15">
        <v>7</v>
      </c>
      <c r="D19" s="14">
        <v>3</v>
      </c>
      <c r="E19" s="14" t="e">
        <f>NA()</f>
        <v>#N/A</v>
      </c>
      <c r="F19" s="14" t="e">
        <f>NA()</f>
        <v>#N/A</v>
      </c>
      <c r="G19" s="14" t="e">
        <f>NA()</f>
        <v>#N/A</v>
      </c>
      <c r="H19" s="14" t="e">
        <f>NA()</f>
        <v>#N/A</v>
      </c>
      <c r="I19" s="14">
        <v>54</v>
      </c>
      <c r="J19" s="14">
        <v>42</v>
      </c>
      <c r="K19" s="14" t="s">
        <v>13</v>
      </c>
      <c r="L19" t="s">
        <v>576</v>
      </c>
    </row>
    <row r="20" spans="3:12" x14ac:dyDescent="0.25">
      <c r="C20" s="15">
        <v>8</v>
      </c>
      <c r="D20" s="14">
        <v>4</v>
      </c>
      <c r="E20" s="14" t="e">
        <f>NA()</f>
        <v>#N/A</v>
      </c>
      <c r="F20" s="14" t="e">
        <f>NA()</f>
        <v>#N/A</v>
      </c>
      <c r="G20" s="14" t="e">
        <f>NA()</f>
        <v>#N/A</v>
      </c>
      <c r="H20" s="14" t="e">
        <f>NA()</f>
        <v>#N/A</v>
      </c>
      <c r="I20" s="14">
        <v>4</v>
      </c>
      <c r="J20" s="14">
        <v>2</v>
      </c>
      <c r="K20" s="14" t="s">
        <v>15</v>
      </c>
      <c r="L20" t="s">
        <v>576</v>
      </c>
    </row>
    <row r="21" spans="3:12" x14ac:dyDescent="0.25">
      <c r="C21" s="15">
        <v>9</v>
      </c>
      <c r="D21" s="14">
        <v>4</v>
      </c>
      <c r="E21" s="14">
        <v>14</v>
      </c>
      <c r="F21" s="14">
        <v>15</v>
      </c>
      <c r="G21" s="14" t="s">
        <v>63</v>
      </c>
      <c r="H21" s="14">
        <v>0.78042</v>
      </c>
      <c r="I21" s="14">
        <v>73</v>
      </c>
      <c r="J21" s="14">
        <v>62</v>
      </c>
      <c r="K21" s="14" t="s">
        <v>14</v>
      </c>
      <c r="L21" t="s">
        <v>575</v>
      </c>
    </row>
    <row r="22" spans="3:12" x14ac:dyDescent="0.25">
      <c r="C22" s="15">
        <v>10</v>
      </c>
      <c r="D22" s="14">
        <v>5</v>
      </c>
      <c r="E22" s="14" t="e">
        <f>NA()</f>
        <v>#N/A</v>
      </c>
      <c r="F22" s="14" t="e">
        <f>NA()</f>
        <v>#N/A</v>
      </c>
      <c r="G22" s="14" t="e">
        <f>NA()</f>
        <v>#N/A</v>
      </c>
      <c r="H22" s="14" t="e">
        <f>NA()</f>
        <v>#N/A</v>
      </c>
      <c r="I22" s="14">
        <v>38</v>
      </c>
      <c r="J22" s="14">
        <v>32</v>
      </c>
      <c r="K22" s="14" t="s">
        <v>15</v>
      </c>
      <c r="L22" t="s">
        <v>576</v>
      </c>
    </row>
    <row r="23" spans="3:12" x14ac:dyDescent="0.25">
      <c r="C23" s="15">
        <v>11</v>
      </c>
      <c r="D23" s="14">
        <v>5</v>
      </c>
      <c r="E23" s="14" t="e">
        <f>NA()</f>
        <v>#N/A</v>
      </c>
      <c r="F23" s="14" t="e">
        <f>NA()</f>
        <v>#N/A</v>
      </c>
      <c r="G23" s="14" t="e">
        <f>NA()</f>
        <v>#N/A</v>
      </c>
      <c r="H23" s="14" t="e">
        <f>NA()</f>
        <v>#N/A</v>
      </c>
      <c r="I23" s="14">
        <v>4</v>
      </c>
      <c r="J23" s="14">
        <v>4</v>
      </c>
      <c r="K23" s="14" t="s">
        <v>14</v>
      </c>
      <c r="L23" t="s">
        <v>576</v>
      </c>
    </row>
    <row r="24" spans="3:12" x14ac:dyDescent="0.25">
      <c r="C24" s="15">
        <v>12</v>
      </c>
      <c r="D24" s="14">
        <v>6</v>
      </c>
      <c r="E24" s="14" t="e">
        <f>NA()</f>
        <v>#N/A</v>
      </c>
      <c r="F24" s="14" t="e">
        <f>NA()</f>
        <v>#N/A</v>
      </c>
      <c r="G24" s="14" t="e">
        <f>NA()</f>
        <v>#N/A</v>
      </c>
      <c r="H24" s="14" t="e">
        <f>NA()</f>
        <v>#N/A</v>
      </c>
      <c r="I24" s="14">
        <v>2</v>
      </c>
      <c r="J24" s="14">
        <v>2</v>
      </c>
      <c r="K24" s="14" t="s">
        <v>14</v>
      </c>
      <c r="L24" t="s">
        <v>576</v>
      </c>
    </row>
    <row r="25" spans="3:12" x14ac:dyDescent="0.25">
      <c r="C25" s="15">
        <v>13</v>
      </c>
      <c r="D25" s="14">
        <v>6</v>
      </c>
      <c r="E25" s="14" t="e">
        <f>NA()</f>
        <v>#N/A</v>
      </c>
      <c r="F25" s="14" t="e">
        <f>NA()</f>
        <v>#N/A</v>
      </c>
      <c r="G25" s="14" t="e">
        <f>NA()</f>
        <v>#N/A</v>
      </c>
      <c r="H25" s="14" t="e">
        <f>NA()</f>
        <v>#N/A</v>
      </c>
      <c r="I25" s="14">
        <v>6</v>
      </c>
      <c r="J25" s="14">
        <v>4</v>
      </c>
      <c r="K25" s="14" t="s">
        <v>15</v>
      </c>
      <c r="L25" t="s">
        <v>576</v>
      </c>
    </row>
    <row r="26" spans="3:12" x14ac:dyDescent="0.25">
      <c r="C26" s="15">
        <v>14</v>
      </c>
      <c r="D26" s="14">
        <v>9</v>
      </c>
      <c r="E26" s="14" t="e">
        <f>NA()</f>
        <v>#N/A</v>
      </c>
      <c r="F26" s="14" t="e">
        <f>NA()</f>
        <v>#N/A</v>
      </c>
      <c r="G26" s="14" t="e">
        <f>NA()</f>
        <v>#N/A</v>
      </c>
      <c r="H26" s="14" t="e">
        <f>NA()</f>
        <v>#N/A</v>
      </c>
      <c r="I26" s="14">
        <v>71</v>
      </c>
      <c r="J26" s="14">
        <v>61</v>
      </c>
      <c r="K26" s="14" t="s">
        <v>14</v>
      </c>
      <c r="L26" t="s">
        <v>576</v>
      </c>
    </row>
    <row r="27" spans="3:12" x14ac:dyDescent="0.25">
      <c r="C27" s="15">
        <v>15</v>
      </c>
      <c r="D27" s="14">
        <v>9</v>
      </c>
      <c r="E27" s="14">
        <v>16</v>
      </c>
      <c r="F27" s="14">
        <v>17</v>
      </c>
      <c r="G27" s="14" t="s">
        <v>61</v>
      </c>
      <c r="H27" s="14">
        <v>0.36788999999999999</v>
      </c>
      <c r="I27" s="14">
        <v>2</v>
      </c>
      <c r="J27" s="14">
        <v>1</v>
      </c>
      <c r="K27" s="14" t="s">
        <v>13</v>
      </c>
      <c r="L27" t="s">
        <v>575</v>
      </c>
    </row>
    <row r="28" spans="3:12" x14ac:dyDescent="0.25">
      <c r="C28" s="15">
        <v>16</v>
      </c>
      <c r="D28" s="14">
        <v>15</v>
      </c>
      <c r="E28" s="14" t="e">
        <f>NA()</f>
        <v>#N/A</v>
      </c>
      <c r="F28" s="14" t="e">
        <f>NA()</f>
        <v>#N/A</v>
      </c>
      <c r="G28" s="14" t="e">
        <f>NA()</f>
        <v>#N/A</v>
      </c>
      <c r="H28" s="14" t="e">
        <f>NA()</f>
        <v>#N/A</v>
      </c>
      <c r="I28" s="14">
        <v>1</v>
      </c>
      <c r="J28" s="14">
        <v>1</v>
      </c>
      <c r="K28" s="14" t="s">
        <v>14</v>
      </c>
      <c r="L28" t="s">
        <v>576</v>
      </c>
    </row>
    <row r="29" spans="3:12" x14ac:dyDescent="0.25">
      <c r="C29" s="15">
        <v>17</v>
      </c>
      <c r="D29" s="14">
        <v>15</v>
      </c>
      <c r="E29" s="14" t="e">
        <f>NA()</f>
        <v>#N/A</v>
      </c>
      <c r="F29" s="14" t="e">
        <f>NA()</f>
        <v>#N/A</v>
      </c>
      <c r="G29" s="14" t="e">
        <f>NA()</f>
        <v>#N/A</v>
      </c>
      <c r="H29" s="14" t="e">
        <f>NA()</f>
        <v>#N/A</v>
      </c>
      <c r="I29" s="14">
        <v>1</v>
      </c>
      <c r="J29" s="14">
        <v>0</v>
      </c>
      <c r="K29" s="14" t="s">
        <v>13</v>
      </c>
      <c r="L29" t="s">
        <v>576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5'!$B$10:$B$10" display="Best Pruned Tree Rules (Using Validation Data)" xr:uid="{137B3C0A-B510-468F-91C6-18BFA56F21A2}"/>
    <hyperlink ref="D4" location="'CT_FullTree5'!$B$10:$B$10" display="Fully Grown Tree Rules (Using Training Data)" xr:uid="{13BE3CF3-C661-4EE4-80C3-48C4E2786D8E}"/>
    <hyperlink ref="F4" location="'CT_MinErrorTree5'!$B$10:$B$10" display="Min Error Tree Rules (Using Validation Data)" xr:uid="{C3B8BE88-0CE9-429C-BAD1-9CDC816E79F0}"/>
    <hyperlink ref="H4" location="'CT_Output5'!$B$10:$B$10" display="Inputs" xr:uid="{B0544489-AA8C-4E41-9AC5-BE8C33C7FEA8}"/>
    <hyperlink ref="J4" location="'CT_Output5'!$B$65:$B$65" display="Feature Importance" xr:uid="{A8FC1EC7-14FE-4FCF-9A91-103116959A0D}"/>
    <hyperlink ref="B5" location="'CT_Stored5'!$B$10:$B$10" display="PMML Model" xr:uid="{0B57B408-7659-4D78-BBF2-DD2F297A753D}"/>
    <hyperlink ref="D5" location="'CT_TrainingScore5'!$B$10:$B$10" display="Training: Classification Summary" xr:uid="{794CAB4A-D17E-425C-B7F7-F425479B9D91}"/>
    <hyperlink ref="F5" location="'CT_ValidationScore5'!$B$10:$B$10" display="Validation: Classification Summary" xr:uid="{10F3E4AD-8DBB-4EF6-84B8-9FB03C8F3B79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1D68D-A641-462F-A6AD-7B3FB1C82437}">
  <dimension ref="B1:Q21"/>
  <sheetViews>
    <sheetView showGridLines="0" workbookViewId="0"/>
  </sheetViews>
  <sheetFormatPr defaultRowHeight="13.2" x14ac:dyDescent="0.25"/>
  <cols>
    <col min="3" max="3" width="9.77734375" customWidth="1"/>
    <col min="4" max="4" width="11" customWidth="1"/>
    <col min="5" max="5" width="13.5546875" customWidth="1"/>
    <col min="6" max="6" width="14.88671875" customWidth="1"/>
    <col min="7" max="7" width="10.33203125" customWidth="1"/>
    <col min="8" max="8" width="15.5546875" customWidth="1"/>
    <col min="9" max="9" width="15.88671875" customWidth="1"/>
    <col min="10" max="10" width="17.33203125" customWidth="1"/>
    <col min="11" max="11" width="11.5546875" customWidth="1"/>
    <col min="12" max="12" width="12.21875" customWidth="1"/>
    <col min="14" max="14" width="24.33203125" bestFit="1" customWidth="1"/>
  </cols>
  <sheetData>
    <row r="1" spans="2:17" ht="18" x14ac:dyDescent="0.35">
      <c r="B1" s="12" t="s">
        <v>564</v>
      </c>
      <c r="N1" t="s">
        <v>828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425</v>
      </c>
      <c r="O5" s="16">
        <v>47</v>
      </c>
      <c r="P5" s="16">
        <v>8</v>
      </c>
      <c r="Q5" s="16">
        <v>480</v>
      </c>
    </row>
    <row r="10" spans="2:17" ht="18" x14ac:dyDescent="0.35">
      <c r="B10" s="13" t="s">
        <v>543</v>
      </c>
    </row>
    <row r="12" spans="2:17" x14ac:dyDescent="0.25">
      <c r="C12" s="15" t="s">
        <v>565</v>
      </c>
      <c r="D12" t="s">
        <v>566</v>
      </c>
      <c r="E12" t="s">
        <v>567</v>
      </c>
      <c r="F12" t="s">
        <v>568</v>
      </c>
      <c r="G12" t="s">
        <v>569</v>
      </c>
      <c r="H12" t="s">
        <v>570</v>
      </c>
      <c r="I12" t="s">
        <v>571</v>
      </c>
      <c r="J12" t="s">
        <v>572</v>
      </c>
      <c r="K12" t="s">
        <v>573</v>
      </c>
      <c r="L12" t="s">
        <v>574</v>
      </c>
    </row>
    <row r="13" spans="2:17" x14ac:dyDescent="0.25">
      <c r="C13" s="15">
        <v>1</v>
      </c>
      <c r="D13" s="14" t="e">
        <f>NA()</f>
        <v>#N/A</v>
      </c>
      <c r="E13" s="14">
        <v>2</v>
      </c>
      <c r="F13" s="14">
        <v>3</v>
      </c>
      <c r="G13" s="14" t="s">
        <v>73</v>
      </c>
      <c r="H13" s="14">
        <v>0.37589</v>
      </c>
      <c r="I13" s="14">
        <v>181</v>
      </c>
      <c r="J13" s="14">
        <v>148</v>
      </c>
      <c r="K13" s="14" t="s">
        <v>14</v>
      </c>
      <c r="L13" t="s">
        <v>575</v>
      </c>
    </row>
    <row r="14" spans="2:17" x14ac:dyDescent="0.25">
      <c r="C14" s="15">
        <v>2</v>
      </c>
      <c r="D14" s="14">
        <v>1</v>
      </c>
      <c r="E14" s="14">
        <v>4</v>
      </c>
      <c r="F14" s="14">
        <v>5</v>
      </c>
      <c r="G14" s="14" t="s">
        <v>70</v>
      </c>
      <c r="H14" s="14">
        <v>0.30493999999999999</v>
      </c>
      <c r="I14" s="14">
        <v>119</v>
      </c>
      <c r="J14" s="14">
        <v>100</v>
      </c>
      <c r="K14" s="14" t="s">
        <v>14</v>
      </c>
      <c r="L14" t="s">
        <v>575</v>
      </c>
    </row>
    <row r="15" spans="2:17" x14ac:dyDescent="0.25">
      <c r="C15" s="15">
        <v>3</v>
      </c>
      <c r="D15" s="14">
        <v>1</v>
      </c>
      <c r="E15" s="14">
        <v>6</v>
      </c>
      <c r="F15" s="14">
        <v>7</v>
      </c>
      <c r="G15" s="14" t="s">
        <v>67</v>
      </c>
      <c r="H15" s="14">
        <v>0.38550000000000001</v>
      </c>
      <c r="I15" s="14">
        <v>62</v>
      </c>
      <c r="J15" s="14">
        <v>48</v>
      </c>
      <c r="K15" s="14" t="s">
        <v>13</v>
      </c>
      <c r="L15" t="s">
        <v>575</v>
      </c>
    </row>
    <row r="16" spans="2:17" x14ac:dyDescent="0.25">
      <c r="C16" s="15">
        <v>4</v>
      </c>
      <c r="D16" s="14">
        <v>2</v>
      </c>
      <c r="E16" s="14">
        <v>8</v>
      </c>
      <c r="F16" s="14">
        <v>9</v>
      </c>
      <c r="G16" s="14" t="s">
        <v>67</v>
      </c>
      <c r="H16" s="14">
        <v>4.5168E-2</v>
      </c>
      <c r="I16" s="14">
        <v>77</v>
      </c>
      <c r="J16" s="14">
        <v>64</v>
      </c>
      <c r="K16" s="14" t="s">
        <v>14</v>
      </c>
      <c r="L16" t="s">
        <v>575</v>
      </c>
    </row>
    <row r="17" spans="3:12" x14ac:dyDescent="0.25">
      <c r="C17" s="15">
        <v>5</v>
      </c>
      <c r="D17" s="14">
        <v>2</v>
      </c>
      <c r="E17" s="14" t="e">
        <f>NA()</f>
        <v>#N/A</v>
      </c>
      <c r="F17" s="14" t="e">
        <f>NA()</f>
        <v>#N/A</v>
      </c>
      <c r="G17" s="14" t="e">
        <f>NA()</f>
        <v>#N/A</v>
      </c>
      <c r="H17" s="14" t="e">
        <f>NA()</f>
        <v>#N/A</v>
      </c>
      <c r="I17" s="14">
        <v>42</v>
      </c>
      <c r="J17" s="14">
        <v>36</v>
      </c>
      <c r="K17" s="14" t="s">
        <v>15</v>
      </c>
      <c r="L17" t="s">
        <v>576</v>
      </c>
    </row>
    <row r="18" spans="3:12" x14ac:dyDescent="0.25">
      <c r="C18" s="15">
        <v>6</v>
      </c>
      <c r="D18" s="14">
        <v>3</v>
      </c>
      <c r="E18" s="14" t="e">
        <f>NA()</f>
        <v>#N/A</v>
      </c>
      <c r="F18" s="14" t="e">
        <f>NA()</f>
        <v>#N/A</v>
      </c>
      <c r="G18" s="14" t="e">
        <f>NA()</f>
        <v>#N/A</v>
      </c>
      <c r="H18" s="14" t="e">
        <f>NA()</f>
        <v>#N/A</v>
      </c>
      <c r="I18" s="14">
        <v>8</v>
      </c>
      <c r="J18" s="14">
        <v>6</v>
      </c>
      <c r="K18" s="14" t="s">
        <v>15</v>
      </c>
      <c r="L18" t="s">
        <v>576</v>
      </c>
    </row>
    <row r="19" spans="3:12" x14ac:dyDescent="0.25">
      <c r="C19" s="15">
        <v>7</v>
      </c>
      <c r="D19" s="14">
        <v>3</v>
      </c>
      <c r="E19" s="14" t="e">
        <f>NA()</f>
        <v>#N/A</v>
      </c>
      <c r="F19" s="14" t="e">
        <f>NA()</f>
        <v>#N/A</v>
      </c>
      <c r="G19" s="14" t="e">
        <f>NA()</f>
        <v>#N/A</v>
      </c>
      <c r="H19" s="14" t="e">
        <f>NA()</f>
        <v>#N/A</v>
      </c>
      <c r="I19" s="14">
        <v>54</v>
      </c>
      <c r="J19" s="14">
        <v>42</v>
      </c>
      <c r="K19" s="14" t="s">
        <v>13</v>
      </c>
      <c r="L19" t="s">
        <v>576</v>
      </c>
    </row>
    <row r="20" spans="3:12" x14ac:dyDescent="0.25">
      <c r="C20" s="15">
        <v>8</v>
      </c>
      <c r="D20" s="14">
        <v>4</v>
      </c>
      <c r="E20" s="14" t="e">
        <f>NA()</f>
        <v>#N/A</v>
      </c>
      <c r="F20" s="14" t="e">
        <f>NA()</f>
        <v>#N/A</v>
      </c>
      <c r="G20" s="14" t="e">
        <f>NA()</f>
        <v>#N/A</v>
      </c>
      <c r="H20" s="14" t="e">
        <f>NA()</f>
        <v>#N/A</v>
      </c>
      <c r="I20" s="14">
        <v>4</v>
      </c>
      <c r="J20" s="14">
        <v>2</v>
      </c>
      <c r="K20" s="14" t="s">
        <v>15</v>
      </c>
      <c r="L20" t="s">
        <v>576</v>
      </c>
    </row>
    <row r="21" spans="3:12" x14ac:dyDescent="0.25">
      <c r="C21" s="15">
        <v>9</v>
      </c>
      <c r="D21" s="14">
        <v>4</v>
      </c>
      <c r="E21" s="14" t="e">
        <f>NA()</f>
        <v>#N/A</v>
      </c>
      <c r="F21" s="14" t="e">
        <f>NA()</f>
        <v>#N/A</v>
      </c>
      <c r="G21" s="14" t="e">
        <f>NA()</f>
        <v>#N/A</v>
      </c>
      <c r="H21" s="14" t="e">
        <f>NA()</f>
        <v>#N/A</v>
      </c>
      <c r="I21" s="14">
        <v>73</v>
      </c>
      <c r="J21" s="14">
        <v>62</v>
      </c>
      <c r="K21" s="14" t="s">
        <v>14</v>
      </c>
      <c r="L21" t="s">
        <v>576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5'!$B$10:$B$10" display="Best Pruned Tree Rules (Using Validation Data)" xr:uid="{BEBAFA98-9E91-4874-9303-4A6589DBE5AF}"/>
    <hyperlink ref="D4" location="'CT_FullTree5'!$B$10:$B$10" display="Fully Grown Tree Rules (Using Training Data)" xr:uid="{C6355A2C-BB65-4B16-875B-EF7D369898D9}"/>
    <hyperlink ref="F4" location="'CT_MinErrorTree5'!$B$10:$B$10" display="Min Error Tree Rules (Using Validation Data)" xr:uid="{22D9537E-E9DB-469C-8EBB-F36C818FD04E}"/>
    <hyperlink ref="H4" location="'CT_Output5'!$B$10:$B$10" display="Inputs" xr:uid="{917029D8-6872-4054-92A0-D3A6899A3BB0}"/>
    <hyperlink ref="J4" location="'CT_Output5'!$B$65:$B$65" display="Feature Importance" xr:uid="{16026DDB-AB18-4785-9681-4BB15DDAA1C9}"/>
    <hyperlink ref="B5" location="'CT_Stored5'!$B$10:$B$10" display="PMML Model" xr:uid="{7C0C8FC2-BC1D-412F-96FC-32B0CBC6929A}"/>
    <hyperlink ref="D5" location="'CT_TrainingScore5'!$B$10:$B$10" display="Training: Classification Summary" xr:uid="{0C4D3DB8-5D65-4EE9-8BDC-9A44E2A4AE46}"/>
    <hyperlink ref="F5" location="'CT_ValidationScore5'!$B$10:$B$10" display="Validation: Classification Summary" xr:uid="{7A48F2ED-3779-43BF-9E3C-B63D15796017}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4519-8E2D-4410-A3EB-F584A659E4ED}">
  <dimension ref="B1:Q25"/>
  <sheetViews>
    <sheetView showGridLines="0" workbookViewId="0"/>
  </sheetViews>
  <sheetFormatPr defaultRowHeight="13.2" x14ac:dyDescent="0.25"/>
  <cols>
    <col min="3" max="3" width="9.77734375" customWidth="1"/>
    <col min="4" max="4" width="11" customWidth="1"/>
    <col min="5" max="5" width="13.5546875" customWidth="1"/>
    <col min="6" max="6" width="14.88671875" customWidth="1"/>
    <col min="7" max="7" width="10.33203125" customWidth="1"/>
    <col min="8" max="8" width="15.5546875" customWidth="1"/>
    <col min="9" max="9" width="15.88671875" customWidth="1"/>
    <col min="10" max="10" width="17.33203125" customWidth="1"/>
    <col min="11" max="11" width="11.5546875" customWidth="1"/>
    <col min="12" max="12" width="12.21875" customWidth="1"/>
    <col min="14" max="14" width="24.33203125" bestFit="1" customWidth="1"/>
  </cols>
  <sheetData>
    <row r="1" spans="2:17" ht="18" x14ac:dyDescent="0.35">
      <c r="B1" s="12" t="s">
        <v>564</v>
      </c>
      <c r="N1" t="s">
        <v>828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425</v>
      </c>
      <c r="O5" s="16">
        <v>47</v>
      </c>
      <c r="P5" s="16">
        <v>8</v>
      </c>
      <c r="Q5" s="16">
        <v>480</v>
      </c>
    </row>
    <row r="10" spans="2:17" ht="18" x14ac:dyDescent="0.35">
      <c r="B10" s="13" t="s">
        <v>545</v>
      </c>
    </row>
    <row r="12" spans="2:17" x14ac:dyDescent="0.25">
      <c r="C12" s="15" t="s">
        <v>565</v>
      </c>
      <c r="D12" t="s">
        <v>566</v>
      </c>
      <c r="E12" t="s">
        <v>567</v>
      </c>
      <c r="F12" t="s">
        <v>568</v>
      </c>
      <c r="G12" t="s">
        <v>569</v>
      </c>
      <c r="H12" t="s">
        <v>570</v>
      </c>
      <c r="I12" t="s">
        <v>571</v>
      </c>
      <c r="J12" t="s">
        <v>572</v>
      </c>
      <c r="K12" t="s">
        <v>573</v>
      </c>
      <c r="L12" t="s">
        <v>574</v>
      </c>
    </row>
    <row r="13" spans="2:17" x14ac:dyDescent="0.25">
      <c r="C13" s="15">
        <v>1</v>
      </c>
      <c r="D13" s="14" t="e">
        <f>NA()</f>
        <v>#N/A</v>
      </c>
      <c r="E13" s="14">
        <v>2</v>
      </c>
      <c r="F13" s="14">
        <v>3</v>
      </c>
      <c r="G13" s="14" t="s">
        <v>73</v>
      </c>
      <c r="H13" s="14">
        <v>0.37589</v>
      </c>
      <c r="I13" s="14">
        <v>181</v>
      </c>
      <c r="J13" s="14">
        <v>148</v>
      </c>
      <c r="K13" s="14" t="s">
        <v>14</v>
      </c>
      <c r="L13" t="s">
        <v>575</v>
      </c>
    </row>
    <row r="14" spans="2:17" x14ac:dyDescent="0.25">
      <c r="C14" s="15">
        <v>2</v>
      </c>
      <c r="D14" s="14">
        <v>1</v>
      </c>
      <c r="E14" s="14">
        <v>4</v>
      </c>
      <c r="F14" s="14">
        <v>5</v>
      </c>
      <c r="G14" s="14" t="s">
        <v>70</v>
      </c>
      <c r="H14" s="14">
        <v>0.30493999999999999</v>
      </c>
      <c r="I14" s="14">
        <v>119</v>
      </c>
      <c r="J14" s="14">
        <v>100</v>
      </c>
      <c r="K14" s="14" t="s">
        <v>14</v>
      </c>
      <c r="L14" t="s">
        <v>575</v>
      </c>
    </row>
    <row r="15" spans="2:17" x14ac:dyDescent="0.25">
      <c r="C15" s="15">
        <v>3</v>
      </c>
      <c r="D15" s="14">
        <v>1</v>
      </c>
      <c r="E15" s="14">
        <v>6</v>
      </c>
      <c r="F15" s="14">
        <v>7</v>
      </c>
      <c r="G15" s="14" t="s">
        <v>67</v>
      </c>
      <c r="H15" s="14">
        <v>0.38550000000000001</v>
      </c>
      <c r="I15" s="14">
        <v>62</v>
      </c>
      <c r="J15" s="14">
        <v>48</v>
      </c>
      <c r="K15" s="14" t="s">
        <v>13</v>
      </c>
      <c r="L15" t="s">
        <v>575</v>
      </c>
    </row>
    <row r="16" spans="2:17" x14ac:dyDescent="0.25">
      <c r="C16" s="15">
        <v>4</v>
      </c>
      <c r="D16" s="14">
        <v>2</v>
      </c>
      <c r="E16" s="14">
        <v>8</v>
      </c>
      <c r="F16" s="14">
        <v>9</v>
      </c>
      <c r="G16" s="14" t="s">
        <v>67</v>
      </c>
      <c r="H16" s="14">
        <v>4.5168E-2</v>
      </c>
      <c r="I16" s="14">
        <v>77</v>
      </c>
      <c r="J16" s="14">
        <v>64</v>
      </c>
      <c r="K16" s="14" t="s">
        <v>14</v>
      </c>
      <c r="L16" t="s">
        <v>575</v>
      </c>
    </row>
    <row r="17" spans="3:12" x14ac:dyDescent="0.25">
      <c r="C17" s="15">
        <v>5</v>
      </c>
      <c r="D17" s="14">
        <v>2</v>
      </c>
      <c r="E17" s="14">
        <v>10</v>
      </c>
      <c r="F17" s="14">
        <v>11</v>
      </c>
      <c r="G17" s="14" t="s">
        <v>67</v>
      </c>
      <c r="H17" s="14">
        <v>0.22478999999999999</v>
      </c>
      <c r="I17" s="14">
        <v>42</v>
      </c>
      <c r="J17" s="14">
        <v>36</v>
      </c>
      <c r="K17" s="14" t="s">
        <v>15</v>
      </c>
      <c r="L17" t="s">
        <v>575</v>
      </c>
    </row>
    <row r="18" spans="3:12" x14ac:dyDescent="0.25">
      <c r="C18" s="15">
        <v>6</v>
      </c>
      <c r="D18" s="14">
        <v>3</v>
      </c>
      <c r="E18" s="14">
        <v>12</v>
      </c>
      <c r="F18" s="14">
        <v>13</v>
      </c>
      <c r="G18" s="14" t="s">
        <v>62</v>
      </c>
      <c r="H18" s="14">
        <v>0.27484999999999998</v>
      </c>
      <c r="I18" s="14">
        <v>8</v>
      </c>
      <c r="J18" s="14">
        <v>6</v>
      </c>
      <c r="K18" s="14" t="s">
        <v>15</v>
      </c>
      <c r="L18" t="s">
        <v>575</v>
      </c>
    </row>
    <row r="19" spans="3:12" x14ac:dyDescent="0.25">
      <c r="C19" s="15">
        <v>7</v>
      </c>
      <c r="D19" s="14">
        <v>3</v>
      </c>
      <c r="E19" s="14" t="e">
        <f>NA()</f>
        <v>#N/A</v>
      </c>
      <c r="F19" s="14" t="e">
        <f>NA()</f>
        <v>#N/A</v>
      </c>
      <c r="G19" s="14" t="e">
        <f>NA()</f>
        <v>#N/A</v>
      </c>
      <c r="H19" s="14" t="e">
        <f>NA()</f>
        <v>#N/A</v>
      </c>
      <c r="I19" s="14">
        <v>54</v>
      </c>
      <c r="J19" s="14">
        <v>42</v>
      </c>
      <c r="K19" s="14" t="s">
        <v>13</v>
      </c>
      <c r="L19" t="s">
        <v>576</v>
      </c>
    </row>
    <row r="20" spans="3:12" x14ac:dyDescent="0.25">
      <c r="C20" s="15">
        <v>8</v>
      </c>
      <c r="D20" s="14">
        <v>4</v>
      </c>
      <c r="E20" s="14" t="e">
        <f>NA()</f>
        <v>#N/A</v>
      </c>
      <c r="F20" s="14" t="e">
        <f>NA()</f>
        <v>#N/A</v>
      </c>
      <c r="G20" s="14" t="e">
        <f>NA()</f>
        <v>#N/A</v>
      </c>
      <c r="H20" s="14" t="e">
        <f>NA()</f>
        <v>#N/A</v>
      </c>
      <c r="I20" s="14">
        <v>4</v>
      </c>
      <c r="J20" s="14">
        <v>2</v>
      </c>
      <c r="K20" s="14" t="s">
        <v>15</v>
      </c>
      <c r="L20" t="s">
        <v>576</v>
      </c>
    </row>
    <row r="21" spans="3:12" x14ac:dyDescent="0.25">
      <c r="C21" s="15">
        <v>9</v>
      </c>
      <c r="D21" s="14">
        <v>4</v>
      </c>
      <c r="E21" s="14" t="e">
        <f>NA()</f>
        <v>#N/A</v>
      </c>
      <c r="F21" s="14" t="e">
        <f>NA()</f>
        <v>#N/A</v>
      </c>
      <c r="G21" s="14" t="e">
        <f>NA()</f>
        <v>#N/A</v>
      </c>
      <c r="H21" s="14" t="e">
        <f>NA()</f>
        <v>#N/A</v>
      </c>
      <c r="I21" s="14">
        <v>73</v>
      </c>
      <c r="J21" s="14">
        <v>62</v>
      </c>
      <c r="K21" s="14" t="s">
        <v>14</v>
      </c>
      <c r="L21" t="s">
        <v>576</v>
      </c>
    </row>
    <row r="22" spans="3:12" x14ac:dyDescent="0.25">
      <c r="C22" s="15">
        <v>10</v>
      </c>
      <c r="D22" s="14">
        <v>5</v>
      </c>
      <c r="E22" s="14" t="e">
        <f>NA()</f>
        <v>#N/A</v>
      </c>
      <c r="F22" s="14" t="e">
        <f>NA()</f>
        <v>#N/A</v>
      </c>
      <c r="G22" s="14" t="e">
        <f>NA()</f>
        <v>#N/A</v>
      </c>
      <c r="H22" s="14" t="e">
        <f>NA()</f>
        <v>#N/A</v>
      </c>
      <c r="I22" s="14">
        <v>38</v>
      </c>
      <c r="J22" s="14">
        <v>32</v>
      </c>
      <c r="K22" s="14" t="s">
        <v>15</v>
      </c>
      <c r="L22" t="s">
        <v>576</v>
      </c>
    </row>
    <row r="23" spans="3:12" x14ac:dyDescent="0.25">
      <c r="C23" s="15">
        <v>11</v>
      </c>
      <c r="D23" s="14">
        <v>5</v>
      </c>
      <c r="E23" s="14" t="e">
        <f>NA()</f>
        <v>#N/A</v>
      </c>
      <c r="F23" s="14" t="e">
        <f>NA()</f>
        <v>#N/A</v>
      </c>
      <c r="G23" s="14" t="e">
        <f>NA()</f>
        <v>#N/A</v>
      </c>
      <c r="H23" s="14" t="e">
        <f>NA()</f>
        <v>#N/A</v>
      </c>
      <c r="I23" s="14">
        <v>4</v>
      </c>
      <c r="J23" s="14">
        <v>4</v>
      </c>
      <c r="K23" s="14" t="s">
        <v>14</v>
      </c>
      <c r="L23" t="s">
        <v>576</v>
      </c>
    </row>
    <row r="24" spans="3:12" x14ac:dyDescent="0.25">
      <c r="C24" s="15">
        <v>12</v>
      </c>
      <c r="D24" s="14">
        <v>6</v>
      </c>
      <c r="E24" s="14" t="e">
        <f>NA()</f>
        <v>#N/A</v>
      </c>
      <c r="F24" s="14" t="e">
        <f>NA()</f>
        <v>#N/A</v>
      </c>
      <c r="G24" s="14" t="e">
        <f>NA()</f>
        <v>#N/A</v>
      </c>
      <c r="H24" s="14" t="e">
        <f>NA()</f>
        <v>#N/A</v>
      </c>
      <c r="I24" s="14">
        <v>2</v>
      </c>
      <c r="J24" s="14">
        <v>2</v>
      </c>
      <c r="K24" s="14" t="s">
        <v>14</v>
      </c>
      <c r="L24" t="s">
        <v>576</v>
      </c>
    </row>
    <row r="25" spans="3:12" x14ac:dyDescent="0.25">
      <c r="C25" s="15">
        <v>13</v>
      </c>
      <c r="D25" s="14">
        <v>6</v>
      </c>
      <c r="E25" s="14" t="e">
        <f>NA()</f>
        <v>#N/A</v>
      </c>
      <c r="F25" s="14" t="e">
        <f>NA()</f>
        <v>#N/A</v>
      </c>
      <c r="G25" s="14" t="e">
        <f>NA()</f>
        <v>#N/A</v>
      </c>
      <c r="H25" s="14" t="e">
        <f>NA()</f>
        <v>#N/A</v>
      </c>
      <c r="I25" s="14">
        <v>6</v>
      </c>
      <c r="J25" s="14">
        <v>4</v>
      </c>
      <c r="K25" s="14" t="s">
        <v>15</v>
      </c>
      <c r="L25" t="s">
        <v>576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5'!$B$10:$B$10" display="Best Pruned Tree Rules (Using Validation Data)" xr:uid="{7305AA13-7BB5-4E5B-BC3D-FF8084A4BD35}"/>
    <hyperlink ref="D4" location="'CT_FullTree5'!$B$10:$B$10" display="Fully Grown Tree Rules (Using Training Data)" xr:uid="{BDFADC0A-081A-4C1D-AAFE-76C89053D913}"/>
    <hyperlink ref="F4" location="'CT_MinErrorTree5'!$B$10:$B$10" display="Min Error Tree Rules (Using Validation Data)" xr:uid="{88392119-728C-4510-A07B-B715BC91ABE0}"/>
    <hyperlink ref="H4" location="'CT_Output5'!$B$10:$B$10" display="Inputs" xr:uid="{4ED02928-DA9F-4BC2-8A7C-4DD1BF3BAEA6}"/>
    <hyperlink ref="J4" location="'CT_Output5'!$B$65:$B$65" display="Feature Importance" xr:uid="{BC94925D-A9D5-4AF9-9D60-D210341DC242}"/>
    <hyperlink ref="B5" location="'CT_Stored5'!$B$10:$B$10" display="PMML Model" xr:uid="{0FC46FDD-E36D-4C1B-8D87-36E4BBBE3260}"/>
    <hyperlink ref="D5" location="'CT_TrainingScore5'!$B$10:$B$10" display="Training: Classification Summary" xr:uid="{8410B07D-E9AD-42D2-9100-0E655468C103}"/>
    <hyperlink ref="F5" location="'CT_ValidationScore5'!$B$10:$B$10" display="Validation: Classification Summary" xr:uid="{B598C807-53A6-4EAD-BD90-29BD99FE7BB3}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EE7C1-BE57-44C2-9440-F8B15CBC6BC0}">
  <dimension ref="B1:Q28"/>
  <sheetViews>
    <sheetView showGridLines="0" topLeftCell="A6" workbookViewId="0">
      <selection activeCell="F23" sqref="F23"/>
    </sheetView>
  </sheetViews>
  <sheetFormatPr defaultRowHeight="13.2" x14ac:dyDescent="0.25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4" max="14" width="24.33203125" bestFit="1" customWidth="1"/>
  </cols>
  <sheetData>
    <row r="1" spans="2:17" ht="18" x14ac:dyDescent="0.35">
      <c r="B1" s="12" t="s">
        <v>563</v>
      </c>
      <c r="N1" t="s">
        <v>828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425</v>
      </c>
      <c r="O5" s="16">
        <v>47</v>
      </c>
      <c r="P5" s="16">
        <v>8</v>
      </c>
      <c r="Q5" s="16">
        <v>480</v>
      </c>
    </row>
    <row r="10" spans="2:17" ht="18" x14ac:dyDescent="0.35">
      <c r="B10" s="13" t="s">
        <v>547</v>
      </c>
    </row>
    <row r="12" spans="2:17" ht="15.6" x14ac:dyDescent="0.3">
      <c r="C12" s="28" t="s">
        <v>550</v>
      </c>
      <c r="D12" s="28"/>
      <c r="E12" s="28"/>
      <c r="F12" s="28"/>
    </row>
    <row r="13" spans="2:17" x14ac:dyDescent="0.25">
      <c r="C13" s="15" t="s">
        <v>562</v>
      </c>
      <c r="D13" t="s">
        <v>13</v>
      </c>
      <c r="E13" t="s">
        <v>14</v>
      </c>
      <c r="F13" t="s">
        <v>15</v>
      </c>
    </row>
    <row r="14" spans="2:17" x14ac:dyDescent="0.25">
      <c r="C14" s="15" t="s">
        <v>13</v>
      </c>
      <c r="D14" s="14">
        <v>54</v>
      </c>
      <c r="E14" s="14">
        <v>1</v>
      </c>
      <c r="F14">
        <v>0</v>
      </c>
    </row>
    <row r="15" spans="2:17" x14ac:dyDescent="0.25">
      <c r="C15" s="15" t="s">
        <v>14</v>
      </c>
      <c r="D15" s="14">
        <v>0</v>
      </c>
      <c r="E15" s="14">
        <v>72</v>
      </c>
      <c r="F15">
        <v>6</v>
      </c>
    </row>
    <row r="16" spans="2:17" x14ac:dyDescent="0.25">
      <c r="C16" s="15" t="s">
        <v>15</v>
      </c>
      <c r="D16" s="14">
        <v>0</v>
      </c>
      <c r="E16" s="14">
        <v>0</v>
      </c>
      <c r="F16">
        <v>48</v>
      </c>
    </row>
    <row r="18" spans="3:6" ht="15.6" x14ac:dyDescent="0.3">
      <c r="C18" s="28" t="s">
        <v>551</v>
      </c>
      <c r="D18" s="28"/>
      <c r="E18" s="28"/>
      <c r="F18" s="28"/>
    </row>
    <row r="19" spans="3:6" x14ac:dyDescent="0.25">
      <c r="C19" t="s">
        <v>552</v>
      </c>
      <c r="D19" t="s">
        <v>558</v>
      </c>
      <c r="E19" t="s">
        <v>560</v>
      </c>
      <c r="F19" t="s">
        <v>561</v>
      </c>
    </row>
    <row r="20" spans="3:6" x14ac:dyDescent="0.25">
      <c r="C20" s="15" t="s">
        <v>13</v>
      </c>
      <c r="D20">
        <f>SUM($D$14:$F$14)</f>
        <v>55</v>
      </c>
      <c r="E20">
        <f>SUM($D$14:$F$14) - $D$14</f>
        <v>1</v>
      </c>
      <c r="F20">
        <f>IF($D$20=0,"Undefined",$E$20*100 / $D$20)</f>
        <v>1.8181818181818181</v>
      </c>
    </row>
    <row r="21" spans="3:6" x14ac:dyDescent="0.25">
      <c r="C21" s="15" t="s">
        <v>14</v>
      </c>
      <c r="D21">
        <f>SUM($D$15:$F$15)</f>
        <v>78</v>
      </c>
      <c r="E21">
        <f>SUM($D$15:$F$15) - $E$15</f>
        <v>6</v>
      </c>
      <c r="F21">
        <f>IF($D$21=0,"Undefined",$E$21*100 / $D$21)</f>
        <v>7.6923076923076925</v>
      </c>
    </row>
    <row r="22" spans="3:6" x14ac:dyDescent="0.25">
      <c r="C22" s="15" t="s">
        <v>15</v>
      </c>
      <c r="D22">
        <f>SUM($D$16:$F$16)</f>
        <v>48</v>
      </c>
      <c r="E22">
        <f>SUM($D$16:$F$16) - $F$16</f>
        <v>0</v>
      </c>
      <c r="F22">
        <f>IF($D$22=0,"Undefined",$E$22*100 / $D$22)</f>
        <v>0</v>
      </c>
    </row>
    <row r="23" spans="3:6" x14ac:dyDescent="0.25">
      <c r="C23" s="15" t="s">
        <v>553</v>
      </c>
      <c r="D23">
        <f>SUM($D$20:$D$22)</f>
        <v>181</v>
      </c>
      <c r="E23">
        <f>SUM($E$20:$E$22)</f>
        <v>7</v>
      </c>
      <c r="F23">
        <f>IF($D$23=0,"Undefined",$E$23*100 / $D$23)</f>
        <v>3.867403314917127</v>
      </c>
    </row>
    <row r="25" spans="3:6" ht="15.6" x14ac:dyDescent="0.3">
      <c r="C25" s="28" t="s">
        <v>554</v>
      </c>
      <c r="D25" s="28"/>
    </row>
    <row r="26" spans="3:6" x14ac:dyDescent="0.25">
      <c r="C26" t="s">
        <v>555</v>
      </c>
      <c r="D26" t="s">
        <v>559</v>
      </c>
    </row>
    <row r="27" spans="3:6" x14ac:dyDescent="0.25">
      <c r="C27" t="s">
        <v>556</v>
      </c>
      <c r="D27">
        <v>174</v>
      </c>
    </row>
    <row r="28" spans="3:6" x14ac:dyDescent="0.25">
      <c r="C28" t="s">
        <v>557</v>
      </c>
      <c r="D28">
        <v>96.132596685082873</v>
      </c>
    </row>
  </sheetData>
  <mergeCells count="15">
    <mergeCell ref="C12:F12"/>
    <mergeCell ref="C18:F18"/>
    <mergeCell ref="C25:D25"/>
    <mergeCell ref="B4:C4"/>
    <mergeCell ref="D4:E4"/>
    <mergeCell ref="F4:G4"/>
    <mergeCell ref="B3:K3"/>
    <mergeCell ref="N3:Q3"/>
    <mergeCell ref="H4:I4"/>
    <mergeCell ref="J4:K4"/>
    <mergeCell ref="B5:C5"/>
    <mergeCell ref="D5:E5"/>
    <mergeCell ref="F5:G5"/>
    <mergeCell ref="H5:I5"/>
    <mergeCell ref="J5:K5"/>
  </mergeCells>
  <hyperlinks>
    <hyperlink ref="B4" location="'CT_BestTree5'!$B$10:$B$10" display="Best Pruned Tree Rules (Using Validation Data)" xr:uid="{5EF9DBDE-AA4C-4BF6-87AE-80ADA32EDA9A}"/>
    <hyperlink ref="D4" location="'CT_FullTree5'!$B$10:$B$10" display="Fully Grown Tree Rules (Using Training Data)" xr:uid="{51A98260-E5AD-4CFD-817C-C7B0FDA87E1A}"/>
    <hyperlink ref="F4" location="'CT_MinErrorTree5'!$B$10:$B$10" display="Min Error Tree Rules (Using Validation Data)" xr:uid="{031FDAFE-5D77-44EE-8D3F-54F18E4870BC}"/>
    <hyperlink ref="H4" location="'CT_Output5'!$B$10:$B$10" display="Inputs" xr:uid="{0429E6E2-5B9C-4163-900B-D028C134B1B3}"/>
    <hyperlink ref="J4" location="'CT_Output5'!$B$65:$B$65" display="Feature Importance" xr:uid="{83982CFC-DCD7-45EF-8783-85221BBAE583}"/>
    <hyperlink ref="B5" location="'CT_Stored5'!$B$10:$B$10" display="PMML Model" xr:uid="{07021BDC-2C09-47CC-A559-F91A4AED4E03}"/>
    <hyperlink ref="D5" location="'CT_TrainingScore5'!$B$10:$B$10" display="Training: Classification Summary" xr:uid="{D55605A5-A64B-4D07-A198-013B62B08923}"/>
    <hyperlink ref="F5" location="'CT_ValidationScore5'!$B$10:$B$10" display="Validation: Classification Summary" xr:uid="{261969E1-A606-466B-8F7C-830277AEE571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E8516-51CC-48F1-92EF-786484A56A7F}">
  <dimension ref="B1:Q28"/>
  <sheetViews>
    <sheetView showGridLines="0" workbookViewId="0">
      <selection activeCell="F23" sqref="F23"/>
    </sheetView>
  </sheetViews>
  <sheetFormatPr defaultRowHeight="13.2" x14ac:dyDescent="0.25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4" max="14" width="24.33203125" bestFit="1" customWidth="1"/>
  </cols>
  <sheetData>
    <row r="1" spans="2:17" ht="18" x14ac:dyDescent="0.35">
      <c r="B1" s="12" t="s">
        <v>549</v>
      </c>
      <c r="N1" t="s">
        <v>828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425</v>
      </c>
      <c r="O5" s="16">
        <v>47</v>
      </c>
      <c r="P5" s="16">
        <v>8</v>
      </c>
      <c r="Q5" s="16">
        <v>480</v>
      </c>
    </row>
    <row r="10" spans="2:17" ht="18" x14ac:dyDescent="0.35">
      <c r="B10" s="13" t="s">
        <v>548</v>
      </c>
    </row>
    <row r="12" spans="2:17" ht="15.6" x14ac:dyDescent="0.3">
      <c r="C12" s="28" t="s">
        <v>550</v>
      </c>
      <c r="D12" s="28"/>
      <c r="E12" s="28"/>
      <c r="F12" s="28"/>
    </row>
    <row r="13" spans="2:17" x14ac:dyDescent="0.25">
      <c r="C13" s="15" t="s">
        <v>562</v>
      </c>
      <c r="D13" t="s">
        <v>13</v>
      </c>
      <c r="E13" t="s">
        <v>14</v>
      </c>
      <c r="F13" t="s">
        <v>15</v>
      </c>
    </row>
    <row r="14" spans="2:17" x14ac:dyDescent="0.25">
      <c r="C14" s="15" t="s">
        <v>13</v>
      </c>
      <c r="D14" s="14">
        <v>38</v>
      </c>
      <c r="E14" s="14">
        <v>2</v>
      </c>
      <c r="F14">
        <v>0</v>
      </c>
    </row>
    <row r="15" spans="2:17" x14ac:dyDescent="0.25">
      <c r="C15" s="15" t="s">
        <v>14</v>
      </c>
      <c r="D15" s="14">
        <v>4</v>
      </c>
      <c r="E15" s="14">
        <v>56</v>
      </c>
      <c r="F15">
        <v>4</v>
      </c>
    </row>
    <row r="16" spans="2:17" x14ac:dyDescent="0.25">
      <c r="C16" s="15" t="s">
        <v>15</v>
      </c>
      <c r="D16" s="14">
        <v>0</v>
      </c>
      <c r="E16" s="14">
        <v>4</v>
      </c>
      <c r="F16">
        <v>40</v>
      </c>
    </row>
    <row r="18" spans="3:6" ht="15.6" x14ac:dyDescent="0.3">
      <c r="C18" s="28" t="s">
        <v>551</v>
      </c>
      <c r="D18" s="28"/>
      <c r="E18" s="28"/>
      <c r="F18" s="28"/>
    </row>
    <row r="19" spans="3:6" x14ac:dyDescent="0.25">
      <c r="C19" t="s">
        <v>552</v>
      </c>
      <c r="D19" t="s">
        <v>558</v>
      </c>
      <c r="E19" t="s">
        <v>560</v>
      </c>
      <c r="F19" t="s">
        <v>561</v>
      </c>
    </row>
    <row r="20" spans="3:6" x14ac:dyDescent="0.25">
      <c r="C20" s="15" t="s">
        <v>13</v>
      </c>
      <c r="D20">
        <f>SUM($D$14:$F$14)</f>
        <v>40</v>
      </c>
      <c r="E20">
        <f>SUM($D$14:$F$14) - $D$14</f>
        <v>2</v>
      </c>
      <c r="F20">
        <f>IF($D$20=0,"Undefined",$E$20*100 / $D$20)</f>
        <v>5</v>
      </c>
    </row>
    <row r="21" spans="3:6" x14ac:dyDescent="0.25">
      <c r="C21" s="15" t="s">
        <v>14</v>
      </c>
      <c r="D21">
        <f>SUM($D$15:$F$15)</f>
        <v>64</v>
      </c>
      <c r="E21">
        <f>SUM($D$15:$F$15) - $E$15</f>
        <v>8</v>
      </c>
      <c r="F21">
        <f>IF($D$21=0,"Undefined",$E$21*100 / $D$21)</f>
        <v>12.5</v>
      </c>
    </row>
    <row r="22" spans="3:6" x14ac:dyDescent="0.25">
      <c r="C22" s="15" t="s">
        <v>15</v>
      </c>
      <c r="D22">
        <f>SUM($D$16:$F$16)</f>
        <v>44</v>
      </c>
      <c r="E22">
        <f>SUM($D$16:$F$16) - $F$16</f>
        <v>4</v>
      </c>
      <c r="F22">
        <f>IF($D$22=0,"Undefined",$E$22*100 / $D$22)</f>
        <v>9.0909090909090917</v>
      </c>
    </row>
    <row r="23" spans="3:6" x14ac:dyDescent="0.25">
      <c r="C23" s="15" t="s">
        <v>553</v>
      </c>
      <c r="D23">
        <f>SUM($D$20:$D$22)</f>
        <v>148</v>
      </c>
      <c r="E23">
        <f>SUM($E$20:$E$22)</f>
        <v>14</v>
      </c>
      <c r="F23">
        <f>IF($D$23=0,"Undefined",$E$23*100 / $D$23)</f>
        <v>9.4594594594594597</v>
      </c>
    </row>
    <row r="25" spans="3:6" ht="15.6" x14ac:dyDescent="0.3">
      <c r="C25" s="28" t="s">
        <v>554</v>
      </c>
      <c r="D25" s="28"/>
    </row>
    <row r="26" spans="3:6" x14ac:dyDescent="0.25">
      <c r="C26" t="s">
        <v>555</v>
      </c>
      <c r="D26" t="s">
        <v>559</v>
      </c>
    </row>
    <row r="27" spans="3:6" x14ac:dyDescent="0.25">
      <c r="C27" t="s">
        <v>556</v>
      </c>
      <c r="D27">
        <v>134</v>
      </c>
    </row>
    <row r="28" spans="3:6" x14ac:dyDescent="0.25">
      <c r="C28" t="s">
        <v>557</v>
      </c>
      <c r="D28">
        <v>90.540540540540519</v>
      </c>
    </row>
  </sheetData>
  <mergeCells count="15">
    <mergeCell ref="C12:F12"/>
    <mergeCell ref="C18:F18"/>
    <mergeCell ref="C25:D25"/>
    <mergeCell ref="B4:C4"/>
    <mergeCell ref="D4:E4"/>
    <mergeCell ref="F4:G4"/>
    <mergeCell ref="B3:K3"/>
    <mergeCell ref="N3:Q3"/>
    <mergeCell ref="H4:I4"/>
    <mergeCell ref="J4:K4"/>
    <mergeCell ref="B5:C5"/>
    <mergeCell ref="D5:E5"/>
    <mergeCell ref="F5:G5"/>
    <mergeCell ref="H5:I5"/>
    <mergeCell ref="J5:K5"/>
  </mergeCells>
  <hyperlinks>
    <hyperlink ref="B4" location="'CT_BestTree5'!$B$10:$B$10" display="Best Pruned Tree Rules (Using Validation Data)" xr:uid="{8EEE0352-07F9-4A4E-8EE7-77F6625BA307}"/>
    <hyperlink ref="D4" location="'CT_FullTree5'!$B$10:$B$10" display="Fully Grown Tree Rules (Using Training Data)" xr:uid="{B1A7891A-2BB3-44F0-8CFD-802DF1883DB2}"/>
    <hyperlink ref="F4" location="'CT_MinErrorTree5'!$B$10:$B$10" display="Min Error Tree Rules (Using Validation Data)" xr:uid="{023D4EC5-B75B-451F-B7AD-6FCDF0C16C9E}"/>
    <hyperlink ref="H4" location="'CT_Output5'!$B$10:$B$10" display="Inputs" xr:uid="{2142A345-D728-4B3D-B508-C3029E87C7D7}"/>
    <hyperlink ref="J4" location="'CT_Output5'!$B$65:$B$65" display="Feature Importance" xr:uid="{B41E6166-DA92-4CC2-923D-A6DFDE9E17BC}"/>
    <hyperlink ref="B5" location="'CT_Stored5'!$B$10:$B$10" display="PMML Model" xr:uid="{252D4170-87BB-4DB0-8E98-ED11BE47E129}"/>
    <hyperlink ref="D5" location="'CT_TrainingScore5'!$B$10:$B$10" display="Training: Classification Summary" xr:uid="{234A4604-54A4-471E-BDF7-F19F43440A1B}"/>
    <hyperlink ref="F5" location="'CT_ValidationScore5'!$B$10:$B$10" display="Validation: Classification Summary" xr:uid="{B118ADA9-5CD9-4631-BF73-F386802BE396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2405-3606-4CE8-AC7F-9B9250DD2280}">
  <dimension ref="B1:Q131"/>
  <sheetViews>
    <sheetView showGridLines="0" workbookViewId="0"/>
  </sheetViews>
  <sheetFormatPr defaultRowHeight="13.2" x14ac:dyDescent="0.25"/>
  <cols>
    <col min="14" max="14" width="24.33203125" bestFit="1" customWidth="1"/>
  </cols>
  <sheetData>
    <row r="1" spans="2:17" ht="18" x14ac:dyDescent="0.35">
      <c r="B1" s="12" t="s">
        <v>420</v>
      </c>
      <c r="N1" t="s">
        <v>828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425</v>
      </c>
      <c r="O5" s="16">
        <v>47</v>
      </c>
      <c r="P5" s="16">
        <v>8</v>
      </c>
      <c r="Q5" s="16">
        <v>480</v>
      </c>
    </row>
    <row r="10" spans="2:17" ht="18" x14ac:dyDescent="0.35">
      <c r="B10" s="13" t="s">
        <v>421</v>
      </c>
    </row>
    <row r="12" spans="2:17" x14ac:dyDescent="0.25">
      <c r="B12" t="s">
        <v>422</v>
      </c>
    </row>
    <row r="13" spans="2:17" x14ac:dyDescent="0.25">
      <c r="B13" t="s">
        <v>423</v>
      </c>
    </row>
    <row r="14" spans="2:17" x14ac:dyDescent="0.25">
      <c r="B14" t="s">
        <v>424</v>
      </c>
    </row>
    <row r="15" spans="2:17" x14ac:dyDescent="0.25">
      <c r="B15" t="s">
        <v>425</v>
      </c>
    </row>
    <row r="16" spans="2:17" x14ac:dyDescent="0.25">
      <c r="B16" t="s">
        <v>827</v>
      </c>
    </row>
    <row r="17" spans="2:2" x14ac:dyDescent="0.25">
      <c r="B17" t="s">
        <v>426</v>
      </c>
    </row>
    <row r="18" spans="2:2" x14ac:dyDescent="0.25">
      <c r="B18" t="s">
        <v>427</v>
      </c>
    </row>
    <row r="19" spans="2:2" x14ac:dyDescent="0.25">
      <c r="B19" t="s">
        <v>428</v>
      </c>
    </row>
    <row r="20" spans="2:2" x14ac:dyDescent="0.25">
      <c r="B20" t="s">
        <v>429</v>
      </c>
    </row>
    <row r="21" spans="2:2" x14ac:dyDescent="0.25">
      <c r="B21" t="s">
        <v>430</v>
      </c>
    </row>
    <row r="22" spans="2:2" x14ac:dyDescent="0.25">
      <c r="B22" t="s">
        <v>431</v>
      </c>
    </row>
    <row r="23" spans="2:2" x14ac:dyDescent="0.25">
      <c r="B23" t="s">
        <v>432</v>
      </c>
    </row>
    <row r="24" spans="2:2" x14ac:dyDescent="0.25">
      <c r="B24" t="s">
        <v>433</v>
      </c>
    </row>
    <row r="25" spans="2:2" x14ac:dyDescent="0.25">
      <c r="B25" t="s">
        <v>434</v>
      </c>
    </row>
    <row r="26" spans="2:2" x14ac:dyDescent="0.25">
      <c r="B26" t="s">
        <v>435</v>
      </c>
    </row>
    <row r="27" spans="2:2" x14ac:dyDescent="0.25">
      <c r="B27" t="s">
        <v>436</v>
      </c>
    </row>
    <row r="28" spans="2:2" x14ac:dyDescent="0.25">
      <c r="B28" t="s">
        <v>437</v>
      </c>
    </row>
    <row r="29" spans="2:2" x14ac:dyDescent="0.25">
      <c r="B29" t="s">
        <v>438</v>
      </c>
    </row>
    <row r="30" spans="2:2" x14ac:dyDescent="0.25">
      <c r="B30" t="s">
        <v>439</v>
      </c>
    </row>
    <row r="31" spans="2:2" x14ac:dyDescent="0.25">
      <c r="B31" t="s">
        <v>440</v>
      </c>
    </row>
    <row r="32" spans="2:2" x14ac:dyDescent="0.25">
      <c r="B32" t="s">
        <v>441</v>
      </c>
    </row>
    <row r="33" spans="2:2" x14ac:dyDescent="0.25">
      <c r="B33" t="s">
        <v>442</v>
      </c>
    </row>
    <row r="34" spans="2:2" x14ac:dyDescent="0.25">
      <c r="B34" t="s">
        <v>443</v>
      </c>
    </row>
    <row r="35" spans="2:2" x14ac:dyDescent="0.25">
      <c r="B35" t="s">
        <v>444</v>
      </c>
    </row>
    <row r="36" spans="2:2" x14ac:dyDescent="0.25">
      <c r="B36" t="s">
        <v>445</v>
      </c>
    </row>
    <row r="37" spans="2:2" x14ac:dyDescent="0.25">
      <c r="B37" t="s">
        <v>446</v>
      </c>
    </row>
    <row r="38" spans="2:2" x14ac:dyDescent="0.25">
      <c r="B38" t="s">
        <v>447</v>
      </c>
    </row>
    <row r="39" spans="2:2" x14ac:dyDescent="0.25">
      <c r="B39" t="s">
        <v>448</v>
      </c>
    </row>
    <row r="40" spans="2:2" x14ac:dyDescent="0.25">
      <c r="B40" t="s">
        <v>449</v>
      </c>
    </row>
    <row r="41" spans="2:2" x14ac:dyDescent="0.25">
      <c r="B41" t="s">
        <v>456</v>
      </c>
    </row>
    <row r="42" spans="2:2" x14ac:dyDescent="0.25">
      <c r="B42" t="s">
        <v>457</v>
      </c>
    </row>
    <row r="43" spans="2:2" x14ac:dyDescent="0.25">
      <c r="B43" t="s">
        <v>458</v>
      </c>
    </row>
    <row r="44" spans="2:2" x14ac:dyDescent="0.25">
      <c r="B44" t="s">
        <v>459</v>
      </c>
    </row>
    <row r="45" spans="2:2" x14ac:dyDescent="0.25">
      <c r="B45" t="s">
        <v>454</v>
      </c>
    </row>
    <row r="46" spans="2:2" x14ac:dyDescent="0.25">
      <c r="B46" t="s">
        <v>455</v>
      </c>
    </row>
    <row r="47" spans="2:2" x14ac:dyDescent="0.25">
      <c r="B47" t="s">
        <v>627</v>
      </c>
    </row>
    <row r="48" spans="2:2" x14ac:dyDescent="0.25">
      <c r="B48" t="s">
        <v>628</v>
      </c>
    </row>
    <row r="49" spans="2:2" x14ac:dyDescent="0.25">
      <c r="B49" t="s">
        <v>629</v>
      </c>
    </row>
    <row r="50" spans="2:2" x14ac:dyDescent="0.25">
      <c r="B50" t="s">
        <v>630</v>
      </c>
    </row>
    <row r="51" spans="2:2" x14ac:dyDescent="0.25">
      <c r="B51" t="s">
        <v>454</v>
      </c>
    </row>
    <row r="52" spans="2:2" x14ac:dyDescent="0.25">
      <c r="B52" t="s">
        <v>455</v>
      </c>
    </row>
    <row r="53" spans="2:2" x14ac:dyDescent="0.25">
      <c r="B53" t="s">
        <v>468</v>
      </c>
    </row>
    <row r="54" spans="2:2" x14ac:dyDescent="0.25">
      <c r="B54" t="s">
        <v>469</v>
      </c>
    </row>
    <row r="55" spans="2:2" x14ac:dyDescent="0.25">
      <c r="B55" t="s">
        <v>470</v>
      </c>
    </row>
    <row r="56" spans="2:2" x14ac:dyDescent="0.25">
      <c r="B56" t="s">
        <v>471</v>
      </c>
    </row>
    <row r="57" spans="2:2" x14ac:dyDescent="0.25">
      <c r="B57" t="s">
        <v>454</v>
      </c>
    </row>
    <row r="58" spans="2:2" x14ac:dyDescent="0.25">
      <c r="B58" t="s">
        <v>455</v>
      </c>
    </row>
    <row r="59" spans="2:2" x14ac:dyDescent="0.25">
      <c r="B59" t="s">
        <v>472</v>
      </c>
    </row>
    <row r="60" spans="2:2" x14ac:dyDescent="0.25">
      <c r="B60" t="s">
        <v>473</v>
      </c>
    </row>
    <row r="61" spans="2:2" x14ac:dyDescent="0.25">
      <c r="B61" t="s">
        <v>474</v>
      </c>
    </row>
    <row r="62" spans="2:2" x14ac:dyDescent="0.25">
      <c r="B62" t="s">
        <v>476</v>
      </c>
    </row>
    <row r="63" spans="2:2" x14ac:dyDescent="0.25">
      <c r="B63" t="s">
        <v>632</v>
      </c>
    </row>
    <row r="64" spans="2:2" x14ac:dyDescent="0.25">
      <c r="B64" t="s">
        <v>479</v>
      </c>
    </row>
    <row r="65" spans="2:2" x14ac:dyDescent="0.25">
      <c r="B65" t="s">
        <v>480</v>
      </c>
    </row>
    <row r="66" spans="2:2" x14ac:dyDescent="0.25">
      <c r="B66" t="s">
        <v>481</v>
      </c>
    </row>
    <row r="67" spans="2:2" x14ac:dyDescent="0.25">
      <c r="B67" t="s">
        <v>482</v>
      </c>
    </row>
    <row r="68" spans="2:2" x14ac:dyDescent="0.25">
      <c r="B68" t="s">
        <v>483</v>
      </c>
    </row>
    <row r="69" spans="2:2" x14ac:dyDescent="0.25">
      <c r="B69" t="s">
        <v>484</v>
      </c>
    </row>
    <row r="70" spans="2:2" x14ac:dyDescent="0.25">
      <c r="B70" t="s">
        <v>485</v>
      </c>
    </row>
    <row r="71" spans="2:2" x14ac:dyDescent="0.25">
      <c r="B71" t="s">
        <v>829</v>
      </c>
    </row>
    <row r="72" spans="2:2" x14ac:dyDescent="0.25">
      <c r="B72" t="s">
        <v>830</v>
      </c>
    </row>
    <row r="73" spans="2:2" x14ac:dyDescent="0.25">
      <c r="B73" t="s">
        <v>831</v>
      </c>
    </row>
    <row r="74" spans="2:2" x14ac:dyDescent="0.25">
      <c r="B74" t="s">
        <v>489</v>
      </c>
    </row>
    <row r="75" spans="2:2" x14ac:dyDescent="0.25">
      <c r="B75" t="s">
        <v>490</v>
      </c>
    </row>
    <row r="76" spans="2:2" x14ac:dyDescent="0.25">
      <c r="B76" t="s">
        <v>832</v>
      </c>
    </row>
    <row r="77" spans="2:2" x14ac:dyDescent="0.25">
      <c r="B77" t="s">
        <v>492</v>
      </c>
    </row>
    <row r="78" spans="2:2" x14ac:dyDescent="0.25">
      <c r="B78" t="s">
        <v>833</v>
      </c>
    </row>
    <row r="79" spans="2:2" x14ac:dyDescent="0.25">
      <c r="B79" t="s">
        <v>834</v>
      </c>
    </row>
    <row r="80" spans="2:2" x14ac:dyDescent="0.25">
      <c r="B80" t="s">
        <v>835</v>
      </c>
    </row>
    <row r="81" spans="2:2" x14ac:dyDescent="0.25">
      <c r="B81" t="s">
        <v>836</v>
      </c>
    </row>
    <row r="82" spans="2:2" x14ac:dyDescent="0.25">
      <c r="B82" t="s">
        <v>497</v>
      </c>
    </row>
    <row r="83" spans="2:2" x14ac:dyDescent="0.25">
      <c r="B83" t="s">
        <v>498</v>
      </c>
    </row>
    <row r="84" spans="2:2" x14ac:dyDescent="0.25">
      <c r="B84" t="s">
        <v>521</v>
      </c>
    </row>
    <row r="85" spans="2:2" x14ac:dyDescent="0.25">
      <c r="B85" t="s">
        <v>505</v>
      </c>
    </row>
    <row r="86" spans="2:2" x14ac:dyDescent="0.25">
      <c r="B86" t="s">
        <v>837</v>
      </c>
    </row>
    <row r="87" spans="2:2" x14ac:dyDescent="0.25">
      <c r="B87" t="s">
        <v>736</v>
      </c>
    </row>
    <row r="88" spans="2:2" x14ac:dyDescent="0.25">
      <c r="B88" t="s">
        <v>498</v>
      </c>
    </row>
    <row r="89" spans="2:2" x14ac:dyDescent="0.25">
      <c r="B89" t="s">
        <v>838</v>
      </c>
    </row>
    <row r="90" spans="2:2" x14ac:dyDescent="0.25">
      <c r="B90" t="s">
        <v>739</v>
      </c>
    </row>
    <row r="91" spans="2:2" x14ac:dyDescent="0.25">
      <c r="B91" t="s">
        <v>737</v>
      </c>
    </row>
    <row r="92" spans="2:2" x14ac:dyDescent="0.25">
      <c r="B92" t="s">
        <v>738</v>
      </c>
    </row>
    <row r="93" spans="2:2" x14ac:dyDescent="0.25">
      <c r="B93" t="s">
        <v>503</v>
      </c>
    </row>
    <row r="94" spans="2:2" x14ac:dyDescent="0.25">
      <c r="B94" t="s">
        <v>511</v>
      </c>
    </row>
    <row r="95" spans="2:2" x14ac:dyDescent="0.25">
      <c r="B95" t="s">
        <v>739</v>
      </c>
    </row>
    <row r="96" spans="2:2" x14ac:dyDescent="0.25">
      <c r="B96" t="s">
        <v>512</v>
      </c>
    </row>
    <row r="97" spans="2:2" x14ac:dyDescent="0.25">
      <c r="B97" t="s">
        <v>839</v>
      </c>
    </row>
    <row r="98" spans="2:2" x14ac:dyDescent="0.25">
      <c r="B98" t="s">
        <v>741</v>
      </c>
    </row>
    <row r="99" spans="2:2" x14ac:dyDescent="0.25">
      <c r="B99" t="s">
        <v>498</v>
      </c>
    </row>
    <row r="100" spans="2:2" x14ac:dyDescent="0.25">
      <c r="B100" t="s">
        <v>838</v>
      </c>
    </row>
    <row r="101" spans="2:2" x14ac:dyDescent="0.25">
      <c r="B101" t="s">
        <v>515</v>
      </c>
    </row>
    <row r="102" spans="2:2" x14ac:dyDescent="0.25">
      <c r="B102" t="s">
        <v>512</v>
      </c>
    </row>
    <row r="103" spans="2:2" x14ac:dyDescent="0.25">
      <c r="B103" t="s">
        <v>512</v>
      </c>
    </row>
    <row r="104" spans="2:2" x14ac:dyDescent="0.25">
      <c r="B104" t="s">
        <v>840</v>
      </c>
    </row>
    <row r="105" spans="2:2" x14ac:dyDescent="0.25">
      <c r="B105" t="s">
        <v>760</v>
      </c>
    </row>
    <row r="106" spans="2:2" x14ac:dyDescent="0.25">
      <c r="B106" t="s">
        <v>503</v>
      </c>
    </row>
    <row r="107" spans="2:2" x14ac:dyDescent="0.25">
      <c r="B107" t="s">
        <v>661</v>
      </c>
    </row>
    <row r="108" spans="2:2" x14ac:dyDescent="0.25">
      <c r="B108" t="s">
        <v>841</v>
      </c>
    </row>
    <row r="109" spans="2:2" x14ac:dyDescent="0.25">
      <c r="B109" t="s">
        <v>512</v>
      </c>
    </row>
    <row r="110" spans="2:2" x14ac:dyDescent="0.25">
      <c r="B110" t="s">
        <v>512</v>
      </c>
    </row>
    <row r="111" spans="2:2" x14ac:dyDescent="0.25">
      <c r="B111" t="s">
        <v>842</v>
      </c>
    </row>
    <row r="112" spans="2:2" x14ac:dyDescent="0.25">
      <c r="B112" t="s">
        <v>528</v>
      </c>
    </row>
    <row r="113" spans="2:2" x14ac:dyDescent="0.25">
      <c r="B113" t="s">
        <v>843</v>
      </c>
    </row>
    <row r="114" spans="2:2" x14ac:dyDescent="0.25">
      <c r="B114" t="s">
        <v>508</v>
      </c>
    </row>
    <row r="115" spans="2:2" x14ac:dyDescent="0.25">
      <c r="B115" t="s">
        <v>531</v>
      </c>
    </row>
    <row r="116" spans="2:2" x14ac:dyDescent="0.25">
      <c r="B116" t="s">
        <v>844</v>
      </c>
    </row>
    <row r="117" spans="2:2" x14ac:dyDescent="0.25">
      <c r="B117" t="s">
        <v>533</v>
      </c>
    </row>
    <row r="118" spans="2:2" x14ac:dyDescent="0.25">
      <c r="B118" t="s">
        <v>503</v>
      </c>
    </row>
    <row r="119" spans="2:2" x14ac:dyDescent="0.25">
      <c r="B119" t="s">
        <v>508</v>
      </c>
    </row>
    <row r="120" spans="2:2" x14ac:dyDescent="0.25">
      <c r="B120" t="s">
        <v>531</v>
      </c>
    </row>
    <row r="121" spans="2:2" x14ac:dyDescent="0.25">
      <c r="B121" t="s">
        <v>512</v>
      </c>
    </row>
    <row r="122" spans="2:2" x14ac:dyDescent="0.25">
      <c r="B122" t="s">
        <v>845</v>
      </c>
    </row>
    <row r="123" spans="2:2" x14ac:dyDescent="0.25">
      <c r="B123" t="s">
        <v>539</v>
      </c>
    </row>
    <row r="124" spans="2:2" x14ac:dyDescent="0.25">
      <c r="B124" t="s">
        <v>843</v>
      </c>
    </row>
    <row r="125" spans="2:2" x14ac:dyDescent="0.25">
      <c r="B125" t="s">
        <v>511</v>
      </c>
    </row>
    <row r="126" spans="2:2" x14ac:dyDescent="0.25">
      <c r="B126" t="s">
        <v>515</v>
      </c>
    </row>
    <row r="127" spans="2:2" x14ac:dyDescent="0.25">
      <c r="B127" t="s">
        <v>512</v>
      </c>
    </row>
    <row r="128" spans="2:2" x14ac:dyDescent="0.25">
      <c r="B128" t="s">
        <v>512</v>
      </c>
    </row>
    <row r="129" spans="2:2" x14ac:dyDescent="0.25">
      <c r="B129" t="s">
        <v>512</v>
      </c>
    </row>
    <row r="130" spans="2:2" x14ac:dyDescent="0.25">
      <c r="B130" t="s">
        <v>541</v>
      </c>
    </row>
    <row r="131" spans="2:2" x14ac:dyDescent="0.25">
      <c r="B131" t="s">
        <v>542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5'!$B$10:$B$10" display="Best Pruned Tree Rules (Using Validation Data)" xr:uid="{DA01B0A5-D52B-4784-9BAA-04CBA1261690}"/>
    <hyperlink ref="D4" location="'CT_FullTree5'!$B$10:$B$10" display="Fully Grown Tree Rules (Using Training Data)" xr:uid="{9D110A21-E89A-4DD9-8052-5BB363444982}"/>
    <hyperlink ref="F4" location="'CT_MinErrorTree5'!$B$10:$B$10" display="Min Error Tree Rules (Using Validation Data)" xr:uid="{15D4FDD6-7866-4E74-B9F0-A9C4C91F1290}"/>
    <hyperlink ref="H4" location="'CT_Output5'!$B$10:$B$10" display="Inputs" xr:uid="{BFDDBECD-17C1-4010-B799-745BE99FD2F0}"/>
    <hyperlink ref="J4" location="'CT_Output5'!$B$65:$B$65" display="Feature Importance" xr:uid="{78F0A4F8-59A1-4A52-9C02-3EB55AB8E776}"/>
    <hyperlink ref="B5" location="'CT_Stored5'!$B$10:$B$10" display="PMML Model" xr:uid="{759D07A3-47B2-4EDD-9063-CC8F908B6BF3}"/>
    <hyperlink ref="D5" location="'CT_TrainingScore5'!$B$10:$B$10" display="Training: Classification Summary" xr:uid="{1E3A6E0E-DFCD-440A-8465-D8EF920164DF}"/>
    <hyperlink ref="F5" location="'CT_ValidationScore5'!$B$10:$B$10" display="Validation: Classification Summary" xr:uid="{8B9812E0-4908-4F14-9B60-9E34B1E27709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B8D1-5890-4E84-9BCB-835A4651C12B}">
  <dimension ref="B1:CV365"/>
  <sheetViews>
    <sheetView showGridLines="0" topLeftCell="A23" workbookViewId="0">
      <selection activeCell="H42" sqref="H42"/>
    </sheetView>
  </sheetViews>
  <sheetFormatPr defaultRowHeight="13.2" x14ac:dyDescent="0.25"/>
  <cols>
    <col min="3" max="3" width="11.5546875" customWidth="1"/>
    <col min="4" max="4" width="11.77734375" customWidth="1"/>
    <col min="5" max="5" width="17" customWidth="1"/>
    <col min="6" max="6" width="19.6640625" customWidth="1"/>
    <col min="7" max="7" width="13.88671875" customWidth="1"/>
    <col min="8" max="8" width="22.6640625" customWidth="1"/>
    <col min="9" max="9" width="20.33203125" customWidth="1"/>
    <col min="10" max="10" width="29.109375" bestFit="1" customWidth="1"/>
    <col min="11" max="11" width="19.88671875" customWidth="1"/>
    <col min="12" max="12" width="29.88671875" customWidth="1"/>
    <col min="13" max="13" width="25.33203125" customWidth="1"/>
    <col min="14" max="14" width="23.77734375" customWidth="1"/>
    <col min="15" max="15" width="14" customWidth="1"/>
    <col min="16" max="16" width="23.109375" customWidth="1"/>
    <col min="17" max="17" width="16.6640625" customWidth="1"/>
  </cols>
  <sheetData>
    <row r="1" spans="2:100" ht="18" x14ac:dyDescent="0.35">
      <c r="B1" s="12" t="s">
        <v>403</v>
      </c>
      <c r="N1" t="s">
        <v>778</v>
      </c>
      <c r="CV1" s="19" t="s">
        <v>779</v>
      </c>
    </row>
    <row r="3" spans="2:100" ht="15.6" x14ac:dyDescent="0.3">
      <c r="B3" s="21" t="s">
        <v>30</v>
      </c>
      <c r="C3" s="22"/>
      <c r="D3" s="22"/>
      <c r="E3" s="22"/>
      <c r="F3" s="22"/>
      <c r="G3" s="23"/>
      <c r="J3" s="21" t="s">
        <v>53</v>
      </c>
      <c r="K3" s="22"/>
      <c r="L3" s="22"/>
      <c r="M3" s="23"/>
    </row>
    <row r="4" spans="2:100" ht="13.8" x14ac:dyDescent="0.3">
      <c r="B4" s="20" t="s">
        <v>31</v>
      </c>
      <c r="C4" s="20"/>
      <c r="D4" s="20" t="s">
        <v>404</v>
      </c>
      <c r="E4" s="20"/>
      <c r="F4" s="20" t="s">
        <v>415</v>
      </c>
      <c r="G4" s="20"/>
      <c r="J4" s="18" t="s">
        <v>54</v>
      </c>
      <c r="K4" s="18" t="s">
        <v>55</v>
      </c>
      <c r="L4" s="18" t="s">
        <v>56</v>
      </c>
      <c r="M4" s="18" t="s">
        <v>57</v>
      </c>
    </row>
    <row r="5" spans="2:100" ht="13.8" x14ac:dyDescent="0.3">
      <c r="J5" s="16">
        <v>168</v>
      </c>
      <c r="K5" s="16">
        <v>3</v>
      </c>
      <c r="L5" s="16">
        <v>7</v>
      </c>
      <c r="M5" s="16">
        <v>178</v>
      </c>
    </row>
    <row r="10" spans="2:100" ht="18" x14ac:dyDescent="0.35">
      <c r="B10" s="13" t="s">
        <v>31</v>
      </c>
    </row>
    <row r="12" spans="2:100" ht="15.6" x14ac:dyDescent="0.3">
      <c r="C12" s="28" t="s">
        <v>33</v>
      </c>
      <c r="D12" s="28"/>
      <c r="E12" s="28"/>
      <c r="F12" s="28"/>
      <c r="G12" s="28"/>
      <c r="H12" s="28"/>
      <c r="I12" s="28"/>
    </row>
    <row r="13" spans="2:100" ht="13.8" x14ac:dyDescent="0.3">
      <c r="C13" s="24" t="s">
        <v>34</v>
      </c>
      <c r="D13" s="24"/>
      <c r="E13" s="25"/>
      <c r="F13" s="29" t="s">
        <v>48</v>
      </c>
      <c r="G13" s="29"/>
      <c r="H13" s="29"/>
      <c r="I13" s="29"/>
    </row>
    <row r="14" spans="2:100" ht="13.8" x14ac:dyDescent="0.3">
      <c r="C14" s="24" t="s">
        <v>35</v>
      </c>
      <c r="D14" s="24"/>
      <c r="E14" s="25"/>
      <c r="F14" s="29" t="s">
        <v>410</v>
      </c>
      <c r="G14" s="29"/>
      <c r="H14" s="29"/>
      <c r="I14" s="29"/>
    </row>
    <row r="15" spans="2:100" ht="13.8" x14ac:dyDescent="0.3">
      <c r="C15" s="24" t="s">
        <v>36</v>
      </c>
      <c r="D15" s="24"/>
      <c r="E15" s="25"/>
      <c r="F15" s="29" t="s">
        <v>411</v>
      </c>
      <c r="G15" s="29"/>
      <c r="H15" s="29"/>
      <c r="I15" s="29"/>
    </row>
    <row r="16" spans="2:100" ht="13.8" x14ac:dyDescent="0.3">
      <c r="C16" s="24" t="s">
        <v>37</v>
      </c>
      <c r="D16" s="24"/>
      <c r="E16" s="25"/>
      <c r="F16" s="27">
        <v>329</v>
      </c>
      <c r="G16" s="27"/>
      <c r="H16" s="27"/>
      <c r="I16" s="27"/>
    </row>
    <row r="18" spans="2:19" ht="15.6" x14ac:dyDescent="0.3">
      <c r="C18" s="28" t="s">
        <v>38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</row>
    <row r="19" spans="2:19" ht="13.8" x14ac:dyDescent="0.3">
      <c r="C19" s="24" t="s">
        <v>39</v>
      </c>
      <c r="D19" s="24"/>
      <c r="E19" s="25"/>
      <c r="F19" s="27">
        <v>14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</row>
    <row r="20" spans="2:19" ht="13.8" x14ac:dyDescent="0.3">
      <c r="C20" s="24" t="s">
        <v>40</v>
      </c>
      <c r="D20" s="24"/>
      <c r="E20" s="25"/>
      <c r="F20" s="16" t="s">
        <v>0</v>
      </c>
      <c r="G20" s="16" t="s">
        <v>61</v>
      </c>
      <c r="H20" s="16" t="s">
        <v>62</v>
      </c>
      <c r="I20" s="16" t="s">
        <v>63</v>
      </c>
      <c r="J20" s="16" t="s">
        <v>64</v>
      </c>
      <c r="K20" s="16" t="s">
        <v>65</v>
      </c>
      <c r="L20" s="16" t="s">
        <v>66</v>
      </c>
      <c r="M20" s="16" t="s">
        <v>67</v>
      </c>
      <c r="N20" s="16" t="s">
        <v>68</v>
      </c>
      <c r="O20" s="16" t="s">
        <v>69</v>
      </c>
      <c r="P20" s="16" t="s">
        <v>70</v>
      </c>
      <c r="Q20" s="16" t="s">
        <v>71</v>
      </c>
      <c r="R20" s="16" t="s">
        <v>72</v>
      </c>
      <c r="S20" s="16" t="s">
        <v>73</v>
      </c>
    </row>
    <row r="22" spans="2:19" ht="15.6" x14ac:dyDescent="0.3">
      <c r="C22" s="28" t="s">
        <v>405</v>
      </c>
      <c r="D22" s="28"/>
      <c r="E22" s="28"/>
      <c r="F22" s="28"/>
      <c r="G22" s="28"/>
      <c r="H22" s="28"/>
      <c r="I22" s="28"/>
    </row>
    <row r="23" spans="2:19" ht="13.8" x14ac:dyDescent="0.3">
      <c r="C23" s="24" t="s">
        <v>406</v>
      </c>
      <c r="D23" s="24"/>
      <c r="E23" s="25"/>
      <c r="F23" s="27" t="s">
        <v>412</v>
      </c>
      <c r="G23" s="27"/>
      <c r="H23" s="27"/>
      <c r="I23" s="27"/>
    </row>
    <row r="24" spans="2:19" ht="13.8" x14ac:dyDescent="0.3">
      <c r="C24" s="24" t="s">
        <v>407</v>
      </c>
      <c r="D24" s="24"/>
      <c r="E24" s="25"/>
      <c r="F24" s="27">
        <v>12345</v>
      </c>
      <c r="G24" s="27"/>
      <c r="H24" s="27"/>
      <c r="I24" s="27"/>
    </row>
    <row r="25" spans="2:19" ht="13.8" x14ac:dyDescent="0.3">
      <c r="C25" s="24" t="s">
        <v>408</v>
      </c>
      <c r="D25" s="24"/>
      <c r="E25" s="25"/>
      <c r="F25" s="27">
        <v>0.85</v>
      </c>
      <c r="G25" s="27"/>
      <c r="H25" s="27"/>
      <c r="I25" s="27"/>
    </row>
    <row r="26" spans="2:19" ht="13.8" x14ac:dyDescent="0.3">
      <c r="C26" s="24" t="s">
        <v>409</v>
      </c>
      <c r="D26" s="24"/>
      <c r="E26" s="25"/>
      <c r="F26" s="27">
        <v>0.15</v>
      </c>
      <c r="G26" s="27"/>
      <c r="H26" s="27"/>
      <c r="I26" s="27"/>
    </row>
    <row r="28" spans="2:19" ht="18" x14ac:dyDescent="0.35">
      <c r="B28" s="13" t="s">
        <v>404</v>
      </c>
    </row>
    <row r="30" spans="2:19" x14ac:dyDescent="0.25">
      <c r="C30" s="15" t="s">
        <v>416</v>
      </c>
      <c r="D30" t="s">
        <v>417</v>
      </c>
    </row>
    <row r="31" spans="2:19" x14ac:dyDescent="0.25">
      <c r="C31" s="15" t="s">
        <v>418</v>
      </c>
      <c r="D31">
        <v>280</v>
      </c>
    </row>
    <row r="32" spans="2:19" x14ac:dyDescent="0.25">
      <c r="C32" s="15" t="s">
        <v>419</v>
      </c>
      <c r="D32">
        <v>49</v>
      </c>
    </row>
    <row r="34" spans="2:17" ht="18" x14ac:dyDescent="0.35">
      <c r="B34" s="13" t="s">
        <v>415</v>
      </c>
    </row>
    <row r="36" spans="2:17" x14ac:dyDescent="0.25">
      <c r="C36" s="15" t="s">
        <v>60</v>
      </c>
      <c r="D36" t="s">
        <v>0</v>
      </c>
      <c r="E36" t="s">
        <v>61</v>
      </c>
      <c r="F36" t="s">
        <v>62</v>
      </c>
      <c r="G36" t="s">
        <v>63</v>
      </c>
      <c r="H36" t="s">
        <v>64</v>
      </c>
      <c r="I36" t="s">
        <v>65</v>
      </c>
      <c r="J36" t="s">
        <v>66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</row>
    <row r="37" spans="2:17" x14ac:dyDescent="0.25">
      <c r="C37" s="15" t="s">
        <v>74</v>
      </c>
      <c r="D37" s="14" t="s">
        <v>13</v>
      </c>
      <c r="E37" s="14">
        <v>14.23</v>
      </c>
      <c r="F37" s="14">
        <v>1.71</v>
      </c>
      <c r="G37" s="14">
        <v>2.4300000000000002</v>
      </c>
      <c r="H37" s="14">
        <v>15.6</v>
      </c>
      <c r="I37" s="14">
        <v>127</v>
      </c>
      <c r="J37" s="14">
        <v>2.7999999999999901</v>
      </c>
      <c r="K37" s="14">
        <v>3.06</v>
      </c>
      <c r="L37" s="14">
        <v>0.28000000000000003</v>
      </c>
      <c r="M37" s="14">
        <v>2.29</v>
      </c>
      <c r="N37" s="14">
        <v>5.6399999999999899</v>
      </c>
      <c r="O37" s="14">
        <v>1.04</v>
      </c>
      <c r="P37" s="14">
        <v>3.9199999999999902</v>
      </c>
      <c r="Q37">
        <v>1065</v>
      </c>
    </row>
    <row r="38" spans="2:17" x14ac:dyDescent="0.25">
      <c r="C38" s="15" t="s">
        <v>75</v>
      </c>
      <c r="D38" s="14" t="s">
        <v>13</v>
      </c>
      <c r="E38" s="14">
        <v>13.1999999999999</v>
      </c>
      <c r="F38" s="14">
        <v>1.78</v>
      </c>
      <c r="G38" s="14">
        <v>2.14</v>
      </c>
      <c r="H38" s="14">
        <v>11.1999999999999</v>
      </c>
      <c r="I38" s="14">
        <v>100</v>
      </c>
      <c r="J38" s="14">
        <v>2.6499999999999901</v>
      </c>
      <c r="K38" s="14">
        <v>2.75999999999999</v>
      </c>
      <c r="L38" s="14">
        <v>0.26</v>
      </c>
      <c r="M38" s="14">
        <v>1.28</v>
      </c>
      <c r="N38" s="14">
        <v>4.3799999999999901</v>
      </c>
      <c r="O38" s="14">
        <v>1.05</v>
      </c>
      <c r="P38" s="14">
        <v>3.3999999999999901</v>
      </c>
      <c r="Q38">
        <v>1050</v>
      </c>
    </row>
    <row r="39" spans="2:17" x14ac:dyDescent="0.25">
      <c r="C39" s="15" t="s">
        <v>78</v>
      </c>
      <c r="D39" s="14" t="s">
        <v>13</v>
      </c>
      <c r="E39" s="14">
        <v>13.24</v>
      </c>
      <c r="F39" s="14">
        <v>2.5899999999999901</v>
      </c>
      <c r="G39" s="14">
        <v>2.87</v>
      </c>
      <c r="H39" s="14">
        <v>21</v>
      </c>
      <c r="I39" s="14">
        <v>118</v>
      </c>
      <c r="J39" s="14">
        <v>2.7999999999999901</v>
      </c>
      <c r="K39" s="14">
        <v>2.6899999999999902</v>
      </c>
      <c r="L39" s="14">
        <v>0.39</v>
      </c>
      <c r="M39" s="14">
        <v>1.82</v>
      </c>
      <c r="N39" s="14">
        <v>4.32</v>
      </c>
      <c r="O39" s="14">
        <v>1.04</v>
      </c>
      <c r="P39" s="14">
        <v>2.93</v>
      </c>
      <c r="Q39">
        <v>735</v>
      </c>
    </row>
    <row r="40" spans="2:17" x14ac:dyDescent="0.25">
      <c r="C40" s="15" t="s">
        <v>81</v>
      </c>
      <c r="D40" s="14" t="s">
        <v>13</v>
      </c>
      <c r="E40" s="14">
        <v>14.06</v>
      </c>
      <c r="F40" s="14">
        <v>2.1499999999999901</v>
      </c>
      <c r="G40" s="14">
        <v>2.6099999999999901</v>
      </c>
      <c r="H40" s="14">
        <v>17.600000000000001</v>
      </c>
      <c r="I40" s="14">
        <v>121</v>
      </c>
      <c r="J40" s="14">
        <v>2.6</v>
      </c>
      <c r="K40" s="14">
        <v>2.50999999999999</v>
      </c>
      <c r="L40" s="14">
        <v>0.31</v>
      </c>
      <c r="M40" s="14">
        <v>1.25</v>
      </c>
      <c r="N40" s="14">
        <v>5.0499999999999901</v>
      </c>
      <c r="O40" s="14">
        <v>1.06</v>
      </c>
      <c r="P40" s="14">
        <v>3.58</v>
      </c>
      <c r="Q40">
        <v>1295</v>
      </c>
    </row>
    <row r="41" spans="2:17" x14ac:dyDescent="0.25">
      <c r="C41" s="15" t="s">
        <v>84</v>
      </c>
      <c r="D41" s="14" t="s">
        <v>13</v>
      </c>
      <c r="E41" s="14">
        <v>14.1</v>
      </c>
      <c r="F41" s="14">
        <v>2.16</v>
      </c>
      <c r="G41" s="14">
        <v>2.2999999999999901</v>
      </c>
      <c r="H41" s="14">
        <v>18</v>
      </c>
      <c r="I41" s="14">
        <v>105</v>
      </c>
      <c r="J41" s="14">
        <v>2.95</v>
      </c>
      <c r="K41" s="14">
        <v>3.3199999999999901</v>
      </c>
      <c r="L41" s="14">
        <v>0.22</v>
      </c>
      <c r="M41" s="14">
        <v>2.3799999999999901</v>
      </c>
      <c r="N41" s="14">
        <v>5.75</v>
      </c>
      <c r="O41" s="14">
        <v>1.25</v>
      </c>
      <c r="P41" s="14">
        <v>3.1699999999999902</v>
      </c>
      <c r="Q41">
        <v>1510</v>
      </c>
    </row>
    <row r="42" spans="2:17" x14ac:dyDescent="0.25">
      <c r="C42" s="15" t="s">
        <v>85</v>
      </c>
      <c r="D42" s="14" t="s">
        <v>13</v>
      </c>
      <c r="E42" s="14">
        <v>14.1199999999999</v>
      </c>
      <c r="F42" s="14">
        <v>1.48</v>
      </c>
      <c r="G42" s="14">
        <v>2.3199999999999901</v>
      </c>
      <c r="H42" s="14">
        <v>16.8</v>
      </c>
      <c r="I42" s="14">
        <v>95</v>
      </c>
      <c r="J42" s="14">
        <v>2.2000000000000002</v>
      </c>
      <c r="K42" s="14">
        <v>2.4300000000000002</v>
      </c>
      <c r="L42" s="14">
        <v>0.26</v>
      </c>
      <c r="M42" s="14">
        <v>1.57</v>
      </c>
      <c r="N42" s="14">
        <v>5</v>
      </c>
      <c r="O42" s="14">
        <v>1.1699999999999899</v>
      </c>
      <c r="P42" s="14">
        <v>2.8199999999999901</v>
      </c>
      <c r="Q42">
        <v>1280</v>
      </c>
    </row>
    <row r="43" spans="2:17" x14ac:dyDescent="0.25">
      <c r="C43" s="15" t="s">
        <v>86</v>
      </c>
      <c r="D43" s="14" t="s">
        <v>13</v>
      </c>
      <c r="E43" s="14">
        <v>13.75</v>
      </c>
      <c r="F43" s="14">
        <v>1.73</v>
      </c>
      <c r="G43" s="14">
        <v>2.41</v>
      </c>
      <c r="H43" s="14">
        <v>16</v>
      </c>
      <c r="I43" s="14">
        <v>89</v>
      </c>
      <c r="J43" s="14">
        <v>2.6</v>
      </c>
      <c r="K43" s="14">
        <v>2.75999999999999</v>
      </c>
      <c r="L43" s="14">
        <v>0.28999999999999898</v>
      </c>
      <c r="M43" s="14">
        <v>1.81</v>
      </c>
      <c r="N43" s="14">
        <v>5.5999999999999899</v>
      </c>
      <c r="O43" s="14">
        <v>1.1499999999999899</v>
      </c>
      <c r="P43" s="14">
        <v>2.8999999999999901</v>
      </c>
      <c r="Q43">
        <v>1320</v>
      </c>
    </row>
    <row r="44" spans="2:17" x14ac:dyDescent="0.25">
      <c r="C44" s="15" t="s">
        <v>88</v>
      </c>
      <c r="D44" s="14" t="s">
        <v>13</v>
      </c>
      <c r="E44" s="14">
        <v>14.38</v>
      </c>
      <c r="F44" s="14">
        <v>1.87</v>
      </c>
      <c r="G44" s="14">
        <v>2.3799999999999901</v>
      </c>
      <c r="H44" s="14">
        <v>12</v>
      </c>
      <c r="I44" s="14">
        <v>102</v>
      </c>
      <c r="J44" s="14">
        <v>3.2999999999999901</v>
      </c>
      <c r="K44" s="14">
        <v>3.64</v>
      </c>
      <c r="L44" s="14">
        <v>0.28999999999999898</v>
      </c>
      <c r="M44" s="14">
        <v>2.96</v>
      </c>
      <c r="N44" s="14">
        <v>7.5</v>
      </c>
      <c r="O44" s="14">
        <v>1.2</v>
      </c>
      <c r="P44" s="14">
        <v>3</v>
      </c>
      <c r="Q44">
        <v>1547</v>
      </c>
    </row>
    <row r="45" spans="2:17" x14ac:dyDescent="0.25">
      <c r="C45" s="15" t="s">
        <v>89</v>
      </c>
      <c r="D45" s="14" t="s">
        <v>13</v>
      </c>
      <c r="E45" s="14">
        <v>13.63</v>
      </c>
      <c r="F45" s="14">
        <v>1.81</v>
      </c>
      <c r="G45" s="14">
        <v>2.7</v>
      </c>
      <c r="H45" s="14">
        <v>17.1999999999999</v>
      </c>
      <c r="I45" s="14">
        <v>112</v>
      </c>
      <c r="J45" s="14">
        <v>2.85</v>
      </c>
      <c r="K45" s="14">
        <v>2.91</v>
      </c>
      <c r="L45" s="14">
        <v>0.29999999999999899</v>
      </c>
      <c r="M45" s="14">
        <v>1.46</v>
      </c>
      <c r="N45" s="14">
        <v>7.2999999999999901</v>
      </c>
      <c r="O45" s="14">
        <v>1.28</v>
      </c>
      <c r="P45" s="14">
        <v>2.8799999999999901</v>
      </c>
      <c r="Q45">
        <v>1310</v>
      </c>
    </row>
    <row r="46" spans="2:17" x14ac:dyDescent="0.25">
      <c r="C46" s="15" t="s">
        <v>91</v>
      </c>
      <c r="D46" s="14" t="s">
        <v>13</v>
      </c>
      <c r="E46" s="14">
        <v>13.83</v>
      </c>
      <c r="F46" s="14">
        <v>1.57</v>
      </c>
      <c r="G46" s="14">
        <v>2.62</v>
      </c>
      <c r="H46" s="14">
        <v>20</v>
      </c>
      <c r="I46" s="14">
        <v>115</v>
      </c>
      <c r="J46" s="14">
        <v>2.95</v>
      </c>
      <c r="K46" s="14">
        <v>3.3999999999999901</v>
      </c>
      <c r="L46" s="14">
        <v>0.4</v>
      </c>
      <c r="M46" s="14">
        <v>1.72</v>
      </c>
      <c r="N46" s="14">
        <v>6.5999999999999899</v>
      </c>
      <c r="O46" s="14">
        <v>1.1299999999999899</v>
      </c>
      <c r="P46" s="14">
        <v>2.5699999999999901</v>
      </c>
      <c r="Q46">
        <v>1130</v>
      </c>
    </row>
    <row r="47" spans="2:17" x14ac:dyDescent="0.25">
      <c r="C47" s="15" t="s">
        <v>93</v>
      </c>
      <c r="D47" s="14" t="s">
        <v>13</v>
      </c>
      <c r="E47" s="14">
        <v>13.64</v>
      </c>
      <c r="F47" s="14">
        <v>3.1</v>
      </c>
      <c r="G47" s="14">
        <v>2.56</v>
      </c>
      <c r="H47" s="14">
        <v>15.1999999999999</v>
      </c>
      <c r="I47" s="14">
        <v>116</v>
      </c>
      <c r="J47" s="14">
        <v>2.7</v>
      </c>
      <c r="K47" s="14">
        <v>3.02999999999999</v>
      </c>
      <c r="L47" s="14">
        <v>0.17</v>
      </c>
      <c r="M47" s="14">
        <v>1.6599999999999899</v>
      </c>
      <c r="N47" s="14">
        <v>5.0999999999999899</v>
      </c>
      <c r="O47" s="14">
        <v>0.95999999999999897</v>
      </c>
      <c r="P47" s="14">
        <v>3.3599999999999901</v>
      </c>
      <c r="Q47">
        <v>845</v>
      </c>
    </row>
    <row r="48" spans="2:17" x14ac:dyDescent="0.25">
      <c r="C48" s="15" t="s">
        <v>94</v>
      </c>
      <c r="D48" s="14" t="s">
        <v>13</v>
      </c>
      <c r="E48" s="14">
        <v>14.06</v>
      </c>
      <c r="F48" s="14">
        <v>1.6299999999999899</v>
      </c>
      <c r="G48" s="14">
        <v>2.27999999999999</v>
      </c>
      <c r="H48" s="14">
        <v>16</v>
      </c>
      <c r="I48" s="14">
        <v>126</v>
      </c>
      <c r="J48" s="14">
        <v>3</v>
      </c>
      <c r="K48" s="14">
        <v>3.1699999999999902</v>
      </c>
      <c r="L48" s="14">
        <v>0.23999999999999899</v>
      </c>
      <c r="M48" s="14">
        <v>2.1</v>
      </c>
      <c r="N48" s="14">
        <v>5.65</v>
      </c>
      <c r="O48" s="14">
        <v>1.0900000000000001</v>
      </c>
      <c r="P48" s="14">
        <v>3.71</v>
      </c>
      <c r="Q48">
        <v>780</v>
      </c>
    </row>
    <row r="49" spans="3:17" x14ac:dyDescent="0.25">
      <c r="C49" s="15" t="s">
        <v>95</v>
      </c>
      <c r="D49" s="14" t="s">
        <v>13</v>
      </c>
      <c r="E49" s="14">
        <v>12.93</v>
      </c>
      <c r="F49" s="14">
        <v>3.7999999999999901</v>
      </c>
      <c r="G49" s="14">
        <v>2.6499999999999901</v>
      </c>
      <c r="H49" s="14">
        <v>18.600000000000001</v>
      </c>
      <c r="I49" s="14">
        <v>102</v>
      </c>
      <c r="J49" s="14">
        <v>2.41</v>
      </c>
      <c r="K49" s="14">
        <v>2.41</v>
      </c>
      <c r="L49" s="14">
        <v>0.25</v>
      </c>
      <c r="M49" s="14">
        <v>1.98</v>
      </c>
      <c r="N49" s="14">
        <v>4.5</v>
      </c>
      <c r="O49" s="14">
        <v>1.03</v>
      </c>
      <c r="P49" s="14">
        <v>3.52</v>
      </c>
      <c r="Q49">
        <v>770</v>
      </c>
    </row>
    <row r="50" spans="3:17" x14ac:dyDescent="0.25">
      <c r="C50" s="15" t="s">
        <v>96</v>
      </c>
      <c r="D50" s="14" t="s">
        <v>13</v>
      </c>
      <c r="E50" s="14">
        <v>13.71</v>
      </c>
      <c r="F50" s="14">
        <v>1.86</v>
      </c>
      <c r="G50" s="14">
        <v>2.3599999999999901</v>
      </c>
      <c r="H50" s="14">
        <v>16.600000000000001</v>
      </c>
      <c r="I50" s="14">
        <v>101</v>
      </c>
      <c r="J50" s="14">
        <v>2.6099999999999901</v>
      </c>
      <c r="K50" s="14">
        <v>2.8799999999999901</v>
      </c>
      <c r="L50" s="14">
        <v>0.27</v>
      </c>
      <c r="M50" s="14">
        <v>1.68999999999999</v>
      </c>
      <c r="N50" s="14">
        <v>3.7999999999999901</v>
      </c>
      <c r="O50" s="14">
        <v>1.1100000000000001</v>
      </c>
      <c r="P50" s="14">
        <v>4</v>
      </c>
      <c r="Q50">
        <v>1035</v>
      </c>
    </row>
    <row r="51" spans="3:17" x14ac:dyDescent="0.25">
      <c r="C51" s="15" t="s">
        <v>97</v>
      </c>
      <c r="D51" s="14" t="s">
        <v>13</v>
      </c>
      <c r="E51" s="14">
        <v>12.85</v>
      </c>
      <c r="F51" s="14">
        <v>1.6</v>
      </c>
      <c r="G51" s="14">
        <v>2.52</v>
      </c>
      <c r="H51" s="14">
        <v>17.8</v>
      </c>
      <c r="I51" s="14">
        <v>95</v>
      </c>
      <c r="J51" s="14">
        <v>2.48</v>
      </c>
      <c r="K51" s="14">
        <v>2.37</v>
      </c>
      <c r="L51" s="14">
        <v>0.26</v>
      </c>
      <c r="M51" s="14">
        <v>1.46</v>
      </c>
      <c r="N51" s="14">
        <v>3.93</v>
      </c>
      <c r="O51" s="14">
        <v>1.0900000000000001</v>
      </c>
      <c r="P51" s="14">
        <v>3.6299999999999901</v>
      </c>
      <c r="Q51">
        <v>1015</v>
      </c>
    </row>
    <row r="52" spans="3:17" x14ac:dyDescent="0.25">
      <c r="C52" s="15" t="s">
        <v>98</v>
      </c>
      <c r="D52" s="14" t="s">
        <v>13</v>
      </c>
      <c r="E52" s="14">
        <v>13.5</v>
      </c>
      <c r="F52" s="14">
        <v>1.81</v>
      </c>
      <c r="G52" s="14">
        <v>2.6099999999999901</v>
      </c>
      <c r="H52" s="14">
        <v>20</v>
      </c>
      <c r="I52" s="14">
        <v>96</v>
      </c>
      <c r="J52" s="14">
        <v>2.52999999999999</v>
      </c>
      <c r="K52" s="14">
        <v>2.6099999999999901</v>
      </c>
      <c r="L52" s="14">
        <v>0.28000000000000003</v>
      </c>
      <c r="M52" s="14">
        <v>1.6599999999999899</v>
      </c>
      <c r="N52" s="14">
        <v>3.52</v>
      </c>
      <c r="O52" s="14">
        <v>1.1200000000000001</v>
      </c>
      <c r="P52" s="14">
        <v>3.8199999999999901</v>
      </c>
      <c r="Q52">
        <v>845</v>
      </c>
    </row>
    <row r="53" spans="3:17" x14ac:dyDescent="0.25">
      <c r="C53" s="15" t="s">
        <v>99</v>
      </c>
      <c r="D53" s="14" t="s">
        <v>13</v>
      </c>
      <c r="E53" s="14">
        <v>13.05</v>
      </c>
      <c r="F53" s="14">
        <v>2.0499999999999901</v>
      </c>
      <c r="G53" s="14">
        <v>3.22</v>
      </c>
      <c r="H53" s="14">
        <v>25</v>
      </c>
      <c r="I53" s="14">
        <v>124</v>
      </c>
      <c r="J53" s="14">
        <v>2.6299999999999901</v>
      </c>
      <c r="K53" s="14">
        <v>2.68</v>
      </c>
      <c r="L53" s="14">
        <v>0.46999999999999897</v>
      </c>
      <c r="M53" s="14">
        <v>1.9199999999999899</v>
      </c>
      <c r="N53" s="14">
        <v>3.58</v>
      </c>
      <c r="O53" s="14">
        <v>1.1299999999999899</v>
      </c>
      <c r="P53" s="14">
        <v>3.2</v>
      </c>
      <c r="Q53">
        <v>830</v>
      </c>
    </row>
    <row r="54" spans="3:17" x14ac:dyDescent="0.25">
      <c r="C54" s="15" t="s">
        <v>101</v>
      </c>
      <c r="D54" s="14" t="s">
        <v>13</v>
      </c>
      <c r="E54" s="14">
        <v>13.3</v>
      </c>
      <c r="F54" s="14">
        <v>1.72</v>
      </c>
      <c r="G54" s="14">
        <v>2.14</v>
      </c>
      <c r="H54" s="14">
        <v>17</v>
      </c>
      <c r="I54" s="14">
        <v>94</v>
      </c>
      <c r="J54" s="14">
        <v>2.3999999999999901</v>
      </c>
      <c r="K54" s="14">
        <v>2.1899999999999902</v>
      </c>
      <c r="L54" s="14">
        <v>0.27</v>
      </c>
      <c r="M54" s="14">
        <v>1.35</v>
      </c>
      <c r="N54" s="14">
        <v>3.95</v>
      </c>
      <c r="O54" s="14">
        <v>1.02</v>
      </c>
      <c r="P54" s="14">
        <v>2.77</v>
      </c>
      <c r="Q54">
        <v>1285</v>
      </c>
    </row>
    <row r="55" spans="3:17" x14ac:dyDescent="0.25">
      <c r="C55" s="15" t="s">
        <v>102</v>
      </c>
      <c r="D55" s="14" t="s">
        <v>13</v>
      </c>
      <c r="E55" s="14">
        <v>13.8699999999999</v>
      </c>
      <c r="F55" s="14">
        <v>1.8999999999999899</v>
      </c>
      <c r="G55" s="14">
        <v>2.7999999999999901</v>
      </c>
      <c r="H55" s="14">
        <v>19.399999999999899</v>
      </c>
      <c r="I55" s="14">
        <v>107</v>
      </c>
      <c r="J55" s="14">
        <v>2.95</v>
      </c>
      <c r="K55" s="14">
        <v>2.97</v>
      </c>
      <c r="L55" s="14">
        <v>0.37</v>
      </c>
      <c r="M55" s="14">
        <v>1.76</v>
      </c>
      <c r="N55" s="14">
        <v>4.5</v>
      </c>
      <c r="O55" s="14">
        <v>1.25</v>
      </c>
      <c r="P55" s="14">
        <v>3.3999999999999901</v>
      </c>
      <c r="Q55">
        <v>915</v>
      </c>
    </row>
    <row r="56" spans="3:17" x14ac:dyDescent="0.25">
      <c r="C56" s="15" t="s">
        <v>105</v>
      </c>
      <c r="D56" s="14" t="s">
        <v>13</v>
      </c>
      <c r="E56" s="14">
        <v>13.58</v>
      </c>
      <c r="F56" s="14">
        <v>1.6599999999999899</v>
      </c>
      <c r="G56" s="14">
        <v>2.3599999999999901</v>
      </c>
      <c r="H56" s="14">
        <v>19.100000000000001</v>
      </c>
      <c r="I56" s="14">
        <v>106</v>
      </c>
      <c r="J56" s="14">
        <v>2.8599999999999901</v>
      </c>
      <c r="K56" s="14">
        <v>3.1899999999999902</v>
      </c>
      <c r="L56" s="14">
        <v>0.22</v>
      </c>
      <c r="M56" s="14">
        <v>1.95</v>
      </c>
      <c r="N56" s="14">
        <v>6.9</v>
      </c>
      <c r="O56" s="14">
        <v>1.0900000000000001</v>
      </c>
      <c r="P56" s="14">
        <v>2.8799999999999901</v>
      </c>
      <c r="Q56">
        <v>1515</v>
      </c>
    </row>
    <row r="57" spans="3:17" x14ac:dyDescent="0.25">
      <c r="C57" s="15" t="s">
        <v>106</v>
      </c>
      <c r="D57" s="14" t="s">
        <v>13</v>
      </c>
      <c r="E57" s="14">
        <v>13.68</v>
      </c>
      <c r="F57" s="14">
        <v>1.83</v>
      </c>
      <c r="G57" s="14">
        <v>2.3599999999999901</v>
      </c>
      <c r="H57" s="14">
        <v>17.1999999999999</v>
      </c>
      <c r="I57" s="14">
        <v>104</v>
      </c>
      <c r="J57" s="14">
        <v>2.4199999999999902</v>
      </c>
      <c r="K57" s="14">
        <v>2.6899999999999902</v>
      </c>
      <c r="L57" s="14">
        <v>0.41999999999999899</v>
      </c>
      <c r="M57" s="14">
        <v>1.97</v>
      </c>
      <c r="N57" s="14">
        <v>3.8399999999999901</v>
      </c>
      <c r="O57" s="14">
        <v>1.23</v>
      </c>
      <c r="P57" s="14">
        <v>2.87</v>
      </c>
      <c r="Q57">
        <v>990</v>
      </c>
    </row>
    <row r="58" spans="3:17" x14ac:dyDescent="0.25">
      <c r="C58" s="15" t="s">
        <v>108</v>
      </c>
      <c r="D58" s="14" t="s">
        <v>13</v>
      </c>
      <c r="E58" s="14">
        <v>13.51</v>
      </c>
      <c r="F58" s="14">
        <v>1.8</v>
      </c>
      <c r="G58" s="14">
        <v>2.6499999999999901</v>
      </c>
      <c r="H58" s="14">
        <v>19</v>
      </c>
      <c r="I58" s="14">
        <v>110</v>
      </c>
      <c r="J58" s="14">
        <v>2.35</v>
      </c>
      <c r="K58" s="14">
        <v>2.52999999999999</v>
      </c>
      <c r="L58" s="14">
        <v>0.28999999999999898</v>
      </c>
      <c r="M58" s="14">
        <v>1.54</v>
      </c>
      <c r="N58" s="14">
        <v>4.2</v>
      </c>
      <c r="O58" s="14">
        <v>1.1000000000000001</v>
      </c>
      <c r="P58" s="14">
        <v>2.87</v>
      </c>
      <c r="Q58">
        <v>1095</v>
      </c>
    </row>
    <row r="59" spans="3:17" x14ac:dyDescent="0.25">
      <c r="C59" s="15" t="s">
        <v>110</v>
      </c>
      <c r="D59" s="14" t="s">
        <v>13</v>
      </c>
      <c r="E59" s="14">
        <v>13.2799999999999</v>
      </c>
      <c r="F59" s="14">
        <v>1.6399999999999899</v>
      </c>
      <c r="G59" s="14">
        <v>2.8399999999999901</v>
      </c>
      <c r="H59" s="14">
        <v>15.5</v>
      </c>
      <c r="I59" s="14">
        <v>110</v>
      </c>
      <c r="J59" s="14">
        <v>2.6</v>
      </c>
      <c r="K59" s="14">
        <v>2.68</v>
      </c>
      <c r="L59" s="14">
        <v>0.34</v>
      </c>
      <c r="M59" s="14">
        <v>1.36</v>
      </c>
      <c r="N59" s="14">
        <v>4.5999999999999899</v>
      </c>
      <c r="O59" s="14">
        <v>1.0900000000000001</v>
      </c>
      <c r="P59" s="14">
        <v>2.77999999999999</v>
      </c>
      <c r="Q59">
        <v>880</v>
      </c>
    </row>
    <row r="60" spans="3:17" x14ac:dyDescent="0.25">
      <c r="C60" s="15" t="s">
        <v>111</v>
      </c>
      <c r="D60" s="14" t="s">
        <v>13</v>
      </c>
      <c r="E60" s="14">
        <v>13.05</v>
      </c>
      <c r="F60" s="14">
        <v>1.6499999999999899</v>
      </c>
      <c r="G60" s="14">
        <v>2.5499999999999901</v>
      </c>
      <c r="H60" s="14">
        <v>18</v>
      </c>
      <c r="I60" s="14">
        <v>98</v>
      </c>
      <c r="J60" s="14">
        <v>2.4500000000000002</v>
      </c>
      <c r="K60" s="14">
        <v>2.4300000000000002</v>
      </c>
      <c r="L60" s="14">
        <v>0.28999999999999898</v>
      </c>
      <c r="M60" s="14">
        <v>1.43999999999999</v>
      </c>
      <c r="N60" s="14">
        <v>4.25</v>
      </c>
      <c r="O60" s="14">
        <v>1.1200000000000001</v>
      </c>
      <c r="P60" s="14">
        <v>2.50999999999999</v>
      </c>
      <c r="Q60">
        <v>1105</v>
      </c>
    </row>
    <row r="61" spans="3:17" x14ac:dyDescent="0.25">
      <c r="C61" s="15" t="s">
        <v>112</v>
      </c>
      <c r="D61" s="14" t="s">
        <v>13</v>
      </c>
      <c r="E61" s="14">
        <v>13.07</v>
      </c>
      <c r="F61" s="14">
        <v>1.5</v>
      </c>
      <c r="G61" s="14">
        <v>2.1</v>
      </c>
      <c r="H61" s="14">
        <v>15.5</v>
      </c>
      <c r="I61" s="14">
        <v>98</v>
      </c>
      <c r="J61" s="14">
        <v>2.3999999999999901</v>
      </c>
      <c r="K61" s="14">
        <v>2.64</v>
      </c>
      <c r="L61" s="14">
        <v>0.28000000000000003</v>
      </c>
      <c r="M61" s="14">
        <v>1.37</v>
      </c>
      <c r="N61" s="14">
        <v>3.7</v>
      </c>
      <c r="O61" s="14">
        <v>1.1799999999999899</v>
      </c>
      <c r="P61" s="14">
        <v>2.6899999999999902</v>
      </c>
      <c r="Q61">
        <v>1020</v>
      </c>
    </row>
    <row r="62" spans="3:17" x14ac:dyDescent="0.25">
      <c r="C62" s="15" t="s">
        <v>114</v>
      </c>
      <c r="D62" s="14" t="s">
        <v>13</v>
      </c>
      <c r="E62" s="14">
        <v>13.56</v>
      </c>
      <c r="F62" s="14">
        <v>1.71</v>
      </c>
      <c r="G62" s="14">
        <v>2.31</v>
      </c>
      <c r="H62" s="14">
        <v>16.1999999999999</v>
      </c>
      <c r="I62" s="14">
        <v>117</v>
      </c>
      <c r="J62" s="14">
        <v>3.1499999999999901</v>
      </c>
      <c r="K62" s="14">
        <v>3.29</v>
      </c>
      <c r="L62" s="14">
        <v>0.34</v>
      </c>
      <c r="M62" s="14">
        <v>2.3399999999999901</v>
      </c>
      <c r="N62" s="14">
        <v>6.1299999999999901</v>
      </c>
      <c r="O62" s="14">
        <v>0.94999999999999896</v>
      </c>
      <c r="P62" s="14">
        <v>3.3799999999999901</v>
      </c>
      <c r="Q62">
        <v>795</v>
      </c>
    </row>
    <row r="63" spans="3:17" x14ac:dyDescent="0.25">
      <c r="C63" s="15" t="s">
        <v>115</v>
      </c>
      <c r="D63" s="14" t="s">
        <v>13</v>
      </c>
      <c r="E63" s="14">
        <v>13.41</v>
      </c>
      <c r="F63" s="14">
        <v>3.8399999999999901</v>
      </c>
      <c r="G63" s="14">
        <v>2.12</v>
      </c>
      <c r="H63" s="14">
        <v>18.8</v>
      </c>
      <c r="I63" s="14">
        <v>90</v>
      </c>
      <c r="J63" s="14">
        <v>2.4500000000000002</v>
      </c>
      <c r="K63" s="14">
        <v>2.68</v>
      </c>
      <c r="L63" s="14">
        <v>0.27</v>
      </c>
      <c r="M63" s="14">
        <v>1.48</v>
      </c>
      <c r="N63" s="14">
        <v>4.28</v>
      </c>
      <c r="O63" s="14">
        <v>0.91</v>
      </c>
      <c r="P63" s="14">
        <v>3</v>
      </c>
      <c r="Q63">
        <v>1035</v>
      </c>
    </row>
    <row r="64" spans="3:17" x14ac:dyDescent="0.25">
      <c r="C64" s="15" t="s">
        <v>118</v>
      </c>
      <c r="D64" s="14" t="s">
        <v>13</v>
      </c>
      <c r="E64" s="14">
        <v>13.05</v>
      </c>
      <c r="F64" s="14">
        <v>1.77</v>
      </c>
      <c r="G64" s="14">
        <v>2.1</v>
      </c>
      <c r="H64" s="14">
        <v>17</v>
      </c>
      <c r="I64" s="14">
        <v>107</v>
      </c>
      <c r="J64" s="14">
        <v>3</v>
      </c>
      <c r="K64" s="14">
        <v>3</v>
      </c>
      <c r="L64" s="14">
        <v>0.28000000000000003</v>
      </c>
      <c r="M64" s="14">
        <v>2.02999999999999</v>
      </c>
      <c r="N64" s="14">
        <v>5.04</v>
      </c>
      <c r="O64" s="14">
        <v>0.88</v>
      </c>
      <c r="P64" s="14">
        <v>3.35</v>
      </c>
      <c r="Q64">
        <v>885</v>
      </c>
    </row>
    <row r="65" spans="3:17" x14ac:dyDescent="0.25">
      <c r="C65" s="15" t="s">
        <v>120</v>
      </c>
      <c r="D65" s="14" t="s">
        <v>13</v>
      </c>
      <c r="E65" s="14">
        <v>14.38</v>
      </c>
      <c r="F65" s="14">
        <v>3.5899999999999901</v>
      </c>
      <c r="G65" s="14">
        <v>2.27999999999999</v>
      </c>
      <c r="H65" s="14">
        <v>16</v>
      </c>
      <c r="I65" s="14">
        <v>102</v>
      </c>
      <c r="J65" s="14">
        <v>3.25</v>
      </c>
      <c r="K65" s="14">
        <v>3.1699999999999902</v>
      </c>
      <c r="L65" s="14">
        <v>0.27</v>
      </c>
      <c r="M65" s="14">
        <v>2.1899999999999902</v>
      </c>
      <c r="N65" s="14">
        <v>4.9000000000000004</v>
      </c>
      <c r="O65" s="14">
        <v>1.04</v>
      </c>
      <c r="P65" s="14">
        <v>3.4399999999999902</v>
      </c>
      <c r="Q65">
        <v>1065</v>
      </c>
    </row>
    <row r="66" spans="3:17" x14ac:dyDescent="0.25">
      <c r="C66" s="15" t="s">
        <v>121</v>
      </c>
      <c r="D66" s="14" t="s">
        <v>13</v>
      </c>
      <c r="E66" s="14">
        <v>13.9</v>
      </c>
      <c r="F66" s="14">
        <v>1.6799999999999899</v>
      </c>
      <c r="G66" s="14">
        <v>2.12</v>
      </c>
      <c r="H66" s="14">
        <v>16</v>
      </c>
      <c r="I66" s="14">
        <v>101</v>
      </c>
      <c r="J66" s="14">
        <v>3.1</v>
      </c>
      <c r="K66" s="14">
        <v>3.39</v>
      </c>
      <c r="L66" s="14">
        <v>0.20999999999999899</v>
      </c>
      <c r="M66" s="14">
        <v>2.14</v>
      </c>
      <c r="N66" s="14">
        <v>6.0999999999999899</v>
      </c>
      <c r="O66" s="14">
        <v>0.91</v>
      </c>
      <c r="P66" s="14">
        <v>3.33</v>
      </c>
      <c r="Q66">
        <v>985</v>
      </c>
    </row>
    <row r="67" spans="3:17" x14ac:dyDescent="0.25">
      <c r="C67" s="15" t="s">
        <v>122</v>
      </c>
      <c r="D67" s="14" t="s">
        <v>13</v>
      </c>
      <c r="E67" s="14">
        <v>14.1</v>
      </c>
      <c r="F67" s="14">
        <v>2.02</v>
      </c>
      <c r="G67" s="14">
        <v>2.3999999999999901</v>
      </c>
      <c r="H67" s="14">
        <v>18.8</v>
      </c>
      <c r="I67" s="14">
        <v>103</v>
      </c>
      <c r="J67" s="14">
        <v>2.75</v>
      </c>
      <c r="K67" s="14">
        <v>2.9199999999999902</v>
      </c>
      <c r="L67" s="14">
        <v>0.32</v>
      </c>
      <c r="M67" s="14">
        <v>2.3799999999999901</v>
      </c>
      <c r="N67" s="14">
        <v>6.2</v>
      </c>
      <c r="O67" s="14">
        <v>1.07</v>
      </c>
      <c r="P67" s="14">
        <v>2.75</v>
      </c>
      <c r="Q67">
        <v>1060</v>
      </c>
    </row>
    <row r="68" spans="3:17" x14ac:dyDescent="0.25">
      <c r="C68" s="15" t="s">
        <v>123</v>
      </c>
      <c r="D68" s="14" t="s">
        <v>13</v>
      </c>
      <c r="E68" s="14">
        <v>13.94</v>
      </c>
      <c r="F68" s="14">
        <v>1.73</v>
      </c>
      <c r="G68" s="14">
        <v>2.27</v>
      </c>
      <c r="H68" s="14">
        <v>17.399999999999899</v>
      </c>
      <c r="I68" s="14">
        <v>108</v>
      </c>
      <c r="J68" s="14">
        <v>2.8799999999999901</v>
      </c>
      <c r="K68" s="14">
        <v>3.54</v>
      </c>
      <c r="L68" s="14">
        <v>0.32</v>
      </c>
      <c r="M68" s="14">
        <v>2.08</v>
      </c>
      <c r="N68" s="14">
        <v>8.9</v>
      </c>
      <c r="O68" s="14">
        <v>1.1200000000000001</v>
      </c>
      <c r="P68" s="14">
        <v>3.1</v>
      </c>
      <c r="Q68">
        <v>1260</v>
      </c>
    </row>
    <row r="69" spans="3:17" x14ac:dyDescent="0.25">
      <c r="C69" s="15" t="s">
        <v>126</v>
      </c>
      <c r="D69" s="14" t="s">
        <v>13</v>
      </c>
      <c r="E69" s="14">
        <v>13.82</v>
      </c>
      <c r="F69" s="14">
        <v>1.75</v>
      </c>
      <c r="G69" s="14">
        <v>2.4199999999999902</v>
      </c>
      <c r="H69" s="14">
        <v>14</v>
      </c>
      <c r="I69" s="14">
        <v>111</v>
      </c>
      <c r="J69" s="14">
        <v>3.8799999999999901</v>
      </c>
      <c r="K69" s="14">
        <v>3.74</v>
      </c>
      <c r="L69" s="14">
        <v>0.32</v>
      </c>
      <c r="M69" s="14">
        <v>1.87</v>
      </c>
      <c r="N69" s="14">
        <v>7.0499999999999901</v>
      </c>
      <c r="O69" s="14">
        <v>1.01</v>
      </c>
      <c r="P69" s="14">
        <v>3.25999999999999</v>
      </c>
      <c r="Q69">
        <v>1190</v>
      </c>
    </row>
    <row r="70" spans="3:17" x14ac:dyDescent="0.25">
      <c r="C70" s="15" t="s">
        <v>127</v>
      </c>
      <c r="D70" s="14" t="s">
        <v>13</v>
      </c>
      <c r="E70" s="14">
        <v>13.77</v>
      </c>
      <c r="F70" s="14">
        <v>1.8999999999999899</v>
      </c>
      <c r="G70" s="14">
        <v>2.68</v>
      </c>
      <c r="H70" s="14">
        <v>17.100000000000001</v>
      </c>
      <c r="I70" s="14">
        <v>115</v>
      </c>
      <c r="J70" s="14">
        <v>3</v>
      </c>
      <c r="K70" s="14">
        <v>2.79</v>
      </c>
      <c r="L70" s="14">
        <v>0.39</v>
      </c>
      <c r="M70" s="14">
        <v>1.6799999999999899</v>
      </c>
      <c r="N70" s="14">
        <v>6.2999999999999901</v>
      </c>
      <c r="O70" s="14">
        <v>1.1299999999999899</v>
      </c>
      <c r="P70" s="14">
        <v>2.93</v>
      </c>
      <c r="Q70">
        <v>1375</v>
      </c>
    </row>
    <row r="71" spans="3:17" x14ac:dyDescent="0.25">
      <c r="C71" s="15" t="s">
        <v>128</v>
      </c>
      <c r="D71" s="14" t="s">
        <v>13</v>
      </c>
      <c r="E71" s="14">
        <v>13.74</v>
      </c>
      <c r="F71" s="14">
        <v>1.6699999999999899</v>
      </c>
      <c r="G71" s="14">
        <v>2.25</v>
      </c>
      <c r="H71" s="14">
        <v>16.399999999999899</v>
      </c>
      <c r="I71" s="14">
        <v>118</v>
      </c>
      <c r="J71" s="14">
        <v>2.6</v>
      </c>
      <c r="K71" s="14">
        <v>2.8999999999999901</v>
      </c>
      <c r="L71" s="14">
        <v>0.20999999999999899</v>
      </c>
      <c r="M71" s="14">
        <v>1.62</v>
      </c>
      <c r="N71" s="14">
        <v>5.8499999999999899</v>
      </c>
      <c r="O71" s="14">
        <v>0.92</v>
      </c>
      <c r="P71" s="14">
        <v>3.2</v>
      </c>
      <c r="Q71">
        <v>1060</v>
      </c>
    </row>
    <row r="72" spans="3:17" x14ac:dyDescent="0.25">
      <c r="C72" s="15" t="s">
        <v>129</v>
      </c>
      <c r="D72" s="14" t="s">
        <v>13</v>
      </c>
      <c r="E72" s="14">
        <v>13.56</v>
      </c>
      <c r="F72" s="14">
        <v>1.73</v>
      </c>
      <c r="G72" s="14">
        <v>2.46</v>
      </c>
      <c r="H72" s="14">
        <v>20.5</v>
      </c>
      <c r="I72" s="14">
        <v>116</v>
      </c>
      <c r="J72" s="14">
        <v>2.96</v>
      </c>
      <c r="K72" s="14">
        <v>2.77999999999999</v>
      </c>
      <c r="L72" s="14">
        <v>0.2</v>
      </c>
      <c r="M72" s="14">
        <v>2.4500000000000002</v>
      </c>
      <c r="N72" s="14">
        <v>6.25</v>
      </c>
      <c r="O72" s="14">
        <v>0.97999999999999898</v>
      </c>
      <c r="P72" s="14">
        <v>3.02999999999999</v>
      </c>
      <c r="Q72">
        <v>1120</v>
      </c>
    </row>
    <row r="73" spans="3:17" x14ac:dyDescent="0.25">
      <c r="C73" s="15" t="s">
        <v>130</v>
      </c>
      <c r="D73" s="14" t="s">
        <v>13</v>
      </c>
      <c r="E73" s="14">
        <v>14.22</v>
      </c>
      <c r="F73" s="14">
        <v>1.7</v>
      </c>
      <c r="G73" s="14">
        <v>2.2999999999999901</v>
      </c>
      <c r="H73" s="14">
        <v>16.3</v>
      </c>
      <c r="I73" s="14">
        <v>118</v>
      </c>
      <c r="J73" s="14">
        <v>3.2</v>
      </c>
      <c r="K73" s="14">
        <v>3</v>
      </c>
      <c r="L73" s="14">
        <v>0.26</v>
      </c>
      <c r="M73" s="14">
        <v>2.02999999999999</v>
      </c>
      <c r="N73" s="14">
        <v>6.3799999999999901</v>
      </c>
      <c r="O73" s="14">
        <v>0.93999999999999895</v>
      </c>
      <c r="P73" s="14">
        <v>3.31</v>
      </c>
      <c r="Q73">
        <v>970</v>
      </c>
    </row>
    <row r="74" spans="3:17" x14ac:dyDescent="0.25">
      <c r="C74" s="15" t="s">
        <v>132</v>
      </c>
      <c r="D74" s="14" t="s">
        <v>13</v>
      </c>
      <c r="E74" s="14">
        <v>13.72</v>
      </c>
      <c r="F74" s="14">
        <v>1.4299999999999899</v>
      </c>
      <c r="G74" s="14">
        <v>2.5</v>
      </c>
      <c r="H74" s="14">
        <v>16.6999999999999</v>
      </c>
      <c r="I74" s="14">
        <v>108</v>
      </c>
      <c r="J74" s="14">
        <v>3.3999999999999901</v>
      </c>
      <c r="K74" s="14">
        <v>3.6699999999999902</v>
      </c>
      <c r="L74" s="14">
        <v>0.19</v>
      </c>
      <c r="M74" s="14">
        <v>2.04</v>
      </c>
      <c r="N74" s="14">
        <v>6.7999999999999901</v>
      </c>
      <c r="O74" s="14">
        <v>0.89</v>
      </c>
      <c r="P74" s="14">
        <v>2.87</v>
      </c>
      <c r="Q74">
        <v>1285</v>
      </c>
    </row>
    <row r="75" spans="3:17" x14ac:dyDescent="0.25">
      <c r="C75" s="15" t="s">
        <v>133</v>
      </c>
      <c r="D75" s="14" t="s">
        <v>14</v>
      </c>
      <c r="E75" s="14">
        <v>12.3699999999999</v>
      </c>
      <c r="F75" s="14">
        <v>0.93999999999999895</v>
      </c>
      <c r="G75" s="14">
        <v>1.36</v>
      </c>
      <c r="H75" s="14">
        <v>10.6</v>
      </c>
      <c r="I75" s="14">
        <v>88</v>
      </c>
      <c r="J75" s="14">
        <v>1.98</v>
      </c>
      <c r="K75" s="14">
        <v>0.56999999999999895</v>
      </c>
      <c r="L75" s="14">
        <v>0.28000000000000003</v>
      </c>
      <c r="M75" s="14">
        <v>0.41999999999999899</v>
      </c>
      <c r="N75" s="14">
        <v>1.95</v>
      </c>
      <c r="O75" s="14">
        <v>1.05</v>
      </c>
      <c r="P75" s="14">
        <v>1.82</v>
      </c>
      <c r="Q75">
        <v>520</v>
      </c>
    </row>
    <row r="76" spans="3:17" x14ac:dyDescent="0.25">
      <c r="C76" s="15" t="s">
        <v>134</v>
      </c>
      <c r="D76" s="14" t="s">
        <v>14</v>
      </c>
      <c r="E76" s="14">
        <v>12.33</v>
      </c>
      <c r="F76" s="14">
        <v>1.1000000000000001</v>
      </c>
      <c r="G76" s="14">
        <v>2.27999999999999</v>
      </c>
      <c r="H76" s="14">
        <v>16</v>
      </c>
      <c r="I76" s="14">
        <v>101</v>
      </c>
      <c r="J76" s="14">
        <v>2.0499999999999901</v>
      </c>
      <c r="K76" s="14">
        <v>1.0900000000000001</v>
      </c>
      <c r="L76" s="14">
        <v>0.63</v>
      </c>
      <c r="M76" s="14">
        <v>0.40999999999999898</v>
      </c>
      <c r="N76" s="14">
        <v>3.27</v>
      </c>
      <c r="O76" s="14">
        <v>1.25</v>
      </c>
      <c r="P76" s="14">
        <v>1.6699999999999899</v>
      </c>
      <c r="Q76">
        <v>680</v>
      </c>
    </row>
    <row r="77" spans="3:17" x14ac:dyDescent="0.25">
      <c r="C77" s="15" t="s">
        <v>135</v>
      </c>
      <c r="D77" s="14" t="s">
        <v>14</v>
      </c>
      <c r="E77" s="14">
        <v>12.64</v>
      </c>
      <c r="F77" s="14">
        <v>1.36</v>
      </c>
      <c r="G77" s="14">
        <v>2.02</v>
      </c>
      <c r="H77" s="14">
        <v>16.8</v>
      </c>
      <c r="I77" s="14">
        <v>100</v>
      </c>
      <c r="J77" s="14">
        <v>2.02</v>
      </c>
      <c r="K77" s="14">
        <v>1.4099999999999899</v>
      </c>
      <c r="L77" s="14">
        <v>0.53</v>
      </c>
      <c r="M77" s="14">
        <v>0.62</v>
      </c>
      <c r="N77" s="14">
        <v>5.75</v>
      </c>
      <c r="O77" s="14">
        <v>0.97999999999999898</v>
      </c>
      <c r="P77" s="14">
        <v>1.59</v>
      </c>
      <c r="Q77">
        <v>450</v>
      </c>
    </row>
    <row r="78" spans="3:17" x14ac:dyDescent="0.25">
      <c r="C78" s="15" t="s">
        <v>138</v>
      </c>
      <c r="D78" s="14" t="s">
        <v>14</v>
      </c>
      <c r="E78" s="14">
        <v>12.17</v>
      </c>
      <c r="F78" s="14">
        <v>1.45</v>
      </c>
      <c r="G78" s="14">
        <v>2.52999999999999</v>
      </c>
      <c r="H78" s="14">
        <v>19</v>
      </c>
      <c r="I78" s="14">
        <v>104</v>
      </c>
      <c r="J78" s="14">
        <v>1.8899999999999899</v>
      </c>
      <c r="K78" s="14">
        <v>1.75</v>
      </c>
      <c r="L78" s="14">
        <v>0.45</v>
      </c>
      <c r="M78" s="14">
        <v>1.03</v>
      </c>
      <c r="N78" s="14">
        <v>2.95</v>
      </c>
      <c r="O78" s="14">
        <v>1.45</v>
      </c>
      <c r="P78" s="14">
        <v>2.23</v>
      </c>
      <c r="Q78">
        <v>355</v>
      </c>
    </row>
    <row r="79" spans="3:17" x14ac:dyDescent="0.25">
      <c r="C79" s="15" t="s">
        <v>139</v>
      </c>
      <c r="D79" s="14" t="s">
        <v>14</v>
      </c>
      <c r="E79" s="14">
        <v>12.3699999999999</v>
      </c>
      <c r="F79" s="14">
        <v>1.21</v>
      </c>
      <c r="G79" s="14">
        <v>2.56</v>
      </c>
      <c r="H79" s="14">
        <v>18.100000000000001</v>
      </c>
      <c r="I79" s="14">
        <v>98</v>
      </c>
      <c r="J79" s="14">
        <v>2.4199999999999902</v>
      </c>
      <c r="K79" s="14">
        <v>2.6499999999999901</v>
      </c>
      <c r="L79" s="14">
        <v>0.37</v>
      </c>
      <c r="M79" s="14">
        <v>2.08</v>
      </c>
      <c r="N79" s="14">
        <v>4.5999999999999899</v>
      </c>
      <c r="O79" s="14">
        <v>1.18999999999999</v>
      </c>
      <c r="P79" s="14">
        <v>2.2999999999999901</v>
      </c>
      <c r="Q79">
        <v>678</v>
      </c>
    </row>
    <row r="80" spans="3:17" x14ac:dyDescent="0.25">
      <c r="C80" s="15" t="s">
        <v>141</v>
      </c>
      <c r="D80" s="14" t="s">
        <v>14</v>
      </c>
      <c r="E80" s="14">
        <v>12.3699999999999</v>
      </c>
      <c r="F80" s="14">
        <v>1.1699999999999899</v>
      </c>
      <c r="G80" s="14">
        <v>1.9199999999999899</v>
      </c>
      <c r="H80" s="14">
        <v>19.600000000000001</v>
      </c>
      <c r="I80" s="14">
        <v>78</v>
      </c>
      <c r="J80" s="14">
        <v>2.1099999999999901</v>
      </c>
      <c r="K80" s="14">
        <v>2</v>
      </c>
      <c r="L80" s="14">
        <v>0.27</v>
      </c>
      <c r="M80" s="14">
        <v>1.04</v>
      </c>
      <c r="N80" s="14">
        <v>4.6799999999999899</v>
      </c>
      <c r="O80" s="14">
        <v>1.1200000000000001</v>
      </c>
      <c r="P80" s="14">
        <v>3.48</v>
      </c>
      <c r="Q80">
        <v>510</v>
      </c>
    </row>
    <row r="81" spans="3:17" x14ac:dyDescent="0.25">
      <c r="C81" s="15" t="s">
        <v>143</v>
      </c>
      <c r="D81" s="14" t="s">
        <v>14</v>
      </c>
      <c r="E81" s="14">
        <v>12.21</v>
      </c>
      <c r="F81" s="14">
        <v>1.18999999999999</v>
      </c>
      <c r="G81" s="14">
        <v>1.75</v>
      </c>
      <c r="H81" s="14">
        <v>16.8</v>
      </c>
      <c r="I81" s="14">
        <v>151</v>
      </c>
      <c r="J81" s="14">
        <v>1.85</v>
      </c>
      <c r="K81" s="14">
        <v>1.28</v>
      </c>
      <c r="L81" s="14">
        <v>0.14000000000000001</v>
      </c>
      <c r="M81" s="14">
        <v>2.5</v>
      </c>
      <c r="N81" s="14">
        <v>2.85</v>
      </c>
      <c r="O81" s="14">
        <v>1.28</v>
      </c>
      <c r="P81" s="14">
        <v>3.0699999999999901</v>
      </c>
      <c r="Q81">
        <v>718</v>
      </c>
    </row>
    <row r="82" spans="3:17" x14ac:dyDescent="0.25">
      <c r="C82" s="15" t="s">
        <v>144</v>
      </c>
      <c r="D82" s="14" t="s">
        <v>14</v>
      </c>
      <c r="E82" s="14">
        <v>12.2899999999999</v>
      </c>
      <c r="F82" s="14">
        <v>1.61</v>
      </c>
      <c r="G82" s="14">
        <v>2.21</v>
      </c>
      <c r="H82" s="14">
        <v>20.399999999999899</v>
      </c>
      <c r="I82" s="14">
        <v>103</v>
      </c>
      <c r="J82" s="14">
        <v>1.1000000000000001</v>
      </c>
      <c r="K82" s="14">
        <v>1.02</v>
      </c>
      <c r="L82" s="14">
        <v>0.37</v>
      </c>
      <c r="M82" s="14">
        <v>1.46</v>
      </c>
      <c r="N82" s="14">
        <v>3.0499999999999901</v>
      </c>
      <c r="O82" s="14">
        <v>0.90600000000000003</v>
      </c>
      <c r="P82" s="14">
        <v>1.82</v>
      </c>
      <c r="Q82">
        <v>870</v>
      </c>
    </row>
    <row r="83" spans="3:17" x14ac:dyDescent="0.25">
      <c r="C83" s="15" t="s">
        <v>146</v>
      </c>
      <c r="D83" s="14" t="s">
        <v>14</v>
      </c>
      <c r="E83" s="14">
        <v>13.49</v>
      </c>
      <c r="F83" s="14">
        <v>1.6599999999999899</v>
      </c>
      <c r="G83" s="14">
        <v>2.2400000000000002</v>
      </c>
      <c r="H83" s="14">
        <v>24</v>
      </c>
      <c r="I83" s="14">
        <v>87</v>
      </c>
      <c r="J83" s="14">
        <v>1.8799999999999899</v>
      </c>
      <c r="K83" s="14">
        <v>1.84</v>
      </c>
      <c r="L83" s="14">
        <v>0.27</v>
      </c>
      <c r="M83" s="14">
        <v>1.03</v>
      </c>
      <c r="N83" s="14">
        <v>3.74</v>
      </c>
      <c r="O83" s="14">
        <v>0.97999999999999898</v>
      </c>
      <c r="P83" s="14">
        <v>2.77999999999999</v>
      </c>
      <c r="Q83">
        <v>472</v>
      </c>
    </row>
    <row r="84" spans="3:17" x14ac:dyDescent="0.25">
      <c r="C84" s="15" t="s">
        <v>149</v>
      </c>
      <c r="D84" s="14" t="s">
        <v>14</v>
      </c>
      <c r="E84" s="14">
        <v>11.66</v>
      </c>
      <c r="F84" s="14">
        <v>1.8799999999999899</v>
      </c>
      <c r="G84" s="14">
        <v>1.9199999999999899</v>
      </c>
      <c r="H84" s="14">
        <v>16</v>
      </c>
      <c r="I84" s="14">
        <v>97</v>
      </c>
      <c r="J84" s="14">
        <v>1.61</v>
      </c>
      <c r="K84" s="14">
        <v>1.57</v>
      </c>
      <c r="L84" s="14">
        <v>0.34</v>
      </c>
      <c r="M84" s="14">
        <v>1.1499999999999899</v>
      </c>
      <c r="N84" s="14">
        <v>3.7999999999999901</v>
      </c>
      <c r="O84" s="14">
        <v>1.23</v>
      </c>
      <c r="P84" s="14">
        <v>2.14</v>
      </c>
      <c r="Q84">
        <v>428</v>
      </c>
    </row>
    <row r="85" spans="3:17" x14ac:dyDescent="0.25">
      <c r="C85" s="15" t="s">
        <v>150</v>
      </c>
      <c r="D85" s="14" t="s">
        <v>14</v>
      </c>
      <c r="E85" s="14">
        <v>13.0299999999999</v>
      </c>
      <c r="F85" s="14">
        <v>0.9</v>
      </c>
      <c r="G85" s="14">
        <v>1.71</v>
      </c>
      <c r="H85" s="14">
        <v>16</v>
      </c>
      <c r="I85" s="14">
        <v>86</v>
      </c>
      <c r="J85" s="14">
        <v>1.95</v>
      </c>
      <c r="K85" s="14">
        <v>2.02999999999999</v>
      </c>
      <c r="L85" s="14">
        <v>0.23999999999999899</v>
      </c>
      <c r="M85" s="14">
        <v>1.46</v>
      </c>
      <c r="N85" s="14">
        <v>4.5999999999999899</v>
      </c>
      <c r="O85" s="14">
        <v>1.18999999999999</v>
      </c>
      <c r="P85" s="14">
        <v>2.48</v>
      </c>
      <c r="Q85">
        <v>392</v>
      </c>
    </row>
    <row r="86" spans="3:17" x14ac:dyDescent="0.25">
      <c r="C86" s="15" t="s">
        <v>151</v>
      </c>
      <c r="D86" s="14" t="s">
        <v>14</v>
      </c>
      <c r="E86" s="14">
        <v>11.84</v>
      </c>
      <c r="F86" s="14">
        <v>2.89</v>
      </c>
      <c r="G86" s="14">
        <v>2.23</v>
      </c>
      <c r="H86" s="14">
        <v>18</v>
      </c>
      <c r="I86" s="14">
        <v>112</v>
      </c>
      <c r="J86" s="14">
        <v>1.72</v>
      </c>
      <c r="K86" s="14">
        <v>1.32</v>
      </c>
      <c r="L86" s="14">
        <v>0.42999999999999899</v>
      </c>
      <c r="M86" s="14">
        <v>0.94999999999999896</v>
      </c>
      <c r="N86" s="14">
        <v>2.6499999999999901</v>
      </c>
      <c r="O86" s="14">
        <v>0.95999999999999897</v>
      </c>
      <c r="P86" s="14">
        <v>2.52</v>
      </c>
      <c r="Q86">
        <v>500</v>
      </c>
    </row>
    <row r="87" spans="3:17" x14ac:dyDescent="0.25">
      <c r="C87" s="15" t="s">
        <v>153</v>
      </c>
      <c r="D87" s="14" t="s">
        <v>14</v>
      </c>
      <c r="E87" s="14">
        <v>12.6999999999999</v>
      </c>
      <c r="F87" s="14">
        <v>3.87</v>
      </c>
      <c r="G87" s="14">
        <v>2.3999999999999901</v>
      </c>
      <c r="H87" s="14">
        <v>23</v>
      </c>
      <c r="I87" s="14">
        <v>101</v>
      </c>
      <c r="J87" s="14">
        <v>2.83</v>
      </c>
      <c r="K87" s="14">
        <v>2.5499999999999901</v>
      </c>
      <c r="L87" s="14">
        <v>0.42999999999999899</v>
      </c>
      <c r="M87" s="14">
        <v>1.95</v>
      </c>
      <c r="N87" s="14">
        <v>2.5699999999999901</v>
      </c>
      <c r="O87" s="14">
        <v>1.18999999999999</v>
      </c>
      <c r="P87" s="14">
        <v>3.1299999999999901</v>
      </c>
      <c r="Q87">
        <v>463</v>
      </c>
    </row>
    <row r="88" spans="3:17" x14ac:dyDescent="0.25">
      <c r="C88" s="15" t="s">
        <v>154</v>
      </c>
      <c r="D88" s="14" t="s">
        <v>14</v>
      </c>
      <c r="E88" s="14">
        <v>12</v>
      </c>
      <c r="F88" s="14">
        <v>0.92</v>
      </c>
      <c r="G88" s="14">
        <v>2</v>
      </c>
      <c r="H88" s="14">
        <v>19</v>
      </c>
      <c r="I88" s="14">
        <v>86</v>
      </c>
      <c r="J88" s="14">
        <v>2.4199999999999902</v>
      </c>
      <c r="K88" s="14">
        <v>2.25999999999999</v>
      </c>
      <c r="L88" s="14">
        <v>0.29999999999999899</v>
      </c>
      <c r="M88" s="14">
        <v>1.4299999999999899</v>
      </c>
      <c r="N88" s="14">
        <v>2.5</v>
      </c>
      <c r="O88" s="14">
        <v>1.3799999999999899</v>
      </c>
      <c r="P88" s="14">
        <v>3.12</v>
      </c>
      <c r="Q88">
        <v>278</v>
      </c>
    </row>
    <row r="89" spans="3:17" x14ac:dyDescent="0.25">
      <c r="C89" s="15" t="s">
        <v>155</v>
      </c>
      <c r="D89" s="14" t="s">
        <v>14</v>
      </c>
      <c r="E89" s="14">
        <v>12.72</v>
      </c>
      <c r="F89" s="14">
        <v>1.81</v>
      </c>
      <c r="G89" s="14">
        <v>2.2000000000000002</v>
      </c>
      <c r="H89" s="14">
        <v>18.8</v>
      </c>
      <c r="I89" s="14">
        <v>86</v>
      </c>
      <c r="J89" s="14">
        <v>2.2000000000000002</v>
      </c>
      <c r="K89" s="14">
        <v>2.52999999999999</v>
      </c>
      <c r="L89" s="14">
        <v>0.26</v>
      </c>
      <c r="M89" s="14">
        <v>1.77</v>
      </c>
      <c r="N89" s="14">
        <v>3.8999999999999901</v>
      </c>
      <c r="O89" s="14">
        <v>1.1599999999999899</v>
      </c>
      <c r="P89" s="14">
        <v>3.14</v>
      </c>
      <c r="Q89">
        <v>714</v>
      </c>
    </row>
    <row r="90" spans="3:17" x14ac:dyDescent="0.25">
      <c r="C90" s="15" t="s">
        <v>156</v>
      </c>
      <c r="D90" s="14" t="s">
        <v>14</v>
      </c>
      <c r="E90" s="14">
        <v>12.08</v>
      </c>
      <c r="F90" s="14">
        <v>1.1299999999999899</v>
      </c>
      <c r="G90" s="14">
        <v>2.50999999999999</v>
      </c>
      <c r="H90" s="14">
        <v>24</v>
      </c>
      <c r="I90" s="14">
        <v>78</v>
      </c>
      <c r="J90" s="14">
        <v>2</v>
      </c>
      <c r="K90" s="14">
        <v>1.58</v>
      </c>
      <c r="L90" s="14">
        <v>0.4</v>
      </c>
      <c r="M90" s="14">
        <v>1.3999999999999899</v>
      </c>
      <c r="N90" s="14">
        <v>2.2000000000000002</v>
      </c>
      <c r="O90" s="14">
        <v>1.31</v>
      </c>
      <c r="P90" s="14">
        <v>2.72</v>
      </c>
      <c r="Q90">
        <v>630</v>
      </c>
    </row>
    <row r="91" spans="3:17" x14ac:dyDescent="0.25">
      <c r="C91" s="15" t="s">
        <v>157</v>
      </c>
      <c r="D91" s="14" t="s">
        <v>14</v>
      </c>
      <c r="E91" s="14">
        <v>13.05</v>
      </c>
      <c r="F91" s="14">
        <v>3.8599999999999901</v>
      </c>
      <c r="G91" s="14">
        <v>2.3199999999999901</v>
      </c>
      <c r="H91" s="14">
        <v>22.5</v>
      </c>
      <c r="I91" s="14">
        <v>85</v>
      </c>
      <c r="J91" s="14">
        <v>1.6499999999999899</v>
      </c>
      <c r="K91" s="14">
        <v>1.59</v>
      </c>
      <c r="L91" s="14">
        <v>0.60999999999999899</v>
      </c>
      <c r="M91" s="14">
        <v>1.62</v>
      </c>
      <c r="N91" s="14">
        <v>4.7999999999999901</v>
      </c>
      <c r="O91" s="14">
        <v>0.83999999999999897</v>
      </c>
      <c r="P91" s="14">
        <v>2.00999999999999</v>
      </c>
      <c r="Q91">
        <v>515</v>
      </c>
    </row>
    <row r="92" spans="3:17" x14ac:dyDescent="0.25">
      <c r="C92" s="15" t="s">
        <v>161</v>
      </c>
      <c r="D92" s="14" t="s">
        <v>14</v>
      </c>
      <c r="E92" s="14">
        <v>11.65</v>
      </c>
      <c r="F92" s="14">
        <v>1.6699999999999899</v>
      </c>
      <c r="G92" s="14">
        <v>2.62</v>
      </c>
      <c r="H92" s="14">
        <v>26</v>
      </c>
      <c r="I92" s="14">
        <v>88</v>
      </c>
      <c r="J92" s="14">
        <v>1.9199999999999899</v>
      </c>
      <c r="K92" s="14">
        <v>1.61</v>
      </c>
      <c r="L92" s="14">
        <v>0.4</v>
      </c>
      <c r="M92" s="14">
        <v>1.34</v>
      </c>
      <c r="N92" s="14">
        <v>2.6</v>
      </c>
      <c r="O92" s="14">
        <v>1.36</v>
      </c>
      <c r="P92" s="14">
        <v>3.21</v>
      </c>
      <c r="Q92">
        <v>562</v>
      </c>
    </row>
    <row r="93" spans="3:17" x14ac:dyDescent="0.25">
      <c r="C93" s="15" t="s">
        <v>162</v>
      </c>
      <c r="D93" s="14" t="s">
        <v>14</v>
      </c>
      <c r="E93" s="14">
        <v>11.64</v>
      </c>
      <c r="F93" s="14">
        <v>2.06</v>
      </c>
      <c r="G93" s="14">
        <v>2.46</v>
      </c>
      <c r="H93" s="14">
        <v>21.6</v>
      </c>
      <c r="I93" s="14">
        <v>84</v>
      </c>
      <c r="J93" s="14">
        <v>1.95</v>
      </c>
      <c r="K93" s="14">
        <v>1.68999999999999</v>
      </c>
      <c r="L93" s="14">
        <v>0.47999999999999898</v>
      </c>
      <c r="M93" s="14">
        <v>1.35</v>
      </c>
      <c r="N93" s="14">
        <v>2.7999999999999901</v>
      </c>
      <c r="O93" s="14">
        <v>1</v>
      </c>
      <c r="P93" s="14">
        <v>2.75</v>
      </c>
      <c r="Q93">
        <v>680</v>
      </c>
    </row>
    <row r="94" spans="3:17" x14ac:dyDescent="0.25">
      <c r="C94" s="15" t="s">
        <v>164</v>
      </c>
      <c r="D94" s="14" t="s">
        <v>14</v>
      </c>
      <c r="E94" s="14">
        <v>12.08</v>
      </c>
      <c r="F94" s="14">
        <v>1.83</v>
      </c>
      <c r="G94" s="14">
        <v>2.3199999999999901</v>
      </c>
      <c r="H94" s="14">
        <v>18.5</v>
      </c>
      <c r="I94" s="14">
        <v>81</v>
      </c>
      <c r="J94" s="14">
        <v>1.6</v>
      </c>
      <c r="K94" s="14">
        <v>1.5</v>
      </c>
      <c r="L94" s="14">
        <v>0.52</v>
      </c>
      <c r="M94" s="14">
        <v>1.6399999999999899</v>
      </c>
      <c r="N94" s="14">
        <v>2.3999999999999901</v>
      </c>
      <c r="O94" s="14">
        <v>1.08</v>
      </c>
      <c r="P94" s="14">
        <v>2.27</v>
      </c>
      <c r="Q94">
        <v>480</v>
      </c>
    </row>
    <row r="95" spans="3:17" x14ac:dyDescent="0.25">
      <c r="C95" s="15" t="s">
        <v>165</v>
      </c>
      <c r="D95" s="14" t="s">
        <v>14</v>
      </c>
      <c r="E95" s="14">
        <v>12</v>
      </c>
      <c r="F95" s="14">
        <v>1.51</v>
      </c>
      <c r="G95" s="14">
        <v>2.4199999999999902</v>
      </c>
      <c r="H95" s="14">
        <v>22</v>
      </c>
      <c r="I95" s="14">
        <v>86</v>
      </c>
      <c r="J95" s="14">
        <v>1.45</v>
      </c>
      <c r="K95" s="14">
        <v>1.25</v>
      </c>
      <c r="L95" s="14">
        <v>0.5</v>
      </c>
      <c r="M95" s="14">
        <v>1.6299999999999899</v>
      </c>
      <c r="N95" s="14">
        <v>3.6</v>
      </c>
      <c r="O95" s="14">
        <v>1.05</v>
      </c>
      <c r="P95" s="14">
        <v>2.6499999999999901</v>
      </c>
      <c r="Q95">
        <v>450</v>
      </c>
    </row>
    <row r="96" spans="3:17" x14ac:dyDescent="0.25">
      <c r="C96" s="15" t="s">
        <v>168</v>
      </c>
      <c r="D96" s="14" t="s">
        <v>14</v>
      </c>
      <c r="E96" s="14">
        <v>11.6199999999999</v>
      </c>
      <c r="F96" s="14">
        <v>1.99</v>
      </c>
      <c r="G96" s="14">
        <v>2.27999999999999</v>
      </c>
      <c r="H96" s="14">
        <v>18</v>
      </c>
      <c r="I96" s="14">
        <v>98</v>
      </c>
      <c r="J96" s="14">
        <v>3.02</v>
      </c>
      <c r="K96" s="14">
        <v>2.25999999999999</v>
      </c>
      <c r="L96" s="14">
        <v>0.17</v>
      </c>
      <c r="M96" s="14">
        <v>1.35</v>
      </c>
      <c r="N96" s="14">
        <v>3.25</v>
      </c>
      <c r="O96" s="14">
        <v>1.1599999999999899</v>
      </c>
      <c r="P96" s="14">
        <v>2.96</v>
      </c>
      <c r="Q96">
        <v>345</v>
      </c>
    </row>
    <row r="97" spans="3:17" x14ac:dyDescent="0.25">
      <c r="C97" s="15" t="s">
        <v>170</v>
      </c>
      <c r="D97" s="14" t="s">
        <v>14</v>
      </c>
      <c r="E97" s="14">
        <v>11.81</v>
      </c>
      <c r="F97" s="14">
        <v>2.12</v>
      </c>
      <c r="G97" s="14">
        <v>2.74</v>
      </c>
      <c r="H97" s="14">
        <v>21.5</v>
      </c>
      <c r="I97" s="14">
        <v>134</v>
      </c>
      <c r="J97" s="14">
        <v>1.6</v>
      </c>
      <c r="K97" s="14">
        <v>0.98999999999999899</v>
      </c>
      <c r="L97" s="14">
        <v>0.14000000000000001</v>
      </c>
      <c r="M97" s="14">
        <v>1.56</v>
      </c>
      <c r="N97" s="14">
        <v>2.5</v>
      </c>
      <c r="O97" s="14">
        <v>0.94999999999999896</v>
      </c>
      <c r="P97" s="14">
        <v>2.25999999999999</v>
      </c>
      <c r="Q97">
        <v>625</v>
      </c>
    </row>
    <row r="98" spans="3:17" x14ac:dyDescent="0.25">
      <c r="C98" s="15" t="s">
        <v>171</v>
      </c>
      <c r="D98" s="14" t="s">
        <v>14</v>
      </c>
      <c r="E98" s="14">
        <v>12.2899999999999</v>
      </c>
      <c r="F98" s="14">
        <v>1.4099999999999899</v>
      </c>
      <c r="G98" s="14">
        <v>1.98</v>
      </c>
      <c r="H98" s="14">
        <v>16</v>
      </c>
      <c r="I98" s="14">
        <v>85</v>
      </c>
      <c r="J98" s="14">
        <v>2.5499999999999901</v>
      </c>
      <c r="K98" s="14">
        <v>2.5</v>
      </c>
      <c r="L98" s="14">
        <v>0.28999999999999898</v>
      </c>
      <c r="M98" s="14">
        <v>1.77</v>
      </c>
      <c r="N98" s="14">
        <v>2.8999999999999901</v>
      </c>
      <c r="O98" s="14">
        <v>1.23</v>
      </c>
      <c r="P98" s="14">
        <v>2.74</v>
      </c>
      <c r="Q98">
        <v>428</v>
      </c>
    </row>
    <row r="99" spans="3:17" x14ac:dyDescent="0.25">
      <c r="C99" s="15" t="s">
        <v>172</v>
      </c>
      <c r="D99" s="14" t="s">
        <v>14</v>
      </c>
      <c r="E99" s="14">
        <v>12.3699999999999</v>
      </c>
      <c r="F99" s="14">
        <v>1.07</v>
      </c>
      <c r="G99" s="14">
        <v>2.1</v>
      </c>
      <c r="H99" s="14">
        <v>18.5</v>
      </c>
      <c r="I99" s="14">
        <v>88</v>
      </c>
      <c r="J99" s="14">
        <v>3.52</v>
      </c>
      <c r="K99" s="14">
        <v>3.75</v>
      </c>
      <c r="L99" s="14">
        <v>0.23999999999999899</v>
      </c>
      <c r="M99" s="14">
        <v>1.95</v>
      </c>
      <c r="N99" s="14">
        <v>4.5</v>
      </c>
      <c r="O99" s="14">
        <v>1.04</v>
      </c>
      <c r="P99" s="14">
        <v>2.77</v>
      </c>
      <c r="Q99">
        <v>660</v>
      </c>
    </row>
    <row r="100" spans="3:17" x14ac:dyDescent="0.25">
      <c r="C100" s="15" t="s">
        <v>173</v>
      </c>
      <c r="D100" s="14" t="s">
        <v>14</v>
      </c>
      <c r="E100" s="14">
        <v>12.2899999999999</v>
      </c>
      <c r="F100" s="14">
        <v>3.1699999999999902</v>
      </c>
      <c r="G100" s="14">
        <v>2.21</v>
      </c>
      <c r="H100" s="14">
        <v>18</v>
      </c>
      <c r="I100" s="14">
        <v>88</v>
      </c>
      <c r="J100" s="14">
        <v>2.85</v>
      </c>
      <c r="K100" s="14">
        <v>2.99</v>
      </c>
      <c r="L100" s="14">
        <v>0.45</v>
      </c>
      <c r="M100" s="14">
        <v>2.81</v>
      </c>
      <c r="N100" s="14">
        <v>2.2999999999999901</v>
      </c>
      <c r="O100" s="14">
        <v>1.4199999999999899</v>
      </c>
      <c r="P100" s="14">
        <v>2.83</v>
      </c>
      <c r="Q100">
        <v>406</v>
      </c>
    </row>
    <row r="101" spans="3:17" x14ac:dyDescent="0.25">
      <c r="C101" s="15" t="s">
        <v>177</v>
      </c>
      <c r="D101" s="14" t="s">
        <v>14</v>
      </c>
      <c r="E101" s="14">
        <v>11.82</v>
      </c>
      <c r="F101" s="14">
        <v>1.72</v>
      </c>
      <c r="G101" s="14">
        <v>1.8799999999999899</v>
      </c>
      <c r="H101" s="14">
        <v>19.5</v>
      </c>
      <c r="I101" s="14">
        <v>86</v>
      </c>
      <c r="J101" s="14">
        <v>2.5</v>
      </c>
      <c r="K101" s="14">
        <v>1.6399999999999899</v>
      </c>
      <c r="L101" s="14">
        <v>0.37</v>
      </c>
      <c r="M101" s="14">
        <v>1.4199999999999899</v>
      </c>
      <c r="N101" s="14">
        <v>2.06</v>
      </c>
      <c r="O101" s="14">
        <v>0.93999999999999895</v>
      </c>
      <c r="P101" s="14">
        <v>2.4399999999999902</v>
      </c>
      <c r="Q101">
        <v>415</v>
      </c>
    </row>
    <row r="102" spans="3:17" x14ac:dyDescent="0.25">
      <c r="C102" s="15" t="s">
        <v>178</v>
      </c>
      <c r="D102" s="14" t="s">
        <v>14</v>
      </c>
      <c r="E102" s="14">
        <v>12.51</v>
      </c>
      <c r="F102" s="14">
        <v>1.73</v>
      </c>
      <c r="G102" s="14">
        <v>1.98</v>
      </c>
      <c r="H102" s="14">
        <v>20.5</v>
      </c>
      <c r="I102" s="14">
        <v>85</v>
      </c>
      <c r="J102" s="14">
        <v>2.2000000000000002</v>
      </c>
      <c r="K102" s="14">
        <v>1.9199999999999899</v>
      </c>
      <c r="L102" s="14">
        <v>0.32</v>
      </c>
      <c r="M102" s="14">
        <v>1.48</v>
      </c>
      <c r="N102" s="14">
        <v>2.9399999999999902</v>
      </c>
      <c r="O102" s="14">
        <v>1.04</v>
      </c>
      <c r="P102" s="14">
        <v>3.5699999999999901</v>
      </c>
      <c r="Q102">
        <v>672</v>
      </c>
    </row>
    <row r="103" spans="3:17" x14ac:dyDescent="0.25">
      <c r="C103" s="15" t="s">
        <v>179</v>
      </c>
      <c r="D103" s="14" t="s">
        <v>14</v>
      </c>
      <c r="E103" s="14">
        <v>12.42</v>
      </c>
      <c r="F103" s="14">
        <v>2.5499999999999901</v>
      </c>
      <c r="G103" s="14">
        <v>2.27</v>
      </c>
      <c r="H103" s="14">
        <v>22</v>
      </c>
      <c r="I103" s="14">
        <v>90</v>
      </c>
      <c r="J103" s="14">
        <v>1.6799999999999899</v>
      </c>
      <c r="K103" s="14">
        <v>1.84</v>
      </c>
      <c r="L103" s="14">
        <v>0.66</v>
      </c>
      <c r="M103" s="14">
        <v>1.4199999999999899</v>
      </c>
      <c r="N103" s="14">
        <v>2.7</v>
      </c>
      <c r="O103" s="14">
        <v>0.85999999999999899</v>
      </c>
      <c r="P103" s="14">
        <v>3.2999999999999901</v>
      </c>
      <c r="Q103">
        <v>315</v>
      </c>
    </row>
    <row r="104" spans="3:17" x14ac:dyDescent="0.25">
      <c r="C104" s="15" t="s">
        <v>180</v>
      </c>
      <c r="D104" s="14" t="s">
        <v>14</v>
      </c>
      <c r="E104" s="14">
        <v>12.25</v>
      </c>
      <c r="F104" s="14">
        <v>1.73</v>
      </c>
      <c r="G104" s="14">
        <v>2.12</v>
      </c>
      <c r="H104" s="14">
        <v>19</v>
      </c>
      <c r="I104" s="14">
        <v>80</v>
      </c>
      <c r="J104" s="14">
        <v>1.6499999999999899</v>
      </c>
      <c r="K104" s="14">
        <v>2.02999999999999</v>
      </c>
      <c r="L104" s="14">
        <v>0.37</v>
      </c>
      <c r="M104" s="14">
        <v>1.6299999999999899</v>
      </c>
      <c r="N104" s="14">
        <v>3.3999999999999901</v>
      </c>
      <c r="O104" s="14">
        <v>1</v>
      </c>
      <c r="P104" s="14">
        <v>3.1699999999999902</v>
      </c>
      <c r="Q104">
        <v>510</v>
      </c>
    </row>
    <row r="105" spans="3:17" x14ac:dyDescent="0.25">
      <c r="C105" s="15" t="s">
        <v>181</v>
      </c>
      <c r="D105" s="14" t="s">
        <v>14</v>
      </c>
      <c r="E105" s="14">
        <v>12.72</v>
      </c>
      <c r="F105" s="14">
        <v>1.75</v>
      </c>
      <c r="G105" s="14">
        <v>2.27999999999999</v>
      </c>
      <c r="H105" s="14">
        <v>22.5</v>
      </c>
      <c r="I105" s="14">
        <v>84</v>
      </c>
      <c r="J105" s="14">
        <v>1.3799999999999899</v>
      </c>
      <c r="K105" s="14">
        <v>1.76</v>
      </c>
      <c r="L105" s="14">
        <v>0.47999999999999898</v>
      </c>
      <c r="M105" s="14">
        <v>1.6299999999999899</v>
      </c>
      <c r="N105" s="14">
        <v>3.2999999999999901</v>
      </c>
      <c r="O105" s="14">
        <v>0.88</v>
      </c>
      <c r="P105" s="14">
        <v>2.4199999999999902</v>
      </c>
      <c r="Q105">
        <v>488</v>
      </c>
    </row>
    <row r="106" spans="3:17" x14ac:dyDescent="0.25">
      <c r="C106" s="15" t="s">
        <v>182</v>
      </c>
      <c r="D106" s="14" t="s">
        <v>14</v>
      </c>
      <c r="E106" s="14">
        <v>12.22</v>
      </c>
      <c r="F106" s="14">
        <v>1.29</v>
      </c>
      <c r="G106" s="14">
        <v>1.93999999999999</v>
      </c>
      <c r="H106" s="14">
        <v>19</v>
      </c>
      <c r="I106" s="14">
        <v>92</v>
      </c>
      <c r="J106" s="14">
        <v>2.3599999999999901</v>
      </c>
      <c r="K106" s="14">
        <v>2.04</v>
      </c>
      <c r="L106" s="14">
        <v>0.39</v>
      </c>
      <c r="M106" s="14">
        <v>2.08</v>
      </c>
      <c r="N106" s="14">
        <v>2.7</v>
      </c>
      <c r="O106" s="14">
        <v>0.85999999999999899</v>
      </c>
      <c r="P106" s="14">
        <v>3.02</v>
      </c>
      <c r="Q106">
        <v>312</v>
      </c>
    </row>
    <row r="107" spans="3:17" x14ac:dyDescent="0.25">
      <c r="C107" s="15" t="s">
        <v>183</v>
      </c>
      <c r="D107" s="14" t="s">
        <v>14</v>
      </c>
      <c r="E107" s="14">
        <v>11.6099999999999</v>
      </c>
      <c r="F107" s="14">
        <v>1.35</v>
      </c>
      <c r="G107" s="14">
        <v>2.7</v>
      </c>
      <c r="H107" s="14">
        <v>20</v>
      </c>
      <c r="I107" s="14">
        <v>94</v>
      </c>
      <c r="J107" s="14">
        <v>2.74</v>
      </c>
      <c r="K107" s="14">
        <v>2.9199999999999902</v>
      </c>
      <c r="L107" s="14">
        <v>0.28999999999999898</v>
      </c>
      <c r="M107" s="14">
        <v>2.4900000000000002</v>
      </c>
      <c r="N107" s="14">
        <v>2.6499999999999901</v>
      </c>
      <c r="O107" s="14">
        <v>0.95999999999999897</v>
      </c>
      <c r="P107" s="14">
        <v>3.25999999999999</v>
      </c>
      <c r="Q107">
        <v>680</v>
      </c>
    </row>
    <row r="108" spans="3:17" x14ac:dyDescent="0.25">
      <c r="C108" s="15" t="s">
        <v>185</v>
      </c>
      <c r="D108" s="14" t="s">
        <v>14</v>
      </c>
      <c r="E108" s="14">
        <v>12.52</v>
      </c>
      <c r="F108" s="14">
        <v>2.4300000000000002</v>
      </c>
      <c r="G108" s="14">
        <v>2.1699999999999902</v>
      </c>
      <c r="H108" s="14">
        <v>21</v>
      </c>
      <c r="I108" s="14">
        <v>88</v>
      </c>
      <c r="J108" s="14">
        <v>2.5499999999999901</v>
      </c>
      <c r="K108" s="14">
        <v>2.27</v>
      </c>
      <c r="L108" s="14">
        <v>0.26</v>
      </c>
      <c r="M108" s="14">
        <v>1.22</v>
      </c>
      <c r="N108" s="14">
        <v>2</v>
      </c>
      <c r="O108" s="14">
        <v>0.9</v>
      </c>
      <c r="P108" s="14">
        <v>2.77999999999999</v>
      </c>
      <c r="Q108">
        <v>325</v>
      </c>
    </row>
    <row r="109" spans="3:17" x14ac:dyDescent="0.25">
      <c r="C109" s="15" t="s">
        <v>186</v>
      </c>
      <c r="D109" s="14" t="s">
        <v>14</v>
      </c>
      <c r="E109" s="14">
        <v>11.76</v>
      </c>
      <c r="F109" s="14">
        <v>2.68</v>
      </c>
      <c r="G109" s="14">
        <v>2.9199999999999902</v>
      </c>
      <c r="H109" s="14">
        <v>20</v>
      </c>
      <c r="I109" s="14">
        <v>103</v>
      </c>
      <c r="J109" s="14">
        <v>1.75</v>
      </c>
      <c r="K109" s="14">
        <v>2.02999999999999</v>
      </c>
      <c r="L109" s="14">
        <v>0.59999999999999898</v>
      </c>
      <c r="M109" s="14">
        <v>1.05</v>
      </c>
      <c r="N109" s="14">
        <v>3.7999999999999901</v>
      </c>
      <c r="O109" s="14">
        <v>1.23</v>
      </c>
      <c r="P109" s="14">
        <v>2.5</v>
      </c>
      <c r="Q109">
        <v>607</v>
      </c>
    </row>
    <row r="110" spans="3:17" x14ac:dyDescent="0.25">
      <c r="C110" s="15" t="s">
        <v>187</v>
      </c>
      <c r="D110" s="14" t="s">
        <v>14</v>
      </c>
      <c r="E110" s="14">
        <v>11.41</v>
      </c>
      <c r="F110" s="14">
        <v>0.73999999999999899</v>
      </c>
      <c r="G110" s="14">
        <v>2.5</v>
      </c>
      <c r="H110" s="14">
        <v>21</v>
      </c>
      <c r="I110" s="14">
        <v>88</v>
      </c>
      <c r="J110" s="14">
        <v>2.48</v>
      </c>
      <c r="K110" s="14">
        <v>2.00999999999999</v>
      </c>
      <c r="L110" s="14">
        <v>0.41999999999999899</v>
      </c>
      <c r="M110" s="14">
        <v>1.43999999999999</v>
      </c>
      <c r="N110" s="14">
        <v>3.08</v>
      </c>
      <c r="O110" s="14">
        <v>1.1000000000000001</v>
      </c>
      <c r="P110" s="14">
        <v>2.31</v>
      </c>
      <c r="Q110">
        <v>434</v>
      </c>
    </row>
    <row r="111" spans="3:17" x14ac:dyDescent="0.25">
      <c r="C111" s="15" t="s">
        <v>188</v>
      </c>
      <c r="D111" s="14" t="s">
        <v>14</v>
      </c>
      <c r="E111" s="14">
        <v>12.08</v>
      </c>
      <c r="F111" s="14">
        <v>1.3899999999999899</v>
      </c>
      <c r="G111" s="14">
        <v>2.5</v>
      </c>
      <c r="H111" s="14">
        <v>22.5</v>
      </c>
      <c r="I111" s="14">
        <v>84</v>
      </c>
      <c r="J111" s="14">
        <v>2.56</v>
      </c>
      <c r="K111" s="14">
        <v>2.29</v>
      </c>
      <c r="L111" s="14">
        <v>0.42999999999999899</v>
      </c>
      <c r="M111" s="14">
        <v>1.04</v>
      </c>
      <c r="N111" s="14">
        <v>2.8999999999999901</v>
      </c>
      <c r="O111" s="14">
        <v>0.93</v>
      </c>
      <c r="P111" s="14">
        <v>3.1899999999999902</v>
      </c>
      <c r="Q111">
        <v>385</v>
      </c>
    </row>
    <row r="112" spans="3:17" x14ac:dyDescent="0.25">
      <c r="C112" s="15" t="s">
        <v>190</v>
      </c>
      <c r="D112" s="14" t="s">
        <v>14</v>
      </c>
      <c r="E112" s="14">
        <v>11.82</v>
      </c>
      <c r="F112" s="14">
        <v>1.47</v>
      </c>
      <c r="G112" s="14">
        <v>1.99</v>
      </c>
      <c r="H112" s="14">
        <v>20.8</v>
      </c>
      <c r="I112" s="14">
        <v>86</v>
      </c>
      <c r="J112" s="14">
        <v>1.98</v>
      </c>
      <c r="K112" s="14">
        <v>1.6</v>
      </c>
      <c r="L112" s="14">
        <v>0.29999999999999899</v>
      </c>
      <c r="M112" s="14">
        <v>1.53</v>
      </c>
      <c r="N112" s="14">
        <v>1.95</v>
      </c>
      <c r="O112" s="14">
        <v>0.94999999999999896</v>
      </c>
      <c r="P112" s="14">
        <v>3.33</v>
      </c>
      <c r="Q112">
        <v>495</v>
      </c>
    </row>
    <row r="113" spans="3:17" x14ac:dyDescent="0.25">
      <c r="C113" s="15" t="s">
        <v>191</v>
      </c>
      <c r="D113" s="14" t="s">
        <v>14</v>
      </c>
      <c r="E113" s="14">
        <v>12.42</v>
      </c>
      <c r="F113" s="14">
        <v>1.61</v>
      </c>
      <c r="G113" s="14">
        <v>2.1899999999999902</v>
      </c>
      <c r="H113" s="14">
        <v>22.5</v>
      </c>
      <c r="I113" s="14">
        <v>108</v>
      </c>
      <c r="J113" s="14">
        <v>2</v>
      </c>
      <c r="K113" s="14">
        <v>2.0899999999999901</v>
      </c>
      <c r="L113" s="14">
        <v>0.34</v>
      </c>
      <c r="M113" s="14">
        <v>1.61</v>
      </c>
      <c r="N113" s="14">
        <v>2.06</v>
      </c>
      <c r="O113" s="14">
        <v>1.06</v>
      </c>
      <c r="P113" s="14">
        <v>2.96</v>
      </c>
      <c r="Q113">
        <v>345</v>
      </c>
    </row>
    <row r="114" spans="3:17" x14ac:dyDescent="0.25">
      <c r="C114" s="15" t="s">
        <v>192</v>
      </c>
      <c r="D114" s="14" t="s">
        <v>14</v>
      </c>
      <c r="E114" s="14">
        <v>12.77</v>
      </c>
      <c r="F114" s="14">
        <v>3.43</v>
      </c>
      <c r="G114" s="14">
        <v>1.98</v>
      </c>
      <c r="H114" s="14">
        <v>16</v>
      </c>
      <c r="I114" s="14">
        <v>80</v>
      </c>
      <c r="J114" s="14">
        <v>1.6299999999999899</v>
      </c>
      <c r="K114" s="14">
        <v>1.25</v>
      </c>
      <c r="L114" s="14">
        <v>0.42999999999999899</v>
      </c>
      <c r="M114" s="14">
        <v>0.82999999999999896</v>
      </c>
      <c r="N114" s="14">
        <v>3.3999999999999901</v>
      </c>
      <c r="O114" s="14">
        <v>0.69999999999999896</v>
      </c>
      <c r="P114" s="14">
        <v>2.12</v>
      </c>
      <c r="Q114">
        <v>372</v>
      </c>
    </row>
    <row r="115" spans="3:17" x14ac:dyDescent="0.25">
      <c r="C115" s="15" t="s">
        <v>193</v>
      </c>
      <c r="D115" s="14" t="s">
        <v>14</v>
      </c>
      <c r="E115" s="14">
        <v>12</v>
      </c>
      <c r="F115" s="14">
        <v>3.43</v>
      </c>
      <c r="G115" s="14">
        <v>2</v>
      </c>
      <c r="H115" s="14">
        <v>19</v>
      </c>
      <c r="I115" s="14">
        <v>87</v>
      </c>
      <c r="J115" s="14">
        <v>2</v>
      </c>
      <c r="K115" s="14">
        <v>1.6399999999999899</v>
      </c>
      <c r="L115" s="14">
        <v>0.37</v>
      </c>
      <c r="M115" s="14">
        <v>1.87</v>
      </c>
      <c r="N115" s="14">
        <v>1.28</v>
      </c>
      <c r="O115" s="14">
        <v>0.93</v>
      </c>
      <c r="P115" s="14">
        <v>3.0499999999999901</v>
      </c>
      <c r="Q115">
        <v>564</v>
      </c>
    </row>
    <row r="116" spans="3:17" x14ac:dyDescent="0.25">
      <c r="C116" s="15" t="s">
        <v>195</v>
      </c>
      <c r="D116" s="14" t="s">
        <v>14</v>
      </c>
      <c r="E116" s="14">
        <v>11.56</v>
      </c>
      <c r="F116" s="14">
        <v>2.0499999999999901</v>
      </c>
      <c r="G116" s="14">
        <v>3.23</v>
      </c>
      <c r="H116" s="14">
        <v>28.5</v>
      </c>
      <c r="I116" s="14">
        <v>119</v>
      </c>
      <c r="J116" s="14">
        <v>3.18</v>
      </c>
      <c r="K116" s="14">
        <v>5.08</v>
      </c>
      <c r="L116" s="14">
        <v>0.46999999999999897</v>
      </c>
      <c r="M116" s="14">
        <v>1.87</v>
      </c>
      <c r="N116" s="14">
        <v>6</v>
      </c>
      <c r="O116" s="14">
        <v>0.93</v>
      </c>
      <c r="P116" s="14">
        <v>3.6899999999999902</v>
      </c>
      <c r="Q116">
        <v>465</v>
      </c>
    </row>
    <row r="117" spans="3:17" x14ac:dyDescent="0.25">
      <c r="C117" s="15" t="s">
        <v>196</v>
      </c>
      <c r="D117" s="14" t="s">
        <v>14</v>
      </c>
      <c r="E117" s="14">
        <v>12.42</v>
      </c>
      <c r="F117" s="14">
        <v>4.4299999999999899</v>
      </c>
      <c r="G117" s="14">
        <v>2.73</v>
      </c>
      <c r="H117" s="14">
        <v>26.5</v>
      </c>
      <c r="I117" s="14">
        <v>102</v>
      </c>
      <c r="J117" s="14">
        <v>2.2000000000000002</v>
      </c>
      <c r="K117" s="14">
        <v>2.1299999999999901</v>
      </c>
      <c r="L117" s="14">
        <v>0.42999999999999899</v>
      </c>
      <c r="M117" s="14">
        <v>1.71</v>
      </c>
      <c r="N117" s="14">
        <v>2.08</v>
      </c>
      <c r="O117" s="14">
        <v>0.92</v>
      </c>
      <c r="P117" s="14">
        <v>3.12</v>
      </c>
      <c r="Q117">
        <v>365</v>
      </c>
    </row>
    <row r="118" spans="3:17" x14ac:dyDescent="0.25">
      <c r="C118" s="15" t="s">
        <v>198</v>
      </c>
      <c r="D118" s="14" t="s">
        <v>14</v>
      </c>
      <c r="E118" s="14">
        <v>11.8699999999999</v>
      </c>
      <c r="F118" s="14">
        <v>4.3099999999999898</v>
      </c>
      <c r="G118" s="14">
        <v>2.39</v>
      </c>
      <c r="H118" s="14">
        <v>21</v>
      </c>
      <c r="I118" s="14">
        <v>82</v>
      </c>
      <c r="J118" s="14">
        <v>2.8599999999999901</v>
      </c>
      <c r="K118" s="14">
        <v>3.02999999999999</v>
      </c>
      <c r="L118" s="14">
        <v>0.20999999999999899</v>
      </c>
      <c r="M118" s="14">
        <v>2.91</v>
      </c>
      <c r="N118" s="14">
        <v>2.7999999999999901</v>
      </c>
      <c r="O118" s="14">
        <v>0.75</v>
      </c>
      <c r="P118" s="14">
        <v>3.64</v>
      </c>
      <c r="Q118">
        <v>380</v>
      </c>
    </row>
    <row r="119" spans="3:17" x14ac:dyDescent="0.25">
      <c r="C119" s="15" t="s">
        <v>199</v>
      </c>
      <c r="D119" s="14" t="s">
        <v>14</v>
      </c>
      <c r="E119" s="14">
        <v>12.07</v>
      </c>
      <c r="F119" s="14">
        <v>2.16</v>
      </c>
      <c r="G119" s="14">
        <v>2.1699999999999902</v>
      </c>
      <c r="H119" s="14">
        <v>21</v>
      </c>
      <c r="I119" s="14">
        <v>85</v>
      </c>
      <c r="J119" s="14">
        <v>2.6</v>
      </c>
      <c r="K119" s="14">
        <v>2.6499999999999901</v>
      </c>
      <c r="L119" s="14">
        <v>0.37</v>
      </c>
      <c r="M119" s="14">
        <v>1.35</v>
      </c>
      <c r="N119" s="14">
        <v>2.75999999999999</v>
      </c>
      <c r="O119" s="14">
        <v>0.85999999999999899</v>
      </c>
      <c r="P119" s="14">
        <v>3.27999999999999</v>
      </c>
      <c r="Q119">
        <v>378</v>
      </c>
    </row>
    <row r="120" spans="3:17" x14ac:dyDescent="0.25">
      <c r="C120" s="15" t="s">
        <v>201</v>
      </c>
      <c r="D120" s="14" t="s">
        <v>14</v>
      </c>
      <c r="E120" s="14">
        <v>11.7899999999999</v>
      </c>
      <c r="F120" s="14">
        <v>2.1299999999999901</v>
      </c>
      <c r="G120" s="14">
        <v>2.77999999999999</v>
      </c>
      <c r="H120" s="14">
        <v>28.5</v>
      </c>
      <c r="I120" s="14">
        <v>92</v>
      </c>
      <c r="J120" s="14">
        <v>2.1299999999999901</v>
      </c>
      <c r="K120" s="14">
        <v>2.2400000000000002</v>
      </c>
      <c r="L120" s="14">
        <v>0.57999999999999896</v>
      </c>
      <c r="M120" s="14">
        <v>1.76</v>
      </c>
      <c r="N120" s="14">
        <v>3</v>
      </c>
      <c r="O120" s="14">
        <v>0.96999999999999897</v>
      </c>
      <c r="P120" s="14">
        <v>2.4399999999999902</v>
      </c>
      <c r="Q120">
        <v>466</v>
      </c>
    </row>
    <row r="121" spans="3:17" x14ac:dyDescent="0.25">
      <c r="C121" s="15" t="s">
        <v>202</v>
      </c>
      <c r="D121" s="14" t="s">
        <v>14</v>
      </c>
      <c r="E121" s="14">
        <v>12.3699999999999</v>
      </c>
      <c r="F121" s="14">
        <v>1.6299999999999899</v>
      </c>
      <c r="G121" s="14">
        <v>2.2999999999999901</v>
      </c>
      <c r="H121" s="14">
        <v>24.5</v>
      </c>
      <c r="I121" s="14">
        <v>88</v>
      </c>
      <c r="J121" s="14">
        <v>2.2200000000000002</v>
      </c>
      <c r="K121" s="14">
        <v>2.4500000000000002</v>
      </c>
      <c r="L121" s="14">
        <v>0.4</v>
      </c>
      <c r="M121" s="14">
        <v>1.8999999999999899</v>
      </c>
      <c r="N121" s="14">
        <v>2.12</v>
      </c>
      <c r="O121" s="14">
        <v>0.89</v>
      </c>
      <c r="P121" s="14">
        <v>2.77999999999999</v>
      </c>
      <c r="Q121">
        <v>342</v>
      </c>
    </row>
    <row r="122" spans="3:17" x14ac:dyDescent="0.25">
      <c r="C122" s="15" t="s">
        <v>203</v>
      </c>
      <c r="D122" s="14" t="s">
        <v>14</v>
      </c>
      <c r="E122" s="14">
        <v>12.0399999999999</v>
      </c>
      <c r="F122" s="14">
        <v>4.2999999999999901</v>
      </c>
      <c r="G122" s="14">
        <v>2.3799999999999901</v>
      </c>
      <c r="H122" s="14">
        <v>22</v>
      </c>
      <c r="I122" s="14">
        <v>80</v>
      </c>
      <c r="J122" s="14">
        <v>2.1</v>
      </c>
      <c r="K122" s="14">
        <v>1.75</v>
      </c>
      <c r="L122" s="14">
        <v>0.41999999999999899</v>
      </c>
      <c r="M122" s="14">
        <v>1.35</v>
      </c>
      <c r="N122" s="14">
        <v>2.6</v>
      </c>
      <c r="O122" s="14">
        <v>0.79</v>
      </c>
      <c r="P122" s="14">
        <v>2.5699999999999901</v>
      </c>
      <c r="Q122">
        <v>580</v>
      </c>
    </row>
    <row r="123" spans="3:17" x14ac:dyDescent="0.25">
      <c r="C123" s="15" t="s">
        <v>205</v>
      </c>
      <c r="D123" s="14" t="s">
        <v>15</v>
      </c>
      <c r="E123" s="14">
        <v>12.88</v>
      </c>
      <c r="F123" s="14">
        <v>2.99</v>
      </c>
      <c r="G123" s="14">
        <v>2.3999999999999901</v>
      </c>
      <c r="H123" s="14">
        <v>20</v>
      </c>
      <c r="I123" s="14">
        <v>104</v>
      </c>
      <c r="J123" s="14">
        <v>1.3</v>
      </c>
      <c r="K123" s="14">
        <v>1.22</v>
      </c>
      <c r="L123" s="14">
        <v>0.23999999999999899</v>
      </c>
      <c r="M123" s="14">
        <v>0.82999999999999896</v>
      </c>
      <c r="N123" s="14">
        <v>5.4</v>
      </c>
      <c r="O123" s="14">
        <v>0.73999999999999899</v>
      </c>
      <c r="P123" s="14">
        <v>1.4199999999999899</v>
      </c>
      <c r="Q123">
        <v>530</v>
      </c>
    </row>
    <row r="124" spans="3:17" x14ac:dyDescent="0.25">
      <c r="C124" s="15" t="s">
        <v>206</v>
      </c>
      <c r="D124" s="14" t="s">
        <v>15</v>
      </c>
      <c r="E124" s="14">
        <v>12.81</v>
      </c>
      <c r="F124" s="14">
        <v>2.31</v>
      </c>
      <c r="G124" s="14">
        <v>2.3999999999999901</v>
      </c>
      <c r="H124" s="14">
        <v>24</v>
      </c>
      <c r="I124" s="14">
        <v>98</v>
      </c>
      <c r="J124" s="14">
        <v>1.1499999999999899</v>
      </c>
      <c r="K124" s="14">
        <v>1.0900000000000001</v>
      </c>
      <c r="L124" s="14">
        <v>0.27</v>
      </c>
      <c r="M124" s="14">
        <v>0.82999999999999896</v>
      </c>
      <c r="N124" s="14">
        <v>5.7</v>
      </c>
      <c r="O124" s="14">
        <v>0.66</v>
      </c>
      <c r="P124" s="14">
        <v>1.36</v>
      </c>
      <c r="Q124">
        <v>560</v>
      </c>
    </row>
    <row r="125" spans="3:17" x14ac:dyDescent="0.25">
      <c r="C125" s="15" t="s">
        <v>207</v>
      </c>
      <c r="D125" s="14" t="s">
        <v>15</v>
      </c>
      <c r="E125" s="14">
        <v>12.6999999999999</v>
      </c>
      <c r="F125" s="14">
        <v>3.5499999999999901</v>
      </c>
      <c r="G125" s="14">
        <v>2.3599999999999901</v>
      </c>
      <c r="H125" s="14">
        <v>21.5</v>
      </c>
      <c r="I125" s="14">
        <v>106</v>
      </c>
      <c r="J125" s="14">
        <v>1.7</v>
      </c>
      <c r="K125" s="14">
        <v>1.2</v>
      </c>
      <c r="L125" s="14">
        <v>0.17</v>
      </c>
      <c r="M125" s="14">
        <v>0.83999999999999897</v>
      </c>
      <c r="N125" s="14">
        <v>5</v>
      </c>
      <c r="O125" s="14">
        <v>0.78</v>
      </c>
      <c r="P125" s="14">
        <v>1.29</v>
      </c>
      <c r="Q125">
        <v>600</v>
      </c>
    </row>
    <row r="126" spans="3:17" x14ac:dyDescent="0.25">
      <c r="C126" s="15" t="s">
        <v>209</v>
      </c>
      <c r="D126" s="14" t="s">
        <v>15</v>
      </c>
      <c r="E126" s="14">
        <v>12.6</v>
      </c>
      <c r="F126" s="14">
        <v>2.46</v>
      </c>
      <c r="G126" s="14">
        <v>2.2000000000000002</v>
      </c>
      <c r="H126" s="14">
        <v>18.5</v>
      </c>
      <c r="I126" s="14">
        <v>94</v>
      </c>
      <c r="J126" s="14">
        <v>1.62</v>
      </c>
      <c r="K126" s="14">
        <v>0.66</v>
      </c>
      <c r="L126" s="14">
        <v>0.63</v>
      </c>
      <c r="M126" s="14">
        <v>0.93999999999999895</v>
      </c>
      <c r="N126" s="14">
        <v>7.0999999999999899</v>
      </c>
      <c r="O126" s="14">
        <v>0.72999999999999898</v>
      </c>
      <c r="P126" s="14">
        <v>1.58</v>
      </c>
      <c r="Q126">
        <v>695</v>
      </c>
    </row>
    <row r="127" spans="3:17" x14ac:dyDescent="0.25">
      <c r="C127" s="15" t="s">
        <v>214</v>
      </c>
      <c r="D127" s="14" t="s">
        <v>15</v>
      </c>
      <c r="E127" s="14">
        <v>12.93</v>
      </c>
      <c r="F127" s="14">
        <v>2.81</v>
      </c>
      <c r="G127" s="14">
        <v>2.7</v>
      </c>
      <c r="H127" s="14">
        <v>21</v>
      </c>
      <c r="I127" s="14">
        <v>96</v>
      </c>
      <c r="J127" s="14">
        <v>1.54</v>
      </c>
      <c r="K127" s="14">
        <v>0.5</v>
      </c>
      <c r="L127" s="14">
        <v>0.53</v>
      </c>
      <c r="M127" s="14">
        <v>0.75</v>
      </c>
      <c r="N127" s="14">
        <v>4.5999999999999899</v>
      </c>
      <c r="O127" s="14">
        <v>0.77</v>
      </c>
      <c r="P127" s="14">
        <v>2.31</v>
      </c>
      <c r="Q127">
        <v>600</v>
      </c>
    </row>
    <row r="128" spans="3:17" x14ac:dyDescent="0.25">
      <c r="C128" s="15" t="s">
        <v>215</v>
      </c>
      <c r="D128" s="14" t="s">
        <v>15</v>
      </c>
      <c r="E128" s="14">
        <v>13.3599999999999</v>
      </c>
      <c r="F128" s="14">
        <v>2.56</v>
      </c>
      <c r="G128" s="14">
        <v>2.35</v>
      </c>
      <c r="H128" s="14">
        <v>20</v>
      </c>
      <c r="I128" s="14">
        <v>89</v>
      </c>
      <c r="J128" s="14">
        <v>1.3999999999999899</v>
      </c>
      <c r="K128" s="14">
        <v>0.5</v>
      </c>
      <c r="L128" s="14">
        <v>0.37</v>
      </c>
      <c r="M128" s="14">
        <v>0.64</v>
      </c>
      <c r="N128" s="14">
        <v>5.5999999999999899</v>
      </c>
      <c r="O128" s="14">
        <v>0.69999999999999896</v>
      </c>
      <c r="P128" s="14">
        <v>2.4700000000000002</v>
      </c>
      <c r="Q128">
        <v>780</v>
      </c>
    </row>
    <row r="129" spans="3:17" x14ac:dyDescent="0.25">
      <c r="C129" s="15" t="s">
        <v>216</v>
      </c>
      <c r="D129" s="14" t="s">
        <v>15</v>
      </c>
      <c r="E129" s="14">
        <v>13.52</v>
      </c>
      <c r="F129" s="14">
        <v>3.1699999999999902</v>
      </c>
      <c r="G129" s="14">
        <v>2.72</v>
      </c>
      <c r="H129" s="14">
        <v>23.5</v>
      </c>
      <c r="I129" s="14">
        <v>97</v>
      </c>
      <c r="J129" s="14">
        <v>1.55</v>
      </c>
      <c r="K129" s="14">
        <v>0.52</v>
      </c>
      <c r="L129" s="14">
        <v>0.5</v>
      </c>
      <c r="M129" s="14">
        <v>0.55000000000000004</v>
      </c>
      <c r="N129" s="14">
        <v>4.3499999999999899</v>
      </c>
      <c r="O129" s="14">
        <v>0.89</v>
      </c>
      <c r="P129" s="14">
        <v>2.06</v>
      </c>
      <c r="Q129">
        <v>520</v>
      </c>
    </row>
    <row r="130" spans="3:17" x14ac:dyDescent="0.25">
      <c r="C130" s="15" t="s">
        <v>218</v>
      </c>
      <c r="D130" s="14" t="s">
        <v>15</v>
      </c>
      <c r="E130" s="14">
        <v>12.25</v>
      </c>
      <c r="F130" s="14">
        <v>3.8799999999999901</v>
      </c>
      <c r="G130" s="14">
        <v>2.2000000000000002</v>
      </c>
      <c r="H130" s="14">
        <v>18.5</v>
      </c>
      <c r="I130" s="14">
        <v>112</v>
      </c>
      <c r="J130" s="14">
        <v>1.3799999999999899</v>
      </c>
      <c r="K130" s="14">
        <v>0.78</v>
      </c>
      <c r="L130" s="14">
        <v>0.28999999999999898</v>
      </c>
      <c r="M130" s="14">
        <v>1.1399999999999899</v>
      </c>
      <c r="N130" s="14">
        <v>8.2100000000000009</v>
      </c>
      <c r="O130" s="14">
        <v>0.65</v>
      </c>
      <c r="P130" s="14">
        <v>2</v>
      </c>
      <c r="Q130">
        <v>855</v>
      </c>
    </row>
    <row r="131" spans="3:17" x14ac:dyDescent="0.25">
      <c r="C131" s="15" t="s">
        <v>219</v>
      </c>
      <c r="D131" s="14" t="s">
        <v>15</v>
      </c>
      <c r="E131" s="14">
        <v>13.16</v>
      </c>
      <c r="F131" s="14">
        <v>3.5699999999999901</v>
      </c>
      <c r="G131" s="14">
        <v>2.1499999999999901</v>
      </c>
      <c r="H131" s="14">
        <v>21</v>
      </c>
      <c r="I131" s="14">
        <v>102</v>
      </c>
      <c r="J131" s="14">
        <v>1.5</v>
      </c>
      <c r="K131" s="14">
        <v>0.55000000000000004</v>
      </c>
      <c r="L131" s="14">
        <v>0.42999999999999899</v>
      </c>
      <c r="M131" s="14">
        <v>1.3</v>
      </c>
      <c r="N131" s="14">
        <v>4</v>
      </c>
      <c r="O131" s="14">
        <v>0.59999999999999898</v>
      </c>
      <c r="P131" s="14">
        <v>1.6799999999999899</v>
      </c>
      <c r="Q131">
        <v>830</v>
      </c>
    </row>
    <row r="132" spans="3:17" x14ac:dyDescent="0.25">
      <c r="C132" s="15" t="s">
        <v>221</v>
      </c>
      <c r="D132" s="14" t="s">
        <v>15</v>
      </c>
      <c r="E132" s="14">
        <v>12.8699999999999</v>
      </c>
      <c r="F132" s="14">
        <v>4.6100000000000003</v>
      </c>
      <c r="G132" s="14">
        <v>2.48</v>
      </c>
      <c r="H132" s="14">
        <v>21.5</v>
      </c>
      <c r="I132" s="14">
        <v>86</v>
      </c>
      <c r="J132" s="14">
        <v>1.7</v>
      </c>
      <c r="K132" s="14">
        <v>0.65</v>
      </c>
      <c r="L132" s="14">
        <v>0.46999999999999897</v>
      </c>
      <c r="M132" s="14">
        <v>0.85999999999999899</v>
      </c>
      <c r="N132" s="14">
        <v>7.65</v>
      </c>
      <c r="O132" s="14">
        <v>0.54</v>
      </c>
      <c r="P132" s="14">
        <v>1.86</v>
      </c>
      <c r="Q132">
        <v>625</v>
      </c>
    </row>
    <row r="133" spans="3:17" x14ac:dyDescent="0.25">
      <c r="C133" s="15" t="s">
        <v>223</v>
      </c>
      <c r="D133" s="14" t="s">
        <v>15</v>
      </c>
      <c r="E133" s="14">
        <v>13.08</v>
      </c>
      <c r="F133" s="14">
        <v>3.8999999999999901</v>
      </c>
      <c r="G133" s="14">
        <v>2.3599999999999901</v>
      </c>
      <c r="H133" s="14">
        <v>21.5</v>
      </c>
      <c r="I133" s="14">
        <v>113</v>
      </c>
      <c r="J133" s="14">
        <v>1.4099999999999899</v>
      </c>
      <c r="K133" s="14">
        <v>1.3899999999999899</v>
      </c>
      <c r="L133" s="14">
        <v>0.34</v>
      </c>
      <c r="M133" s="14">
        <v>1.1399999999999899</v>
      </c>
      <c r="N133" s="14">
        <v>9.4</v>
      </c>
      <c r="O133" s="14">
        <v>0.56999999999999895</v>
      </c>
      <c r="P133" s="14">
        <v>1.33</v>
      </c>
      <c r="Q133">
        <v>550</v>
      </c>
    </row>
    <row r="134" spans="3:17" x14ac:dyDescent="0.25">
      <c r="C134" s="15" t="s">
        <v>226</v>
      </c>
      <c r="D134" s="14" t="s">
        <v>15</v>
      </c>
      <c r="E134" s="14">
        <v>13.1099999999999</v>
      </c>
      <c r="F134" s="14">
        <v>1.8999999999999899</v>
      </c>
      <c r="G134" s="14">
        <v>2.75</v>
      </c>
      <c r="H134" s="14">
        <v>25.5</v>
      </c>
      <c r="I134" s="14">
        <v>116</v>
      </c>
      <c r="J134" s="14">
        <v>2.2000000000000002</v>
      </c>
      <c r="K134" s="14">
        <v>1.28</v>
      </c>
      <c r="L134" s="14">
        <v>0.26</v>
      </c>
      <c r="M134" s="14">
        <v>1.56</v>
      </c>
      <c r="N134" s="14">
        <v>7.0999999999999899</v>
      </c>
      <c r="O134" s="14">
        <v>0.60999999999999899</v>
      </c>
      <c r="P134" s="14">
        <v>1.33</v>
      </c>
      <c r="Q134">
        <v>425</v>
      </c>
    </row>
    <row r="135" spans="3:17" x14ac:dyDescent="0.25">
      <c r="C135" s="15" t="s">
        <v>227</v>
      </c>
      <c r="D135" s="14" t="s">
        <v>15</v>
      </c>
      <c r="E135" s="14">
        <v>13.23</v>
      </c>
      <c r="F135" s="14">
        <v>3.2999999999999901</v>
      </c>
      <c r="G135" s="14">
        <v>2.27999999999999</v>
      </c>
      <c r="H135" s="14">
        <v>18.5</v>
      </c>
      <c r="I135" s="14">
        <v>98</v>
      </c>
      <c r="J135" s="14">
        <v>1.8</v>
      </c>
      <c r="K135" s="14">
        <v>0.82999999999999896</v>
      </c>
      <c r="L135" s="14">
        <v>0.60999999999999899</v>
      </c>
      <c r="M135" s="14">
        <v>1.87</v>
      </c>
      <c r="N135" s="14">
        <v>10.52</v>
      </c>
      <c r="O135" s="14">
        <v>0.56000000000000005</v>
      </c>
      <c r="P135" s="14">
        <v>1.51</v>
      </c>
      <c r="Q135">
        <v>675</v>
      </c>
    </row>
    <row r="136" spans="3:17" x14ac:dyDescent="0.25">
      <c r="C136" s="15" t="s">
        <v>229</v>
      </c>
      <c r="D136" s="14" t="s">
        <v>15</v>
      </c>
      <c r="E136" s="14">
        <v>13.17</v>
      </c>
      <c r="F136" s="14">
        <v>5.19</v>
      </c>
      <c r="G136" s="14">
        <v>2.3199999999999901</v>
      </c>
      <c r="H136" s="14">
        <v>22</v>
      </c>
      <c r="I136" s="14">
        <v>93</v>
      </c>
      <c r="J136" s="14">
        <v>1.74</v>
      </c>
      <c r="K136" s="14">
        <v>0.63</v>
      </c>
      <c r="L136" s="14">
        <v>0.60999999999999899</v>
      </c>
      <c r="M136" s="14">
        <v>1.55</v>
      </c>
      <c r="N136" s="14">
        <v>7.9</v>
      </c>
      <c r="O136" s="14">
        <v>0.59999999999999898</v>
      </c>
      <c r="P136" s="14">
        <v>1.48</v>
      </c>
      <c r="Q136">
        <v>725</v>
      </c>
    </row>
    <row r="137" spans="3:17" x14ac:dyDescent="0.25">
      <c r="C137" s="15" t="s">
        <v>230</v>
      </c>
      <c r="D137" s="14" t="s">
        <v>15</v>
      </c>
      <c r="E137" s="14">
        <v>13.84</v>
      </c>
      <c r="F137" s="14">
        <v>4.12</v>
      </c>
      <c r="G137" s="14">
        <v>2.3799999999999901</v>
      </c>
      <c r="H137" s="14">
        <v>19.5</v>
      </c>
      <c r="I137" s="14">
        <v>89</v>
      </c>
      <c r="J137" s="14">
        <v>1.8</v>
      </c>
      <c r="K137" s="14">
        <v>0.82999999999999896</v>
      </c>
      <c r="L137" s="14">
        <v>0.47999999999999898</v>
      </c>
      <c r="M137" s="14">
        <v>1.56</v>
      </c>
      <c r="N137" s="14">
        <v>9.0099999999999891</v>
      </c>
      <c r="O137" s="14">
        <v>0.56999999999999895</v>
      </c>
      <c r="P137" s="14">
        <v>1.6399999999999899</v>
      </c>
      <c r="Q137">
        <v>480</v>
      </c>
    </row>
    <row r="138" spans="3:17" x14ac:dyDescent="0.25">
      <c r="C138" s="15" t="s">
        <v>231</v>
      </c>
      <c r="D138" s="14" t="s">
        <v>15</v>
      </c>
      <c r="E138" s="14">
        <v>12.4499999999999</v>
      </c>
      <c r="F138" s="14">
        <v>3.02999999999999</v>
      </c>
      <c r="G138" s="14">
        <v>2.64</v>
      </c>
      <c r="H138" s="14">
        <v>27</v>
      </c>
      <c r="I138" s="14">
        <v>97</v>
      </c>
      <c r="J138" s="14">
        <v>1.8999999999999899</v>
      </c>
      <c r="K138" s="14">
        <v>0.57999999999999896</v>
      </c>
      <c r="L138" s="14">
        <v>0.63</v>
      </c>
      <c r="M138" s="14">
        <v>1.1399999999999899</v>
      </c>
      <c r="N138" s="14">
        <v>7.5</v>
      </c>
      <c r="O138" s="14">
        <v>0.67</v>
      </c>
      <c r="P138" s="14">
        <v>1.73</v>
      </c>
      <c r="Q138">
        <v>880</v>
      </c>
    </row>
    <row r="139" spans="3:17" x14ac:dyDescent="0.25">
      <c r="C139" s="15" t="s">
        <v>232</v>
      </c>
      <c r="D139" s="14" t="s">
        <v>15</v>
      </c>
      <c r="E139" s="14">
        <v>14.34</v>
      </c>
      <c r="F139" s="14">
        <v>1.6799999999999899</v>
      </c>
      <c r="G139" s="14">
        <v>2.7</v>
      </c>
      <c r="H139" s="14">
        <v>25</v>
      </c>
      <c r="I139" s="14">
        <v>98</v>
      </c>
      <c r="J139" s="14">
        <v>2.7999999999999901</v>
      </c>
      <c r="K139" s="14">
        <v>1.31</v>
      </c>
      <c r="L139" s="14">
        <v>0.53</v>
      </c>
      <c r="M139" s="14">
        <v>2.7</v>
      </c>
      <c r="N139" s="14">
        <v>13</v>
      </c>
      <c r="O139" s="14">
        <v>0.56999999999999895</v>
      </c>
      <c r="P139" s="14">
        <v>1.96</v>
      </c>
      <c r="Q139">
        <v>660</v>
      </c>
    </row>
    <row r="140" spans="3:17" x14ac:dyDescent="0.25">
      <c r="C140" s="15" t="s">
        <v>234</v>
      </c>
      <c r="D140" s="14" t="s">
        <v>15</v>
      </c>
      <c r="E140" s="14">
        <v>12.3599999999999</v>
      </c>
      <c r="F140" s="14">
        <v>3.83</v>
      </c>
      <c r="G140" s="14">
        <v>2.3799999999999901</v>
      </c>
      <c r="H140" s="14">
        <v>21</v>
      </c>
      <c r="I140" s="14">
        <v>88</v>
      </c>
      <c r="J140" s="14">
        <v>2.2999999999999901</v>
      </c>
      <c r="K140" s="14">
        <v>0.92</v>
      </c>
      <c r="L140" s="14">
        <v>0.5</v>
      </c>
      <c r="M140" s="14">
        <v>1.04</v>
      </c>
      <c r="N140" s="14">
        <v>7.65</v>
      </c>
      <c r="O140" s="14">
        <v>0.56000000000000005</v>
      </c>
      <c r="P140" s="14">
        <v>1.58</v>
      </c>
      <c r="Q140">
        <v>520</v>
      </c>
    </row>
    <row r="141" spans="3:17" x14ac:dyDescent="0.25">
      <c r="C141" s="15" t="s">
        <v>236</v>
      </c>
      <c r="D141" s="14" t="s">
        <v>15</v>
      </c>
      <c r="E141" s="14">
        <v>12.85</v>
      </c>
      <c r="F141" s="14">
        <v>3.27</v>
      </c>
      <c r="G141" s="14">
        <v>2.58</v>
      </c>
      <c r="H141" s="14">
        <v>22</v>
      </c>
      <c r="I141" s="14">
        <v>106</v>
      </c>
      <c r="J141" s="14">
        <v>1.6499999999999899</v>
      </c>
      <c r="K141" s="14">
        <v>0.59999999999999898</v>
      </c>
      <c r="L141" s="14">
        <v>0.59999999999999898</v>
      </c>
      <c r="M141" s="14">
        <v>0.95999999999999897</v>
      </c>
      <c r="N141" s="14">
        <v>5.58</v>
      </c>
      <c r="O141" s="14">
        <v>0.87</v>
      </c>
      <c r="P141" s="14">
        <v>2.1099999999999901</v>
      </c>
      <c r="Q141">
        <v>570</v>
      </c>
    </row>
    <row r="142" spans="3:17" x14ac:dyDescent="0.25">
      <c r="C142" s="15" t="s">
        <v>237</v>
      </c>
      <c r="D142" s="14" t="s">
        <v>15</v>
      </c>
      <c r="E142" s="14">
        <v>12.96</v>
      </c>
      <c r="F142" s="14">
        <v>3.45</v>
      </c>
      <c r="G142" s="14">
        <v>2.35</v>
      </c>
      <c r="H142" s="14">
        <v>18.5</v>
      </c>
      <c r="I142" s="14">
        <v>106</v>
      </c>
      <c r="J142" s="14">
        <v>1.3899999999999899</v>
      </c>
      <c r="K142" s="14">
        <v>0.69999999999999896</v>
      </c>
      <c r="L142" s="14">
        <v>0.4</v>
      </c>
      <c r="M142" s="14">
        <v>0.93999999999999895</v>
      </c>
      <c r="N142" s="14">
        <v>5.28</v>
      </c>
      <c r="O142" s="14">
        <v>0.68</v>
      </c>
      <c r="P142" s="14">
        <v>1.75</v>
      </c>
      <c r="Q142">
        <v>675</v>
      </c>
    </row>
    <row r="143" spans="3:17" x14ac:dyDescent="0.25">
      <c r="C143" s="15" t="s">
        <v>239</v>
      </c>
      <c r="D143" s="14" t="s">
        <v>15</v>
      </c>
      <c r="E143" s="14">
        <v>13.73</v>
      </c>
      <c r="F143" s="14">
        <v>4.3600000000000003</v>
      </c>
      <c r="G143" s="14">
        <v>2.25999999999999</v>
      </c>
      <c r="H143" s="14">
        <v>22.5</v>
      </c>
      <c r="I143" s="14">
        <v>88</v>
      </c>
      <c r="J143" s="14">
        <v>1.28</v>
      </c>
      <c r="K143" s="14">
        <v>0.46999999999999897</v>
      </c>
      <c r="L143" s="14">
        <v>0.52</v>
      </c>
      <c r="M143" s="14">
        <v>1.1499999999999899</v>
      </c>
      <c r="N143" s="14">
        <v>6.62</v>
      </c>
      <c r="O143" s="14">
        <v>0.78</v>
      </c>
      <c r="P143" s="14">
        <v>1.75</v>
      </c>
      <c r="Q143">
        <v>520</v>
      </c>
    </row>
    <row r="144" spans="3:17" x14ac:dyDescent="0.25">
      <c r="C144" s="15" t="s">
        <v>240</v>
      </c>
      <c r="D144" s="14" t="s">
        <v>15</v>
      </c>
      <c r="E144" s="14">
        <v>13.4499999999999</v>
      </c>
      <c r="F144" s="14">
        <v>3.7</v>
      </c>
      <c r="G144" s="14">
        <v>2.6</v>
      </c>
      <c r="H144" s="14">
        <v>23</v>
      </c>
      <c r="I144" s="14">
        <v>111</v>
      </c>
      <c r="J144" s="14">
        <v>1.7</v>
      </c>
      <c r="K144" s="14">
        <v>0.92</v>
      </c>
      <c r="L144" s="14">
        <v>0.42999999999999899</v>
      </c>
      <c r="M144" s="14">
        <v>1.46</v>
      </c>
      <c r="N144" s="14">
        <v>10.68</v>
      </c>
      <c r="O144" s="14">
        <v>0.84999999999999898</v>
      </c>
      <c r="P144" s="14">
        <v>1.56</v>
      </c>
      <c r="Q144">
        <v>695</v>
      </c>
    </row>
    <row r="145" spans="3:17" x14ac:dyDescent="0.25">
      <c r="C145" s="15" t="s">
        <v>241</v>
      </c>
      <c r="D145" s="14" t="s">
        <v>15</v>
      </c>
      <c r="E145" s="14">
        <v>12.82</v>
      </c>
      <c r="F145" s="14">
        <v>3.37</v>
      </c>
      <c r="G145" s="14">
        <v>2.2999999999999901</v>
      </c>
      <c r="H145" s="14">
        <v>19.5</v>
      </c>
      <c r="I145" s="14">
        <v>88</v>
      </c>
      <c r="J145" s="14">
        <v>1.48</v>
      </c>
      <c r="K145" s="14">
        <v>0.66</v>
      </c>
      <c r="L145" s="14">
        <v>0.4</v>
      </c>
      <c r="M145" s="14">
        <v>0.96999999999999897</v>
      </c>
      <c r="N145" s="14">
        <v>10.26</v>
      </c>
      <c r="O145" s="14">
        <v>0.71999999999999897</v>
      </c>
      <c r="P145" s="14">
        <v>1.75</v>
      </c>
      <c r="Q145">
        <v>685</v>
      </c>
    </row>
    <row r="146" spans="3:17" x14ac:dyDescent="0.25">
      <c r="C146" s="15" t="s">
        <v>242</v>
      </c>
      <c r="D146" s="14" t="s">
        <v>15</v>
      </c>
      <c r="E146" s="14">
        <v>13.58</v>
      </c>
      <c r="F146" s="14">
        <v>2.58</v>
      </c>
      <c r="G146" s="14">
        <v>2.6899999999999902</v>
      </c>
      <c r="H146" s="14">
        <v>24.5</v>
      </c>
      <c r="I146" s="14">
        <v>105</v>
      </c>
      <c r="J146" s="14">
        <v>1.55</v>
      </c>
      <c r="K146" s="14">
        <v>0.83999999999999897</v>
      </c>
      <c r="L146" s="14">
        <v>0.39</v>
      </c>
      <c r="M146" s="14">
        <v>1.54</v>
      </c>
      <c r="N146" s="14">
        <v>8.66</v>
      </c>
      <c r="O146" s="14">
        <v>0.73999999999999899</v>
      </c>
      <c r="P146" s="14">
        <v>1.8</v>
      </c>
      <c r="Q146">
        <v>750</v>
      </c>
    </row>
    <row r="147" spans="3:17" x14ac:dyDescent="0.25">
      <c r="C147" s="15" t="s">
        <v>243</v>
      </c>
      <c r="D147" s="14" t="s">
        <v>15</v>
      </c>
      <c r="E147" s="14">
        <v>13.4</v>
      </c>
      <c r="F147" s="14">
        <v>4.5999999999999899</v>
      </c>
      <c r="G147" s="14">
        <v>2.8599999999999901</v>
      </c>
      <c r="H147" s="14">
        <v>25</v>
      </c>
      <c r="I147" s="14">
        <v>112</v>
      </c>
      <c r="J147" s="14">
        <v>1.98</v>
      </c>
      <c r="K147" s="14">
        <v>0.95999999999999897</v>
      </c>
      <c r="L147" s="14">
        <v>0.27</v>
      </c>
      <c r="M147" s="14">
        <v>1.1100000000000001</v>
      </c>
      <c r="N147" s="14">
        <v>8.5</v>
      </c>
      <c r="O147" s="14">
        <v>0.67</v>
      </c>
      <c r="P147" s="14">
        <v>1.9199999999999899</v>
      </c>
      <c r="Q147">
        <v>630</v>
      </c>
    </row>
    <row r="148" spans="3:17" x14ac:dyDescent="0.25">
      <c r="C148" s="15" t="s">
        <v>244</v>
      </c>
      <c r="D148" s="14" t="s">
        <v>15</v>
      </c>
      <c r="E148" s="14">
        <v>12.1999999999999</v>
      </c>
      <c r="F148" s="14">
        <v>3.02999999999999</v>
      </c>
      <c r="G148" s="14">
        <v>2.3199999999999901</v>
      </c>
      <c r="H148" s="14">
        <v>19</v>
      </c>
      <c r="I148" s="14">
        <v>96</v>
      </c>
      <c r="J148" s="14">
        <v>1.25</v>
      </c>
      <c r="K148" s="14">
        <v>0.48999999999999899</v>
      </c>
      <c r="L148" s="14">
        <v>0.4</v>
      </c>
      <c r="M148" s="14">
        <v>0.72999999999999898</v>
      </c>
      <c r="N148" s="14">
        <v>5.5</v>
      </c>
      <c r="O148" s="14">
        <v>0.66</v>
      </c>
      <c r="P148" s="14">
        <v>1.83</v>
      </c>
      <c r="Q148">
        <v>510</v>
      </c>
    </row>
    <row r="149" spans="3:17" x14ac:dyDescent="0.25">
      <c r="C149" s="15" t="s">
        <v>247</v>
      </c>
      <c r="D149" s="14" t="s">
        <v>15</v>
      </c>
      <c r="E149" s="14">
        <v>13.71</v>
      </c>
      <c r="F149" s="14">
        <v>5.65</v>
      </c>
      <c r="G149" s="14">
        <v>2.4500000000000002</v>
      </c>
      <c r="H149" s="14">
        <v>20.5</v>
      </c>
      <c r="I149" s="14">
        <v>95</v>
      </c>
      <c r="J149" s="14">
        <v>1.6799999999999899</v>
      </c>
      <c r="K149" s="14">
        <v>0.60999999999999899</v>
      </c>
      <c r="L149" s="14">
        <v>0.52</v>
      </c>
      <c r="M149" s="14">
        <v>1.06</v>
      </c>
      <c r="N149" s="14">
        <v>7.7</v>
      </c>
      <c r="O149" s="14">
        <v>0.64</v>
      </c>
      <c r="P149" s="14">
        <v>1.74</v>
      </c>
      <c r="Q149">
        <v>740</v>
      </c>
    </row>
    <row r="150" spans="3:17" x14ac:dyDescent="0.25">
      <c r="C150" s="15" t="s">
        <v>252</v>
      </c>
      <c r="D150" s="14" t="s">
        <v>13</v>
      </c>
      <c r="E150" s="14">
        <v>12.85</v>
      </c>
      <c r="F150" s="14">
        <v>1.6</v>
      </c>
      <c r="G150" s="14">
        <v>2.52</v>
      </c>
      <c r="H150" s="14">
        <v>17.8</v>
      </c>
      <c r="I150" s="14">
        <v>95</v>
      </c>
      <c r="J150" s="14">
        <v>2.48</v>
      </c>
      <c r="K150" s="14">
        <v>2.37</v>
      </c>
      <c r="L150" s="14">
        <v>0.26</v>
      </c>
      <c r="M150" s="14">
        <v>1.46</v>
      </c>
      <c r="N150" s="14">
        <v>3.93</v>
      </c>
      <c r="O150" s="14">
        <v>1.0900000000000001</v>
      </c>
      <c r="P150" s="14">
        <v>3.6299999999999901</v>
      </c>
      <c r="Q150">
        <v>1015</v>
      </c>
    </row>
    <row r="151" spans="3:17" x14ac:dyDescent="0.25">
      <c r="C151" s="15" t="s">
        <v>254</v>
      </c>
      <c r="D151" s="14" t="s">
        <v>13</v>
      </c>
      <c r="E151" s="14">
        <v>13.05</v>
      </c>
      <c r="F151" s="14">
        <v>2.0499999999999901</v>
      </c>
      <c r="G151" s="14">
        <v>3.22</v>
      </c>
      <c r="H151" s="14">
        <v>25</v>
      </c>
      <c r="I151" s="14">
        <v>124</v>
      </c>
      <c r="J151" s="14">
        <v>2.6299999999999901</v>
      </c>
      <c r="K151" s="14">
        <v>2.68</v>
      </c>
      <c r="L151" s="14">
        <v>0.46999999999999897</v>
      </c>
      <c r="M151" s="14">
        <v>1.9199999999999899</v>
      </c>
      <c r="N151" s="14">
        <v>3.58</v>
      </c>
      <c r="O151" s="14">
        <v>1.1299999999999899</v>
      </c>
      <c r="P151" s="14">
        <v>3.2</v>
      </c>
      <c r="Q151">
        <v>830</v>
      </c>
    </row>
    <row r="152" spans="3:17" x14ac:dyDescent="0.25">
      <c r="C152" s="15" t="s">
        <v>255</v>
      </c>
      <c r="D152" s="14" t="s">
        <v>13</v>
      </c>
      <c r="E152" s="14">
        <v>13.39</v>
      </c>
      <c r="F152" s="14">
        <v>1.77</v>
      </c>
      <c r="G152" s="14">
        <v>2.62</v>
      </c>
      <c r="H152" s="14">
        <v>16.100000000000001</v>
      </c>
      <c r="I152" s="14">
        <v>93</v>
      </c>
      <c r="J152" s="14">
        <v>2.85</v>
      </c>
      <c r="K152" s="14">
        <v>2.9399999999999902</v>
      </c>
      <c r="L152" s="14">
        <v>0.34</v>
      </c>
      <c r="M152" s="14">
        <v>1.45</v>
      </c>
      <c r="N152" s="14">
        <v>4.7999999999999901</v>
      </c>
      <c r="O152" s="14">
        <v>0.92</v>
      </c>
      <c r="P152" s="14">
        <v>3.22</v>
      </c>
      <c r="Q152">
        <v>1195</v>
      </c>
    </row>
    <row r="153" spans="3:17" x14ac:dyDescent="0.25">
      <c r="C153" s="15" t="s">
        <v>257</v>
      </c>
      <c r="D153" s="14" t="s">
        <v>13</v>
      </c>
      <c r="E153" s="14">
        <v>13.8699999999999</v>
      </c>
      <c r="F153" s="14">
        <v>1.8999999999999899</v>
      </c>
      <c r="G153" s="14">
        <v>2.7999999999999901</v>
      </c>
      <c r="H153" s="14">
        <v>19.399999999999899</v>
      </c>
      <c r="I153" s="14">
        <v>107</v>
      </c>
      <c r="J153" s="14">
        <v>2.95</v>
      </c>
      <c r="K153" s="14">
        <v>2.97</v>
      </c>
      <c r="L153" s="14">
        <v>0.37</v>
      </c>
      <c r="M153" s="14">
        <v>1.76</v>
      </c>
      <c r="N153" s="14">
        <v>4.5</v>
      </c>
      <c r="O153" s="14">
        <v>1.25</v>
      </c>
      <c r="P153" s="14">
        <v>3.3999999999999901</v>
      </c>
      <c r="Q153">
        <v>915</v>
      </c>
    </row>
    <row r="154" spans="3:17" x14ac:dyDescent="0.25">
      <c r="C154" s="15" t="s">
        <v>258</v>
      </c>
      <c r="D154" s="14" t="s">
        <v>13</v>
      </c>
      <c r="E154" s="14">
        <v>14.02</v>
      </c>
      <c r="F154" s="14">
        <v>1.6799999999999899</v>
      </c>
      <c r="G154" s="14">
        <v>2.21</v>
      </c>
      <c r="H154" s="14">
        <v>16</v>
      </c>
      <c r="I154" s="14">
        <v>96</v>
      </c>
      <c r="J154" s="14">
        <v>2.6499999999999901</v>
      </c>
      <c r="K154" s="14">
        <v>2.33</v>
      </c>
      <c r="L154" s="14">
        <v>0.26</v>
      </c>
      <c r="M154" s="14">
        <v>1.98</v>
      </c>
      <c r="N154" s="14">
        <v>4.7</v>
      </c>
      <c r="O154" s="14">
        <v>1.04</v>
      </c>
      <c r="P154" s="14">
        <v>3.5899999999999901</v>
      </c>
      <c r="Q154">
        <v>1035</v>
      </c>
    </row>
    <row r="155" spans="3:17" x14ac:dyDescent="0.25">
      <c r="C155" s="15" t="s">
        <v>259</v>
      </c>
      <c r="D155" s="14" t="s">
        <v>13</v>
      </c>
      <c r="E155" s="14">
        <v>13.73</v>
      </c>
      <c r="F155" s="14">
        <v>1.5</v>
      </c>
      <c r="G155" s="14">
        <v>2.7</v>
      </c>
      <c r="H155" s="14">
        <v>22.5</v>
      </c>
      <c r="I155" s="14">
        <v>101</v>
      </c>
      <c r="J155" s="14">
        <v>3</v>
      </c>
      <c r="K155" s="14">
        <v>3.25</v>
      </c>
      <c r="L155" s="14">
        <v>0.28999999999999898</v>
      </c>
      <c r="M155" s="14">
        <v>2.3799999999999901</v>
      </c>
      <c r="N155" s="14">
        <v>5.7</v>
      </c>
      <c r="O155" s="14">
        <v>1.18999999999999</v>
      </c>
      <c r="P155" s="14">
        <v>2.71</v>
      </c>
      <c r="Q155">
        <v>1285</v>
      </c>
    </row>
    <row r="156" spans="3:17" x14ac:dyDescent="0.25">
      <c r="C156" s="15" t="s">
        <v>260</v>
      </c>
      <c r="D156" s="14" t="s">
        <v>13</v>
      </c>
      <c r="E156" s="14">
        <v>13.58</v>
      </c>
      <c r="F156" s="14">
        <v>1.6599999999999899</v>
      </c>
      <c r="G156" s="14">
        <v>2.3599999999999901</v>
      </c>
      <c r="H156" s="14">
        <v>19.100000000000001</v>
      </c>
      <c r="I156" s="14">
        <v>106</v>
      </c>
      <c r="J156" s="14">
        <v>2.8599999999999901</v>
      </c>
      <c r="K156" s="14">
        <v>3.1899999999999902</v>
      </c>
      <c r="L156" s="14">
        <v>0.22</v>
      </c>
      <c r="M156" s="14">
        <v>1.95</v>
      </c>
      <c r="N156" s="14">
        <v>6.9</v>
      </c>
      <c r="O156" s="14">
        <v>1.0900000000000001</v>
      </c>
      <c r="P156" s="14">
        <v>2.8799999999999901</v>
      </c>
      <c r="Q156">
        <v>1515</v>
      </c>
    </row>
    <row r="157" spans="3:17" x14ac:dyDescent="0.25">
      <c r="C157" s="15" t="s">
        <v>261</v>
      </c>
      <c r="D157" s="14" t="s">
        <v>13</v>
      </c>
      <c r="E157" s="14">
        <v>13.68</v>
      </c>
      <c r="F157" s="14">
        <v>1.83</v>
      </c>
      <c r="G157" s="14">
        <v>2.3599999999999901</v>
      </c>
      <c r="H157" s="14">
        <v>17.1999999999999</v>
      </c>
      <c r="I157" s="14">
        <v>104</v>
      </c>
      <c r="J157" s="14">
        <v>2.4199999999999902</v>
      </c>
      <c r="K157" s="14">
        <v>2.6899999999999902</v>
      </c>
      <c r="L157" s="14">
        <v>0.41999999999999899</v>
      </c>
      <c r="M157" s="14">
        <v>1.97</v>
      </c>
      <c r="N157" s="14">
        <v>3.8399999999999901</v>
      </c>
      <c r="O157" s="14">
        <v>1.23</v>
      </c>
      <c r="P157" s="14">
        <v>2.87</v>
      </c>
      <c r="Q157">
        <v>990</v>
      </c>
    </row>
    <row r="158" spans="3:17" x14ac:dyDescent="0.25">
      <c r="C158" s="15" t="s">
        <v>262</v>
      </c>
      <c r="D158" s="14" t="s">
        <v>13</v>
      </c>
      <c r="E158" s="14">
        <v>13.76</v>
      </c>
      <c r="F158" s="14">
        <v>1.53</v>
      </c>
      <c r="G158" s="14">
        <v>2.7</v>
      </c>
      <c r="H158" s="14">
        <v>19.5</v>
      </c>
      <c r="I158" s="14">
        <v>132</v>
      </c>
      <c r="J158" s="14">
        <v>2.95</v>
      </c>
      <c r="K158" s="14">
        <v>2.74</v>
      </c>
      <c r="L158" s="14">
        <v>0.5</v>
      </c>
      <c r="M158" s="14">
        <v>1.35</v>
      </c>
      <c r="N158" s="14">
        <v>5.4</v>
      </c>
      <c r="O158" s="14">
        <v>1.25</v>
      </c>
      <c r="P158" s="14">
        <v>3</v>
      </c>
      <c r="Q158">
        <v>1235</v>
      </c>
    </row>
    <row r="159" spans="3:17" x14ac:dyDescent="0.25">
      <c r="C159" s="15" t="s">
        <v>263</v>
      </c>
      <c r="D159" s="14" t="s">
        <v>13</v>
      </c>
      <c r="E159" s="14">
        <v>13.51</v>
      </c>
      <c r="F159" s="14">
        <v>1.8</v>
      </c>
      <c r="G159" s="14">
        <v>2.6499999999999901</v>
      </c>
      <c r="H159" s="14">
        <v>19</v>
      </c>
      <c r="I159" s="14">
        <v>110</v>
      </c>
      <c r="J159" s="14">
        <v>2.35</v>
      </c>
      <c r="K159" s="14">
        <v>2.52999999999999</v>
      </c>
      <c r="L159" s="14">
        <v>0.28999999999999898</v>
      </c>
      <c r="M159" s="14">
        <v>1.54</v>
      </c>
      <c r="N159" s="14">
        <v>4.2</v>
      </c>
      <c r="O159" s="14">
        <v>1.1000000000000001</v>
      </c>
      <c r="P159" s="14">
        <v>2.87</v>
      </c>
      <c r="Q159">
        <v>1095</v>
      </c>
    </row>
    <row r="160" spans="3:17" x14ac:dyDescent="0.25">
      <c r="C160" s="15" t="s">
        <v>265</v>
      </c>
      <c r="D160" s="14" t="s">
        <v>13</v>
      </c>
      <c r="E160" s="14">
        <v>13.2799999999999</v>
      </c>
      <c r="F160" s="14">
        <v>1.6399999999999899</v>
      </c>
      <c r="G160" s="14">
        <v>2.8399999999999901</v>
      </c>
      <c r="H160" s="14">
        <v>15.5</v>
      </c>
      <c r="I160" s="14">
        <v>110</v>
      </c>
      <c r="J160" s="14">
        <v>2.6</v>
      </c>
      <c r="K160" s="14">
        <v>2.68</v>
      </c>
      <c r="L160" s="14">
        <v>0.34</v>
      </c>
      <c r="M160" s="14">
        <v>1.36</v>
      </c>
      <c r="N160" s="14">
        <v>4.5999999999999899</v>
      </c>
      <c r="O160" s="14">
        <v>1.0900000000000001</v>
      </c>
      <c r="P160" s="14">
        <v>2.77999999999999</v>
      </c>
      <c r="Q160">
        <v>880</v>
      </c>
    </row>
    <row r="161" spans="3:17" x14ac:dyDescent="0.25">
      <c r="C161" s="15" t="s">
        <v>266</v>
      </c>
      <c r="D161" s="14" t="s">
        <v>13</v>
      </c>
      <c r="E161" s="14">
        <v>13.05</v>
      </c>
      <c r="F161" s="14">
        <v>1.6499999999999899</v>
      </c>
      <c r="G161" s="14">
        <v>2.5499999999999901</v>
      </c>
      <c r="H161" s="14">
        <v>18</v>
      </c>
      <c r="I161" s="14">
        <v>98</v>
      </c>
      <c r="J161" s="14">
        <v>2.4500000000000002</v>
      </c>
      <c r="K161" s="14">
        <v>2.4300000000000002</v>
      </c>
      <c r="L161" s="14">
        <v>0.28999999999999898</v>
      </c>
      <c r="M161" s="14">
        <v>1.43999999999999</v>
      </c>
      <c r="N161" s="14">
        <v>4.25</v>
      </c>
      <c r="O161" s="14">
        <v>1.1200000000000001</v>
      </c>
      <c r="P161" s="14">
        <v>2.50999999999999</v>
      </c>
      <c r="Q161">
        <v>1105</v>
      </c>
    </row>
    <row r="162" spans="3:17" x14ac:dyDescent="0.25">
      <c r="C162" s="15" t="s">
        <v>268</v>
      </c>
      <c r="D162" s="14" t="s">
        <v>13</v>
      </c>
      <c r="E162" s="14">
        <v>14.22</v>
      </c>
      <c r="F162" s="14">
        <v>3.99</v>
      </c>
      <c r="G162" s="14">
        <v>2.50999999999999</v>
      </c>
      <c r="H162" s="14">
        <v>13.1999999999999</v>
      </c>
      <c r="I162" s="14">
        <v>128</v>
      </c>
      <c r="J162" s="14">
        <v>3</v>
      </c>
      <c r="K162" s="14">
        <v>3.04</v>
      </c>
      <c r="L162" s="14">
        <v>0.2</v>
      </c>
      <c r="M162" s="14">
        <v>2.08</v>
      </c>
      <c r="N162" s="14">
        <v>5.0999999999999899</v>
      </c>
      <c r="O162" s="14">
        <v>0.89</v>
      </c>
      <c r="P162" s="14">
        <v>3.52999999999999</v>
      </c>
      <c r="Q162">
        <v>760</v>
      </c>
    </row>
    <row r="163" spans="3:17" x14ac:dyDescent="0.25">
      <c r="C163" s="15" t="s">
        <v>269</v>
      </c>
      <c r="D163" s="14" t="s">
        <v>13</v>
      </c>
      <c r="E163" s="14">
        <v>13.56</v>
      </c>
      <c r="F163" s="14">
        <v>1.71</v>
      </c>
      <c r="G163" s="14">
        <v>2.31</v>
      </c>
      <c r="H163" s="14">
        <v>16.1999999999999</v>
      </c>
      <c r="I163" s="14">
        <v>117</v>
      </c>
      <c r="J163" s="14">
        <v>3.1499999999999901</v>
      </c>
      <c r="K163" s="14">
        <v>3.29</v>
      </c>
      <c r="L163" s="14">
        <v>0.34</v>
      </c>
      <c r="M163" s="14">
        <v>2.3399999999999901</v>
      </c>
      <c r="N163" s="14">
        <v>6.1299999999999901</v>
      </c>
      <c r="O163" s="14">
        <v>0.94999999999999896</v>
      </c>
      <c r="P163" s="14">
        <v>3.3799999999999901</v>
      </c>
      <c r="Q163">
        <v>795</v>
      </c>
    </row>
    <row r="164" spans="3:17" x14ac:dyDescent="0.25">
      <c r="C164" s="15" t="s">
        <v>273</v>
      </c>
      <c r="D164" s="14" t="s">
        <v>13</v>
      </c>
      <c r="E164" s="14">
        <v>13.05</v>
      </c>
      <c r="F164" s="14">
        <v>1.77</v>
      </c>
      <c r="G164" s="14">
        <v>2.1</v>
      </c>
      <c r="H164" s="14">
        <v>17</v>
      </c>
      <c r="I164" s="14">
        <v>107</v>
      </c>
      <c r="J164" s="14">
        <v>3</v>
      </c>
      <c r="K164" s="14">
        <v>3</v>
      </c>
      <c r="L164" s="14">
        <v>0.28000000000000003</v>
      </c>
      <c r="M164" s="14">
        <v>2.02999999999999</v>
      </c>
      <c r="N164" s="14">
        <v>5.04</v>
      </c>
      <c r="O164" s="14">
        <v>0.88</v>
      </c>
      <c r="P164" s="14">
        <v>3.35</v>
      </c>
      <c r="Q164">
        <v>885</v>
      </c>
    </row>
    <row r="165" spans="3:17" x14ac:dyDescent="0.25">
      <c r="C165" s="15" t="s">
        <v>274</v>
      </c>
      <c r="D165" s="14" t="s">
        <v>13</v>
      </c>
      <c r="E165" s="14">
        <v>14.21</v>
      </c>
      <c r="F165" s="14">
        <v>4.04</v>
      </c>
      <c r="G165" s="14">
        <v>2.4399999999999902</v>
      </c>
      <c r="H165" s="14">
        <v>18.899999999999899</v>
      </c>
      <c r="I165" s="14">
        <v>111</v>
      </c>
      <c r="J165" s="14">
        <v>2.85</v>
      </c>
      <c r="K165" s="14">
        <v>2.6499999999999901</v>
      </c>
      <c r="L165" s="14">
        <v>0.29999999999999899</v>
      </c>
      <c r="M165" s="14">
        <v>1.25</v>
      </c>
      <c r="N165" s="14">
        <v>5.24</v>
      </c>
      <c r="O165" s="14">
        <v>0.87</v>
      </c>
      <c r="P165" s="14">
        <v>3.33</v>
      </c>
      <c r="Q165">
        <v>1080</v>
      </c>
    </row>
    <row r="166" spans="3:17" x14ac:dyDescent="0.25">
      <c r="C166" s="15" t="s">
        <v>275</v>
      </c>
      <c r="D166" s="14" t="s">
        <v>13</v>
      </c>
      <c r="E166" s="14">
        <v>14.38</v>
      </c>
      <c r="F166" s="14">
        <v>3.5899999999999901</v>
      </c>
      <c r="G166" s="14">
        <v>2.27999999999999</v>
      </c>
      <c r="H166" s="14">
        <v>16</v>
      </c>
      <c r="I166" s="14">
        <v>102</v>
      </c>
      <c r="J166" s="14">
        <v>3.25</v>
      </c>
      <c r="K166" s="14">
        <v>3.1699999999999902</v>
      </c>
      <c r="L166" s="14">
        <v>0.27</v>
      </c>
      <c r="M166" s="14">
        <v>2.1899999999999902</v>
      </c>
      <c r="N166" s="14">
        <v>4.9000000000000004</v>
      </c>
      <c r="O166" s="14">
        <v>1.04</v>
      </c>
      <c r="P166" s="14">
        <v>3.4399999999999902</v>
      </c>
      <c r="Q166">
        <v>1065</v>
      </c>
    </row>
    <row r="167" spans="3:17" x14ac:dyDescent="0.25">
      <c r="C167" s="15" t="s">
        <v>277</v>
      </c>
      <c r="D167" s="14" t="s">
        <v>13</v>
      </c>
      <c r="E167" s="14">
        <v>14.1</v>
      </c>
      <c r="F167" s="14">
        <v>2.02</v>
      </c>
      <c r="G167" s="14">
        <v>2.3999999999999901</v>
      </c>
      <c r="H167" s="14">
        <v>18.8</v>
      </c>
      <c r="I167" s="14">
        <v>103</v>
      </c>
      <c r="J167" s="14">
        <v>2.75</v>
      </c>
      <c r="K167" s="14">
        <v>2.9199999999999902</v>
      </c>
      <c r="L167" s="14">
        <v>0.32</v>
      </c>
      <c r="M167" s="14">
        <v>2.3799999999999901</v>
      </c>
      <c r="N167" s="14">
        <v>6.2</v>
      </c>
      <c r="O167" s="14">
        <v>1.07</v>
      </c>
      <c r="P167" s="14">
        <v>2.75</v>
      </c>
      <c r="Q167">
        <v>1060</v>
      </c>
    </row>
    <row r="168" spans="3:17" x14ac:dyDescent="0.25">
      <c r="C168" s="15" t="s">
        <v>278</v>
      </c>
      <c r="D168" s="14" t="s">
        <v>13</v>
      </c>
      <c r="E168" s="14">
        <v>13.94</v>
      </c>
      <c r="F168" s="14">
        <v>1.73</v>
      </c>
      <c r="G168" s="14">
        <v>2.27</v>
      </c>
      <c r="H168" s="14">
        <v>17.399999999999899</v>
      </c>
      <c r="I168" s="14">
        <v>108</v>
      </c>
      <c r="J168" s="14">
        <v>2.8799999999999901</v>
      </c>
      <c r="K168" s="14">
        <v>3.54</v>
      </c>
      <c r="L168" s="14">
        <v>0.32</v>
      </c>
      <c r="M168" s="14">
        <v>2.08</v>
      </c>
      <c r="N168" s="14">
        <v>8.9</v>
      </c>
      <c r="O168" s="14">
        <v>1.1200000000000001</v>
      </c>
      <c r="P168" s="14">
        <v>3.1</v>
      </c>
      <c r="Q168">
        <v>1260</v>
      </c>
    </row>
    <row r="169" spans="3:17" x14ac:dyDescent="0.25">
      <c r="C169" s="15" t="s">
        <v>280</v>
      </c>
      <c r="D169" s="14" t="s">
        <v>13</v>
      </c>
      <c r="E169" s="14">
        <v>13.83</v>
      </c>
      <c r="F169" s="14">
        <v>1.6499999999999899</v>
      </c>
      <c r="G169" s="14">
        <v>2.6</v>
      </c>
      <c r="H169" s="14">
        <v>17.1999999999999</v>
      </c>
      <c r="I169" s="14">
        <v>94</v>
      </c>
      <c r="J169" s="14">
        <v>2.4500000000000002</v>
      </c>
      <c r="K169" s="14">
        <v>2.99</v>
      </c>
      <c r="L169" s="14">
        <v>0.22</v>
      </c>
      <c r="M169" s="14">
        <v>2.29</v>
      </c>
      <c r="N169" s="14">
        <v>5.5999999999999899</v>
      </c>
      <c r="O169" s="14">
        <v>1.24</v>
      </c>
      <c r="P169" s="14">
        <v>3.37</v>
      </c>
      <c r="Q169">
        <v>1265</v>
      </c>
    </row>
    <row r="170" spans="3:17" x14ac:dyDescent="0.25">
      <c r="C170" s="15" t="s">
        <v>281</v>
      </c>
      <c r="D170" s="14" t="s">
        <v>13</v>
      </c>
      <c r="E170" s="14">
        <v>13.82</v>
      </c>
      <c r="F170" s="14">
        <v>1.75</v>
      </c>
      <c r="G170" s="14">
        <v>2.4199999999999902</v>
      </c>
      <c r="H170" s="14">
        <v>14</v>
      </c>
      <c r="I170" s="14">
        <v>111</v>
      </c>
      <c r="J170" s="14">
        <v>3.8799999999999901</v>
      </c>
      <c r="K170" s="14">
        <v>3.74</v>
      </c>
      <c r="L170" s="14">
        <v>0.32</v>
      </c>
      <c r="M170" s="14">
        <v>1.87</v>
      </c>
      <c r="N170" s="14">
        <v>7.0499999999999901</v>
      </c>
      <c r="O170" s="14">
        <v>1.01</v>
      </c>
      <c r="P170" s="14">
        <v>3.25999999999999</v>
      </c>
      <c r="Q170">
        <v>1190</v>
      </c>
    </row>
    <row r="171" spans="3:17" x14ac:dyDescent="0.25">
      <c r="C171" s="15" t="s">
        <v>282</v>
      </c>
      <c r="D171" s="14" t="s">
        <v>13</v>
      </c>
      <c r="E171" s="14">
        <v>13.77</v>
      </c>
      <c r="F171" s="14">
        <v>1.8999999999999899</v>
      </c>
      <c r="G171" s="14">
        <v>2.68</v>
      </c>
      <c r="H171" s="14">
        <v>17.100000000000001</v>
      </c>
      <c r="I171" s="14">
        <v>115</v>
      </c>
      <c r="J171" s="14">
        <v>3</v>
      </c>
      <c r="K171" s="14">
        <v>2.79</v>
      </c>
      <c r="L171" s="14">
        <v>0.39</v>
      </c>
      <c r="M171" s="14">
        <v>1.6799999999999899</v>
      </c>
      <c r="N171" s="14">
        <v>6.2999999999999901</v>
      </c>
      <c r="O171" s="14">
        <v>1.1299999999999899</v>
      </c>
      <c r="P171" s="14">
        <v>2.93</v>
      </c>
      <c r="Q171">
        <v>1375</v>
      </c>
    </row>
    <row r="172" spans="3:17" x14ac:dyDescent="0.25">
      <c r="C172" s="15" t="s">
        <v>283</v>
      </c>
      <c r="D172" s="14" t="s">
        <v>13</v>
      </c>
      <c r="E172" s="14">
        <v>13.74</v>
      </c>
      <c r="F172" s="14">
        <v>1.6699999999999899</v>
      </c>
      <c r="G172" s="14">
        <v>2.25</v>
      </c>
      <c r="H172" s="14">
        <v>16.399999999999899</v>
      </c>
      <c r="I172" s="14">
        <v>118</v>
      </c>
      <c r="J172" s="14">
        <v>2.6</v>
      </c>
      <c r="K172" s="14">
        <v>2.8999999999999901</v>
      </c>
      <c r="L172" s="14">
        <v>0.20999999999999899</v>
      </c>
      <c r="M172" s="14">
        <v>1.62</v>
      </c>
      <c r="N172" s="14">
        <v>5.8499999999999899</v>
      </c>
      <c r="O172" s="14">
        <v>0.92</v>
      </c>
      <c r="P172" s="14">
        <v>3.2</v>
      </c>
      <c r="Q172">
        <v>1060</v>
      </c>
    </row>
    <row r="173" spans="3:17" x14ac:dyDescent="0.25">
      <c r="C173" s="15" t="s">
        <v>284</v>
      </c>
      <c r="D173" s="14" t="s">
        <v>13</v>
      </c>
      <c r="E173" s="14">
        <v>13.56</v>
      </c>
      <c r="F173" s="14">
        <v>1.73</v>
      </c>
      <c r="G173" s="14">
        <v>2.46</v>
      </c>
      <c r="H173" s="14">
        <v>20.5</v>
      </c>
      <c r="I173" s="14">
        <v>116</v>
      </c>
      <c r="J173" s="14">
        <v>2.96</v>
      </c>
      <c r="K173" s="14">
        <v>2.77999999999999</v>
      </c>
      <c r="L173" s="14">
        <v>0.2</v>
      </c>
      <c r="M173" s="14">
        <v>2.4500000000000002</v>
      </c>
      <c r="N173" s="14">
        <v>6.25</v>
      </c>
      <c r="O173" s="14">
        <v>0.97999999999999898</v>
      </c>
      <c r="P173" s="14">
        <v>3.02999999999999</v>
      </c>
      <c r="Q173">
        <v>1120</v>
      </c>
    </row>
    <row r="174" spans="3:17" x14ac:dyDescent="0.25">
      <c r="C174" s="15" t="s">
        <v>285</v>
      </c>
      <c r="D174" s="14" t="s">
        <v>13</v>
      </c>
      <c r="E174" s="14">
        <v>14.22</v>
      </c>
      <c r="F174" s="14">
        <v>1.7</v>
      </c>
      <c r="G174" s="14">
        <v>2.2999999999999901</v>
      </c>
      <c r="H174" s="14">
        <v>16.3</v>
      </c>
      <c r="I174" s="14">
        <v>118</v>
      </c>
      <c r="J174" s="14">
        <v>3.2</v>
      </c>
      <c r="K174" s="14">
        <v>3</v>
      </c>
      <c r="L174" s="14">
        <v>0.26</v>
      </c>
      <c r="M174" s="14">
        <v>2.02999999999999</v>
      </c>
      <c r="N174" s="14">
        <v>6.3799999999999901</v>
      </c>
      <c r="O174" s="14">
        <v>0.93999999999999895</v>
      </c>
      <c r="P174" s="14">
        <v>3.31</v>
      </c>
      <c r="Q174">
        <v>970</v>
      </c>
    </row>
    <row r="175" spans="3:17" x14ac:dyDescent="0.25">
      <c r="C175" s="15" t="s">
        <v>287</v>
      </c>
      <c r="D175" s="14" t="s">
        <v>13</v>
      </c>
      <c r="E175" s="14">
        <v>13.72</v>
      </c>
      <c r="F175" s="14">
        <v>1.4299999999999899</v>
      </c>
      <c r="G175" s="14">
        <v>2.5</v>
      </c>
      <c r="H175" s="14">
        <v>16.6999999999999</v>
      </c>
      <c r="I175" s="14">
        <v>108</v>
      </c>
      <c r="J175" s="14">
        <v>3.3999999999999901</v>
      </c>
      <c r="K175" s="14">
        <v>3.6699999999999902</v>
      </c>
      <c r="L175" s="14">
        <v>0.19</v>
      </c>
      <c r="M175" s="14">
        <v>2.04</v>
      </c>
      <c r="N175" s="14">
        <v>6.7999999999999901</v>
      </c>
      <c r="O175" s="14">
        <v>0.89</v>
      </c>
      <c r="P175" s="14">
        <v>2.87</v>
      </c>
      <c r="Q175">
        <v>1285</v>
      </c>
    </row>
    <row r="176" spans="3:17" x14ac:dyDescent="0.25">
      <c r="C176" s="15" t="s">
        <v>288</v>
      </c>
      <c r="D176" s="14" t="s">
        <v>14</v>
      </c>
      <c r="E176" s="14">
        <v>12.3699999999999</v>
      </c>
      <c r="F176" s="14">
        <v>0.93999999999999895</v>
      </c>
      <c r="G176" s="14">
        <v>1.36</v>
      </c>
      <c r="H176" s="14">
        <v>10.6</v>
      </c>
      <c r="I176" s="14">
        <v>88</v>
      </c>
      <c r="J176" s="14">
        <v>1.98</v>
      </c>
      <c r="K176" s="14">
        <v>0.56999999999999895</v>
      </c>
      <c r="L176" s="14">
        <v>0.28000000000000003</v>
      </c>
      <c r="M176" s="14">
        <v>0.41999999999999899</v>
      </c>
      <c r="N176" s="14">
        <v>1.95</v>
      </c>
      <c r="O176" s="14">
        <v>1.05</v>
      </c>
      <c r="P176" s="14">
        <v>1.82</v>
      </c>
      <c r="Q176">
        <v>520</v>
      </c>
    </row>
    <row r="177" spans="3:17" x14ac:dyDescent="0.25">
      <c r="C177" s="15" t="s">
        <v>290</v>
      </c>
      <c r="D177" s="14" t="s">
        <v>14</v>
      </c>
      <c r="E177" s="14">
        <v>12.64</v>
      </c>
      <c r="F177" s="14">
        <v>1.36</v>
      </c>
      <c r="G177" s="14">
        <v>2.02</v>
      </c>
      <c r="H177" s="14">
        <v>16.8</v>
      </c>
      <c r="I177" s="14">
        <v>100</v>
      </c>
      <c r="J177" s="14">
        <v>2.02</v>
      </c>
      <c r="K177" s="14">
        <v>1.4099999999999899</v>
      </c>
      <c r="L177" s="14">
        <v>0.53</v>
      </c>
      <c r="M177" s="14">
        <v>0.62</v>
      </c>
      <c r="N177" s="14">
        <v>5.75</v>
      </c>
      <c r="O177" s="14">
        <v>0.97999999999999898</v>
      </c>
      <c r="P177" s="14">
        <v>1.59</v>
      </c>
      <c r="Q177">
        <v>450</v>
      </c>
    </row>
    <row r="178" spans="3:17" x14ac:dyDescent="0.25">
      <c r="C178" s="15" t="s">
        <v>291</v>
      </c>
      <c r="D178" s="14" t="s">
        <v>14</v>
      </c>
      <c r="E178" s="14">
        <v>13.67</v>
      </c>
      <c r="F178" s="14">
        <v>1.25</v>
      </c>
      <c r="G178" s="14">
        <v>1.9199999999999899</v>
      </c>
      <c r="H178" s="14">
        <v>18</v>
      </c>
      <c r="I178" s="14">
        <v>94</v>
      </c>
      <c r="J178" s="14">
        <v>2.1</v>
      </c>
      <c r="K178" s="14">
        <v>1.79</v>
      </c>
      <c r="L178" s="14">
        <v>0.32</v>
      </c>
      <c r="M178" s="14">
        <v>0.72999999999999898</v>
      </c>
      <c r="N178" s="14">
        <v>3.7999999999999901</v>
      </c>
      <c r="O178" s="14">
        <v>1.23</v>
      </c>
      <c r="P178" s="14">
        <v>2.46</v>
      </c>
      <c r="Q178">
        <v>630</v>
      </c>
    </row>
    <row r="179" spans="3:17" x14ac:dyDescent="0.25">
      <c r="C179" s="15" t="s">
        <v>292</v>
      </c>
      <c r="D179" s="14" t="s">
        <v>14</v>
      </c>
      <c r="E179" s="14">
        <v>12.3699999999999</v>
      </c>
      <c r="F179" s="14">
        <v>1.1299999999999899</v>
      </c>
      <c r="G179" s="14">
        <v>2.16</v>
      </c>
      <c r="H179" s="14">
        <v>19</v>
      </c>
      <c r="I179" s="14">
        <v>87</v>
      </c>
      <c r="J179" s="14">
        <v>3.5</v>
      </c>
      <c r="K179" s="14">
        <v>3.1</v>
      </c>
      <c r="L179" s="14">
        <v>0.19</v>
      </c>
      <c r="M179" s="14">
        <v>1.87</v>
      </c>
      <c r="N179" s="14">
        <v>4.45</v>
      </c>
      <c r="O179" s="14">
        <v>1.22</v>
      </c>
      <c r="P179" s="14">
        <v>2.87</v>
      </c>
      <c r="Q179">
        <v>420</v>
      </c>
    </row>
    <row r="180" spans="3:17" x14ac:dyDescent="0.25">
      <c r="C180" s="15" t="s">
        <v>293</v>
      </c>
      <c r="D180" s="14" t="s">
        <v>14</v>
      </c>
      <c r="E180" s="14">
        <v>12.17</v>
      </c>
      <c r="F180" s="14">
        <v>1.45</v>
      </c>
      <c r="G180" s="14">
        <v>2.52999999999999</v>
      </c>
      <c r="H180" s="14">
        <v>19</v>
      </c>
      <c r="I180" s="14">
        <v>104</v>
      </c>
      <c r="J180" s="14">
        <v>1.8899999999999899</v>
      </c>
      <c r="K180" s="14">
        <v>1.75</v>
      </c>
      <c r="L180" s="14">
        <v>0.45</v>
      </c>
      <c r="M180" s="14">
        <v>1.03</v>
      </c>
      <c r="N180" s="14">
        <v>2.95</v>
      </c>
      <c r="O180" s="14">
        <v>1.45</v>
      </c>
      <c r="P180" s="14">
        <v>2.23</v>
      </c>
      <c r="Q180">
        <v>355</v>
      </c>
    </row>
    <row r="181" spans="3:17" x14ac:dyDescent="0.25">
      <c r="C181" s="15" t="s">
        <v>294</v>
      </c>
      <c r="D181" s="14" t="s">
        <v>14</v>
      </c>
      <c r="E181" s="14">
        <v>12.3699999999999</v>
      </c>
      <c r="F181" s="14">
        <v>1.21</v>
      </c>
      <c r="G181" s="14">
        <v>2.56</v>
      </c>
      <c r="H181" s="14">
        <v>18.100000000000001</v>
      </c>
      <c r="I181" s="14">
        <v>98</v>
      </c>
      <c r="J181" s="14">
        <v>2.4199999999999902</v>
      </c>
      <c r="K181" s="14">
        <v>2.6499999999999901</v>
      </c>
      <c r="L181" s="14">
        <v>0.37</v>
      </c>
      <c r="M181" s="14">
        <v>2.08</v>
      </c>
      <c r="N181" s="14">
        <v>4.5999999999999899</v>
      </c>
      <c r="O181" s="14">
        <v>1.18999999999999</v>
      </c>
      <c r="P181" s="14">
        <v>2.2999999999999901</v>
      </c>
      <c r="Q181">
        <v>678</v>
      </c>
    </row>
    <row r="182" spans="3:17" x14ac:dyDescent="0.25">
      <c r="C182" s="15" t="s">
        <v>295</v>
      </c>
      <c r="D182" s="14" t="s">
        <v>14</v>
      </c>
      <c r="E182" s="14">
        <v>13.1099999999999</v>
      </c>
      <c r="F182" s="14">
        <v>1.01</v>
      </c>
      <c r="G182" s="14">
        <v>1.7</v>
      </c>
      <c r="H182" s="14">
        <v>15</v>
      </c>
      <c r="I182" s="14">
        <v>78</v>
      </c>
      <c r="J182" s="14">
        <v>2.98</v>
      </c>
      <c r="K182" s="14">
        <v>3.18</v>
      </c>
      <c r="L182" s="14">
        <v>0.26</v>
      </c>
      <c r="M182" s="14">
        <v>2.27999999999999</v>
      </c>
      <c r="N182" s="14">
        <v>5.2999999999999901</v>
      </c>
      <c r="O182" s="14">
        <v>1.1200000000000001</v>
      </c>
      <c r="P182" s="14">
        <v>3.18</v>
      </c>
      <c r="Q182">
        <v>502</v>
      </c>
    </row>
    <row r="183" spans="3:17" x14ac:dyDescent="0.25">
      <c r="C183" s="15" t="s">
        <v>296</v>
      </c>
      <c r="D183" s="14" t="s">
        <v>14</v>
      </c>
      <c r="E183" s="14">
        <v>12.3699999999999</v>
      </c>
      <c r="F183" s="14">
        <v>1.1699999999999899</v>
      </c>
      <c r="G183" s="14">
        <v>1.9199999999999899</v>
      </c>
      <c r="H183" s="14">
        <v>19.600000000000001</v>
      </c>
      <c r="I183" s="14">
        <v>78</v>
      </c>
      <c r="J183" s="14">
        <v>2.1099999999999901</v>
      </c>
      <c r="K183" s="14">
        <v>2</v>
      </c>
      <c r="L183" s="14">
        <v>0.27</v>
      </c>
      <c r="M183" s="14">
        <v>1.04</v>
      </c>
      <c r="N183" s="14">
        <v>4.6799999999999899</v>
      </c>
      <c r="O183" s="14">
        <v>1.1200000000000001</v>
      </c>
      <c r="P183" s="14">
        <v>3.48</v>
      </c>
      <c r="Q183">
        <v>510</v>
      </c>
    </row>
    <row r="184" spans="3:17" x14ac:dyDescent="0.25">
      <c r="C184" s="15" t="s">
        <v>297</v>
      </c>
      <c r="D184" s="14" t="s">
        <v>14</v>
      </c>
      <c r="E184" s="14">
        <v>13.34</v>
      </c>
      <c r="F184" s="14">
        <v>0.93999999999999895</v>
      </c>
      <c r="G184" s="14">
        <v>2.3599999999999901</v>
      </c>
      <c r="H184" s="14">
        <v>17</v>
      </c>
      <c r="I184" s="14">
        <v>110</v>
      </c>
      <c r="J184" s="14">
        <v>2.52999999999999</v>
      </c>
      <c r="K184" s="14">
        <v>1.3</v>
      </c>
      <c r="L184" s="14">
        <v>0.55000000000000004</v>
      </c>
      <c r="M184" s="14">
        <v>0.41999999999999899</v>
      </c>
      <c r="N184" s="14">
        <v>3.1699999999999902</v>
      </c>
      <c r="O184" s="14">
        <v>1.02</v>
      </c>
      <c r="P184" s="14">
        <v>1.9299999999999899</v>
      </c>
      <c r="Q184">
        <v>750</v>
      </c>
    </row>
    <row r="185" spans="3:17" x14ac:dyDescent="0.25">
      <c r="C185" s="15" t="s">
        <v>301</v>
      </c>
      <c r="D185" s="14" t="s">
        <v>14</v>
      </c>
      <c r="E185" s="14">
        <v>13.49</v>
      </c>
      <c r="F185" s="14">
        <v>1.6599999999999899</v>
      </c>
      <c r="G185" s="14">
        <v>2.2400000000000002</v>
      </c>
      <c r="H185" s="14">
        <v>24</v>
      </c>
      <c r="I185" s="14">
        <v>87</v>
      </c>
      <c r="J185" s="14">
        <v>1.8799999999999899</v>
      </c>
      <c r="K185" s="14">
        <v>1.84</v>
      </c>
      <c r="L185" s="14">
        <v>0.27</v>
      </c>
      <c r="M185" s="14">
        <v>1.03</v>
      </c>
      <c r="N185" s="14">
        <v>3.74</v>
      </c>
      <c r="O185" s="14">
        <v>0.97999999999999898</v>
      </c>
      <c r="P185" s="14">
        <v>2.77999999999999</v>
      </c>
      <c r="Q185">
        <v>472</v>
      </c>
    </row>
    <row r="186" spans="3:17" x14ac:dyDescent="0.25">
      <c r="C186" s="15" t="s">
        <v>302</v>
      </c>
      <c r="D186" s="14" t="s">
        <v>14</v>
      </c>
      <c r="E186" s="14">
        <v>12.99</v>
      </c>
      <c r="F186" s="14">
        <v>1.6699999999999899</v>
      </c>
      <c r="G186" s="14">
        <v>2.6</v>
      </c>
      <c r="H186" s="14">
        <v>30</v>
      </c>
      <c r="I186" s="14">
        <v>139</v>
      </c>
      <c r="J186" s="14">
        <v>3.2999999999999901</v>
      </c>
      <c r="K186" s="14">
        <v>2.89</v>
      </c>
      <c r="L186" s="14">
        <v>0.20999999999999899</v>
      </c>
      <c r="M186" s="14">
        <v>1.96</v>
      </c>
      <c r="N186" s="14">
        <v>3.35</v>
      </c>
      <c r="O186" s="14">
        <v>1.31</v>
      </c>
      <c r="P186" s="14">
        <v>3.5</v>
      </c>
      <c r="Q186">
        <v>985</v>
      </c>
    </row>
    <row r="187" spans="3:17" x14ac:dyDescent="0.25">
      <c r="C187" s="15" t="s">
        <v>303</v>
      </c>
      <c r="D187" s="14" t="s">
        <v>14</v>
      </c>
      <c r="E187" s="14">
        <v>11.96</v>
      </c>
      <c r="F187" s="14">
        <v>1.0900000000000001</v>
      </c>
      <c r="G187" s="14">
        <v>2.2999999999999901</v>
      </c>
      <c r="H187" s="14">
        <v>21</v>
      </c>
      <c r="I187" s="14">
        <v>101</v>
      </c>
      <c r="J187" s="14">
        <v>3.3799999999999901</v>
      </c>
      <c r="K187" s="14">
        <v>2.14</v>
      </c>
      <c r="L187" s="14">
        <v>0.13</v>
      </c>
      <c r="M187" s="14">
        <v>1.6499999999999899</v>
      </c>
      <c r="N187" s="14">
        <v>3.21</v>
      </c>
      <c r="O187" s="14">
        <v>0.98999999999999899</v>
      </c>
      <c r="P187" s="14">
        <v>3.1299999999999901</v>
      </c>
      <c r="Q187">
        <v>886</v>
      </c>
    </row>
    <row r="188" spans="3:17" x14ac:dyDescent="0.25">
      <c r="C188" s="15" t="s">
        <v>305</v>
      </c>
      <c r="D188" s="14" t="s">
        <v>14</v>
      </c>
      <c r="E188" s="14">
        <v>13.0299999999999</v>
      </c>
      <c r="F188" s="14">
        <v>0.9</v>
      </c>
      <c r="G188" s="14">
        <v>1.71</v>
      </c>
      <c r="H188" s="14">
        <v>16</v>
      </c>
      <c r="I188" s="14">
        <v>86</v>
      </c>
      <c r="J188" s="14">
        <v>1.95</v>
      </c>
      <c r="K188" s="14">
        <v>2.02999999999999</v>
      </c>
      <c r="L188" s="14">
        <v>0.23999999999999899</v>
      </c>
      <c r="M188" s="14">
        <v>1.46</v>
      </c>
      <c r="N188" s="14">
        <v>4.5999999999999899</v>
      </c>
      <c r="O188" s="14">
        <v>1.18999999999999</v>
      </c>
      <c r="P188" s="14">
        <v>2.48</v>
      </c>
      <c r="Q188">
        <v>392</v>
      </c>
    </row>
    <row r="189" spans="3:17" x14ac:dyDescent="0.25">
      <c r="C189" s="15" t="s">
        <v>307</v>
      </c>
      <c r="D189" s="14" t="s">
        <v>14</v>
      </c>
      <c r="E189" s="14">
        <v>12.33</v>
      </c>
      <c r="F189" s="14">
        <v>0.98999999999999899</v>
      </c>
      <c r="G189" s="14">
        <v>1.95</v>
      </c>
      <c r="H189" s="14">
        <v>14.8</v>
      </c>
      <c r="I189" s="14">
        <v>136</v>
      </c>
      <c r="J189" s="14">
        <v>1.8999999999999899</v>
      </c>
      <c r="K189" s="14">
        <v>1.85</v>
      </c>
      <c r="L189" s="14">
        <v>0.34999999999999898</v>
      </c>
      <c r="M189" s="14">
        <v>2.75999999999999</v>
      </c>
      <c r="N189" s="14">
        <v>3.3999999999999901</v>
      </c>
      <c r="O189" s="14">
        <v>1.06</v>
      </c>
      <c r="P189" s="14">
        <v>2.31</v>
      </c>
      <c r="Q189">
        <v>750</v>
      </c>
    </row>
    <row r="190" spans="3:17" x14ac:dyDescent="0.25">
      <c r="C190" s="15" t="s">
        <v>308</v>
      </c>
      <c r="D190" s="14" t="s">
        <v>14</v>
      </c>
      <c r="E190" s="14">
        <v>12.6999999999999</v>
      </c>
      <c r="F190" s="14">
        <v>3.87</v>
      </c>
      <c r="G190" s="14">
        <v>2.3999999999999901</v>
      </c>
      <c r="H190" s="14">
        <v>23</v>
      </c>
      <c r="I190" s="14">
        <v>101</v>
      </c>
      <c r="J190" s="14">
        <v>2.83</v>
      </c>
      <c r="K190" s="14">
        <v>2.5499999999999901</v>
      </c>
      <c r="L190" s="14">
        <v>0.42999999999999899</v>
      </c>
      <c r="M190" s="14">
        <v>1.95</v>
      </c>
      <c r="N190" s="14">
        <v>2.5699999999999901</v>
      </c>
      <c r="O190" s="14">
        <v>1.18999999999999</v>
      </c>
      <c r="P190" s="14">
        <v>3.1299999999999901</v>
      </c>
      <c r="Q190">
        <v>463</v>
      </c>
    </row>
    <row r="191" spans="3:17" x14ac:dyDescent="0.25">
      <c r="C191" s="15" t="s">
        <v>309</v>
      </c>
      <c r="D191" s="14" t="s">
        <v>14</v>
      </c>
      <c r="E191" s="14">
        <v>12</v>
      </c>
      <c r="F191" s="14">
        <v>0.92</v>
      </c>
      <c r="G191" s="14">
        <v>2</v>
      </c>
      <c r="H191" s="14">
        <v>19</v>
      </c>
      <c r="I191" s="14">
        <v>86</v>
      </c>
      <c r="J191" s="14">
        <v>2.4199999999999902</v>
      </c>
      <c r="K191" s="14">
        <v>2.25999999999999</v>
      </c>
      <c r="L191" s="14">
        <v>0.29999999999999899</v>
      </c>
      <c r="M191" s="14">
        <v>1.4299999999999899</v>
      </c>
      <c r="N191" s="14">
        <v>2.5</v>
      </c>
      <c r="O191" s="14">
        <v>1.3799999999999899</v>
      </c>
      <c r="P191" s="14">
        <v>3.12</v>
      </c>
      <c r="Q191">
        <v>278</v>
      </c>
    </row>
    <row r="192" spans="3:17" x14ac:dyDescent="0.25">
      <c r="C192" s="15" t="s">
        <v>312</v>
      </c>
      <c r="D192" s="14" t="s">
        <v>14</v>
      </c>
      <c r="E192" s="14">
        <v>13.05</v>
      </c>
      <c r="F192" s="14">
        <v>3.8599999999999901</v>
      </c>
      <c r="G192" s="14">
        <v>2.3199999999999901</v>
      </c>
      <c r="H192" s="14">
        <v>22.5</v>
      </c>
      <c r="I192" s="14">
        <v>85</v>
      </c>
      <c r="J192" s="14">
        <v>1.6499999999999899</v>
      </c>
      <c r="K192" s="14">
        <v>1.59</v>
      </c>
      <c r="L192" s="14">
        <v>0.60999999999999899</v>
      </c>
      <c r="M192" s="14">
        <v>1.62</v>
      </c>
      <c r="N192" s="14">
        <v>4.7999999999999901</v>
      </c>
      <c r="O192" s="14">
        <v>0.83999999999999897</v>
      </c>
      <c r="P192" s="14">
        <v>2.00999999999999</v>
      </c>
      <c r="Q192">
        <v>515</v>
      </c>
    </row>
    <row r="193" spans="3:17" x14ac:dyDescent="0.25">
      <c r="C193" s="15" t="s">
        <v>313</v>
      </c>
      <c r="D193" s="14" t="s">
        <v>14</v>
      </c>
      <c r="E193" s="14">
        <v>11.84</v>
      </c>
      <c r="F193" s="14">
        <v>0.89</v>
      </c>
      <c r="G193" s="14">
        <v>2.58</v>
      </c>
      <c r="H193" s="14">
        <v>18</v>
      </c>
      <c r="I193" s="14">
        <v>94</v>
      </c>
      <c r="J193" s="14">
        <v>2.2000000000000002</v>
      </c>
      <c r="K193" s="14">
        <v>2.21</v>
      </c>
      <c r="L193" s="14">
        <v>0.22</v>
      </c>
      <c r="M193" s="14">
        <v>2.35</v>
      </c>
      <c r="N193" s="14">
        <v>3.0499999999999901</v>
      </c>
      <c r="O193" s="14">
        <v>0.79</v>
      </c>
      <c r="P193" s="14">
        <v>3.08</v>
      </c>
      <c r="Q193">
        <v>520</v>
      </c>
    </row>
    <row r="194" spans="3:17" x14ac:dyDescent="0.25">
      <c r="C194" s="15" t="s">
        <v>314</v>
      </c>
      <c r="D194" s="14" t="s">
        <v>14</v>
      </c>
      <c r="E194" s="14">
        <v>12.67</v>
      </c>
      <c r="F194" s="14">
        <v>0.97999999999999898</v>
      </c>
      <c r="G194" s="14">
        <v>2.2400000000000002</v>
      </c>
      <c r="H194" s="14">
        <v>18</v>
      </c>
      <c r="I194" s="14">
        <v>99</v>
      </c>
      <c r="J194" s="14">
        <v>2.2000000000000002</v>
      </c>
      <c r="K194" s="14">
        <v>1.93999999999999</v>
      </c>
      <c r="L194" s="14">
        <v>0.29999999999999899</v>
      </c>
      <c r="M194" s="14">
        <v>1.46</v>
      </c>
      <c r="N194" s="14">
        <v>2.62</v>
      </c>
      <c r="O194" s="14">
        <v>1.23</v>
      </c>
      <c r="P194" s="14">
        <v>3.16</v>
      </c>
      <c r="Q194">
        <v>450</v>
      </c>
    </row>
    <row r="195" spans="3:17" x14ac:dyDescent="0.25">
      <c r="C195" s="15" t="s">
        <v>315</v>
      </c>
      <c r="D195" s="14" t="s">
        <v>14</v>
      </c>
      <c r="E195" s="14">
        <v>12.16</v>
      </c>
      <c r="F195" s="14">
        <v>1.61</v>
      </c>
      <c r="G195" s="14">
        <v>2.31</v>
      </c>
      <c r="H195" s="14">
        <v>22.8</v>
      </c>
      <c r="I195" s="14">
        <v>90</v>
      </c>
      <c r="J195" s="14">
        <v>1.78</v>
      </c>
      <c r="K195" s="14">
        <v>1.68999999999999</v>
      </c>
      <c r="L195" s="14">
        <v>0.42999999999999899</v>
      </c>
      <c r="M195" s="14">
        <v>1.56</v>
      </c>
      <c r="N195" s="14">
        <v>2.4500000000000002</v>
      </c>
      <c r="O195" s="14">
        <v>1.33</v>
      </c>
      <c r="P195" s="14">
        <v>2.25999999999999</v>
      </c>
      <c r="Q195">
        <v>495</v>
      </c>
    </row>
    <row r="196" spans="3:17" x14ac:dyDescent="0.25">
      <c r="C196" s="15" t="s">
        <v>316</v>
      </c>
      <c r="D196" s="14" t="s">
        <v>14</v>
      </c>
      <c r="E196" s="14">
        <v>11.65</v>
      </c>
      <c r="F196" s="14">
        <v>1.6699999999999899</v>
      </c>
      <c r="G196" s="14">
        <v>2.62</v>
      </c>
      <c r="H196" s="14">
        <v>26</v>
      </c>
      <c r="I196" s="14">
        <v>88</v>
      </c>
      <c r="J196" s="14">
        <v>1.9199999999999899</v>
      </c>
      <c r="K196" s="14">
        <v>1.61</v>
      </c>
      <c r="L196" s="14">
        <v>0.4</v>
      </c>
      <c r="M196" s="14">
        <v>1.34</v>
      </c>
      <c r="N196" s="14">
        <v>2.6</v>
      </c>
      <c r="O196" s="14">
        <v>1.36</v>
      </c>
      <c r="P196" s="14">
        <v>3.21</v>
      </c>
      <c r="Q196">
        <v>562</v>
      </c>
    </row>
    <row r="197" spans="3:17" x14ac:dyDescent="0.25">
      <c r="C197" s="15" t="s">
        <v>317</v>
      </c>
      <c r="D197" s="14" t="s">
        <v>14</v>
      </c>
      <c r="E197" s="14">
        <v>11.64</v>
      </c>
      <c r="F197" s="14">
        <v>2.06</v>
      </c>
      <c r="G197" s="14">
        <v>2.46</v>
      </c>
      <c r="H197" s="14">
        <v>21.6</v>
      </c>
      <c r="I197" s="14">
        <v>84</v>
      </c>
      <c r="J197" s="14">
        <v>1.95</v>
      </c>
      <c r="K197" s="14">
        <v>1.68999999999999</v>
      </c>
      <c r="L197" s="14">
        <v>0.47999999999999898</v>
      </c>
      <c r="M197" s="14">
        <v>1.35</v>
      </c>
      <c r="N197" s="14">
        <v>2.7999999999999901</v>
      </c>
      <c r="O197" s="14">
        <v>1</v>
      </c>
      <c r="P197" s="14">
        <v>2.75</v>
      </c>
      <c r="Q197">
        <v>680</v>
      </c>
    </row>
    <row r="198" spans="3:17" x14ac:dyDescent="0.25">
      <c r="C198" s="15" t="s">
        <v>318</v>
      </c>
      <c r="D198" s="14" t="s">
        <v>14</v>
      </c>
      <c r="E198" s="14">
        <v>12.08</v>
      </c>
      <c r="F198" s="14">
        <v>1.33</v>
      </c>
      <c r="G198" s="14">
        <v>2.2999999999999901</v>
      </c>
      <c r="H198" s="14">
        <v>23.6</v>
      </c>
      <c r="I198" s="14">
        <v>70</v>
      </c>
      <c r="J198" s="14">
        <v>2.2000000000000002</v>
      </c>
      <c r="K198" s="14">
        <v>1.59</v>
      </c>
      <c r="L198" s="14">
        <v>0.41999999999999899</v>
      </c>
      <c r="M198" s="14">
        <v>1.3799999999999899</v>
      </c>
      <c r="N198" s="14">
        <v>1.74</v>
      </c>
      <c r="O198" s="14">
        <v>1.07</v>
      </c>
      <c r="P198" s="14">
        <v>3.21</v>
      </c>
      <c r="Q198">
        <v>625</v>
      </c>
    </row>
    <row r="199" spans="3:17" x14ac:dyDescent="0.25">
      <c r="C199" s="15" t="s">
        <v>319</v>
      </c>
      <c r="D199" s="14" t="s">
        <v>14</v>
      </c>
      <c r="E199" s="14">
        <v>12.08</v>
      </c>
      <c r="F199" s="14">
        <v>1.83</v>
      </c>
      <c r="G199" s="14">
        <v>2.3199999999999901</v>
      </c>
      <c r="H199" s="14">
        <v>18.5</v>
      </c>
      <c r="I199" s="14">
        <v>81</v>
      </c>
      <c r="J199" s="14">
        <v>1.6</v>
      </c>
      <c r="K199" s="14">
        <v>1.5</v>
      </c>
      <c r="L199" s="14">
        <v>0.52</v>
      </c>
      <c r="M199" s="14">
        <v>1.6399999999999899</v>
      </c>
      <c r="N199" s="14">
        <v>2.3999999999999901</v>
      </c>
      <c r="O199" s="14">
        <v>1.08</v>
      </c>
      <c r="P199" s="14">
        <v>2.27</v>
      </c>
      <c r="Q199">
        <v>480</v>
      </c>
    </row>
    <row r="200" spans="3:17" x14ac:dyDescent="0.25">
      <c r="C200" s="15" t="s">
        <v>321</v>
      </c>
      <c r="D200" s="14" t="s">
        <v>14</v>
      </c>
      <c r="E200" s="14">
        <v>12.69</v>
      </c>
      <c r="F200" s="14">
        <v>1.53</v>
      </c>
      <c r="G200" s="14">
        <v>2.25999999999999</v>
      </c>
      <c r="H200" s="14">
        <v>20.6999999999999</v>
      </c>
      <c r="I200" s="14">
        <v>80</v>
      </c>
      <c r="J200" s="14">
        <v>1.3799999999999899</v>
      </c>
      <c r="K200" s="14">
        <v>1.46</v>
      </c>
      <c r="L200" s="14">
        <v>0.57999999999999896</v>
      </c>
      <c r="M200" s="14">
        <v>1.62</v>
      </c>
      <c r="N200" s="14">
        <v>3.0499999999999901</v>
      </c>
      <c r="O200" s="14">
        <v>0.95999999999999897</v>
      </c>
      <c r="P200" s="14">
        <v>2.06</v>
      </c>
      <c r="Q200">
        <v>495</v>
      </c>
    </row>
    <row r="201" spans="3:17" x14ac:dyDescent="0.25">
      <c r="C201" s="15" t="s">
        <v>322</v>
      </c>
      <c r="D201" s="14" t="s">
        <v>14</v>
      </c>
      <c r="E201" s="14">
        <v>12.2899999999999</v>
      </c>
      <c r="F201" s="14">
        <v>2.83</v>
      </c>
      <c r="G201" s="14">
        <v>2.2200000000000002</v>
      </c>
      <c r="H201" s="14">
        <v>18</v>
      </c>
      <c r="I201" s="14">
        <v>88</v>
      </c>
      <c r="J201" s="14">
        <v>2.4500000000000002</v>
      </c>
      <c r="K201" s="14">
        <v>2.25</v>
      </c>
      <c r="L201" s="14">
        <v>0.25</v>
      </c>
      <c r="M201" s="14">
        <v>1.99</v>
      </c>
      <c r="N201" s="14">
        <v>2.1499999999999901</v>
      </c>
      <c r="O201" s="14">
        <v>1.1499999999999899</v>
      </c>
      <c r="P201" s="14">
        <v>3.2999999999999901</v>
      </c>
      <c r="Q201">
        <v>290</v>
      </c>
    </row>
    <row r="202" spans="3:17" x14ac:dyDescent="0.25">
      <c r="C202" s="15" t="s">
        <v>323</v>
      </c>
      <c r="D202" s="14" t="s">
        <v>14</v>
      </c>
      <c r="E202" s="14">
        <v>11.6199999999999</v>
      </c>
      <c r="F202" s="14">
        <v>1.99</v>
      </c>
      <c r="G202" s="14">
        <v>2.27999999999999</v>
      </c>
      <c r="H202" s="14">
        <v>18</v>
      </c>
      <c r="I202" s="14">
        <v>98</v>
      </c>
      <c r="J202" s="14">
        <v>3.02</v>
      </c>
      <c r="K202" s="14">
        <v>2.25999999999999</v>
      </c>
      <c r="L202" s="14">
        <v>0.17</v>
      </c>
      <c r="M202" s="14">
        <v>1.35</v>
      </c>
      <c r="N202" s="14">
        <v>3.25</v>
      </c>
      <c r="O202" s="14">
        <v>1.1599999999999899</v>
      </c>
      <c r="P202" s="14">
        <v>2.96</v>
      </c>
      <c r="Q202">
        <v>345</v>
      </c>
    </row>
    <row r="203" spans="3:17" x14ac:dyDescent="0.25">
      <c r="C203" s="15" t="s">
        <v>325</v>
      </c>
      <c r="D203" s="14" t="s">
        <v>14</v>
      </c>
      <c r="E203" s="14">
        <v>11.81</v>
      </c>
      <c r="F203" s="14">
        <v>2.12</v>
      </c>
      <c r="G203" s="14">
        <v>2.74</v>
      </c>
      <c r="H203" s="14">
        <v>21.5</v>
      </c>
      <c r="I203" s="14">
        <v>134</v>
      </c>
      <c r="J203" s="14">
        <v>1.6</v>
      </c>
      <c r="K203" s="14">
        <v>0.98999999999999899</v>
      </c>
      <c r="L203" s="14">
        <v>0.14000000000000001</v>
      </c>
      <c r="M203" s="14">
        <v>1.56</v>
      </c>
      <c r="N203" s="14">
        <v>2.5</v>
      </c>
      <c r="O203" s="14">
        <v>0.94999999999999896</v>
      </c>
      <c r="P203" s="14">
        <v>2.25999999999999</v>
      </c>
      <c r="Q203">
        <v>625</v>
      </c>
    </row>
    <row r="204" spans="3:17" x14ac:dyDescent="0.25">
      <c r="C204" s="15" t="s">
        <v>327</v>
      </c>
      <c r="D204" s="14" t="s">
        <v>14</v>
      </c>
      <c r="E204" s="14">
        <v>12.3699999999999</v>
      </c>
      <c r="F204" s="14">
        <v>1.07</v>
      </c>
      <c r="G204" s="14">
        <v>2.1</v>
      </c>
      <c r="H204" s="14">
        <v>18.5</v>
      </c>
      <c r="I204" s="14">
        <v>88</v>
      </c>
      <c r="J204" s="14">
        <v>3.52</v>
      </c>
      <c r="K204" s="14">
        <v>3.75</v>
      </c>
      <c r="L204" s="14">
        <v>0.23999999999999899</v>
      </c>
      <c r="M204" s="14">
        <v>1.95</v>
      </c>
      <c r="N204" s="14">
        <v>4.5</v>
      </c>
      <c r="O204" s="14">
        <v>1.04</v>
      </c>
      <c r="P204" s="14">
        <v>2.77</v>
      </c>
      <c r="Q204">
        <v>660</v>
      </c>
    </row>
    <row r="205" spans="3:17" x14ac:dyDescent="0.25">
      <c r="C205" s="15" t="s">
        <v>329</v>
      </c>
      <c r="D205" s="14" t="s">
        <v>14</v>
      </c>
      <c r="E205" s="14">
        <v>12.08</v>
      </c>
      <c r="F205" s="14">
        <v>2.08</v>
      </c>
      <c r="G205" s="14">
        <v>1.7</v>
      </c>
      <c r="H205" s="14">
        <v>17.5</v>
      </c>
      <c r="I205" s="14">
        <v>97</v>
      </c>
      <c r="J205" s="14">
        <v>2.23</v>
      </c>
      <c r="K205" s="14">
        <v>2.1699999999999902</v>
      </c>
      <c r="L205" s="14">
        <v>0.26</v>
      </c>
      <c r="M205" s="14">
        <v>1.3999999999999899</v>
      </c>
      <c r="N205" s="14">
        <v>3.2999999999999901</v>
      </c>
      <c r="O205" s="14">
        <v>1.27</v>
      </c>
      <c r="P205" s="14">
        <v>2.96</v>
      </c>
      <c r="Q205">
        <v>710</v>
      </c>
    </row>
    <row r="206" spans="3:17" x14ac:dyDescent="0.25">
      <c r="C206" s="15" t="s">
        <v>330</v>
      </c>
      <c r="D206" s="14" t="s">
        <v>14</v>
      </c>
      <c r="E206" s="14">
        <v>12.6</v>
      </c>
      <c r="F206" s="14">
        <v>1.34</v>
      </c>
      <c r="G206" s="14">
        <v>1.8999999999999899</v>
      </c>
      <c r="H206" s="14">
        <v>18.5</v>
      </c>
      <c r="I206" s="14">
        <v>88</v>
      </c>
      <c r="J206" s="14">
        <v>1.45</v>
      </c>
      <c r="K206" s="14">
        <v>1.36</v>
      </c>
      <c r="L206" s="14">
        <v>0.28999999999999898</v>
      </c>
      <c r="M206" s="14">
        <v>1.35</v>
      </c>
      <c r="N206" s="14">
        <v>2.4500000000000002</v>
      </c>
      <c r="O206" s="14">
        <v>1.04</v>
      </c>
      <c r="P206" s="14">
        <v>2.77</v>
      </c>
      <c r="Q206">
        <v>562</v>
      </c>
    </row>
    <row r="207" spans="3:17" x14ac:dyDescent="0.25">
      <c r="C207" s="15" t="s">
        <v>333</v>
      </c>
      <c r="D207" s="14" t="s">
        <v>14</v>
      </c>
      <c r="E207" s="14">
        <v>12.51</v>
      </c>
      <c r="F207" s="14">
        <v>1.73</v>
      </c>
      <c r="G207" s="14">
        <v>1.98</v>
      </c>
      <c r="H207" s="14">
        <v>20.5</v>
      </c>
      <c r="I207" s="14">
        <v>85</v>
      </c>
      <c r="J207" s="14">
        <v>2.2000000000000002</v>
      </c>
      <c r="K207" s="14">
        <v>1.9199999999999899</v>
      </c>
      <c r="L207" s="14">
        <v>0.32</v>
      </c>
      <c r="M207" s="14">
        <v>1.48</v>
      </c>
      <c r="N207" s="14">
        <v>2.9399999999999902</v>
      </c>
      <c r="O207" s="14">
        <v>1.04</v>
      </c>
      <c r="P207" s="14">
        <v>3.5699999999999901</v>
      </c>
      <c r="Q207">
        <v>672</v>
      </c>
    </row>
    <row r="208" spans="3:17" x14ac:dyDescent="0.25">
      <c r="C208" s="15" t="s">
        <v>334</v>
      </c>
      <c r="D208" s="14" t="s">
        <v>14</v>
      </c>
      <c r="E208" s="14">
        <v>12.42</v>
      </c>
      <c r="F208" s="14">
        <v>2.5499999999999901</v>
      </c>
      <c r="G208" s="14">
        <v>2.27</v>
      </c>
      <c r="H208" s="14">
        <v>22</v>
      </c>
      <c r="I208" s="14">
        <v>90</v>
      </c>
      <c r="J208" s="14">
        <v>1.6799999999999899</v>
      </c>
      <c r="K208" s="14">
        <v>1.84</v>
      </c>
      <c r="L208" s="14">
        <v>0.66</v>
      </c>
      <c r="M208" s="14">
        <v>1.4199999999999899</v>
      </c>
      <c r="N208" s="14">
        <v>2.7</v>
      </c>
      <c r="O208" s="14">
        <v>0.85999999999999899</v>
      </c>
      <c r="P208" s="14">
        <v>3.2999999999999901</v>
      </c>
      <c r="Q208">
        <v>315</v>
      </c>
    </row>
    <row r="209" spans="3:17" x14ac:dyDescent="0.25">
      <c r="C209" s="15" t="s">
        <v>335</v>
      </c>
      <c r="D209" s="14" t="s">
        <v>14</v>
      </c>
      <c r="E209" s="14">
        <v>12.25</v>
      </c>
      <c r="F209" s="14">
        <v>1.73</v>
      </c>
      <c r="G209" s="14">
        <v>2.12</v>
      </c>
      <c r="H209" s="14">
        <v>19</v>
      </c>
      <c r="I209" s="14">
        <v>80</v>
      </c>
      <c r="J209" s="14">
        <v>1.6499999999999899</v>
      </c>
      <c r="K209" s="14">
        <v>2.02999999999999</v>
      </c>
      <c r="L209" s="14">
        <v>0.37</v>
      </c>
      <c r="M209" s="14">
        <v>1.6299999999999899</v>
      </c>
      <c r="N209" s="14">
        <v>3.3999999999999901</v>
      </c>
      <c r="O209" s="14">
        <v>1</v>
      </c>
      <c r="P209" s="14">
        <v>3.1699999999999902</v>
      </c>
      <c r="Q209">
        <v>510</v>
      </c>
    </row>
    <row r="210" spans="3:17" x14ac:dyDescent="0.25">
      <c r="C210" s="15" t="s">
        <v>336</v>
      </c>
      <c r="D210" s="14" t="s">
        <v>14</v>
      </c>
      <c r="E210" s="14">
        <v>12.72</v>
      </c>
      <c r="F210" s="14">
        <v>1.75</v>
      </c>
      <c r="G210" s="14">
        <v>2.27999999999999</v>
      </c>
      <c r="H210" s="14">
        <v>22.5</v>
      </c>
      <c r="I210" s="14">
        <v>84</v>
      </c>
      <c r="J210" s="14">
        <v>1.3799999999999899</v>
      </c>
      <c r="K210" s="14">
        <v>1.76</v>
      </c>
      <c r="L210" s="14">
        <v>0.47999999999999898</v>
      </c>
      <c r="M210" s="14">
        <v>1.6299999999999899</v>
      </c>
      <c r="N210" s="14">
        <v>3.2999999999999901</v>
      </c>
      <c r="O210" s="14">
        <v>0.88</v>
      </c>
      <c r="P210" s="14">
        <v>2.4199999999999902</v>
      </c>
      <c r="Q210">
        <v>488</v>
      </c>
    </row>
    <row r="211" spans="3:17" x14ac:dyDescent="0.25">
      <c r="C211" s="15" t="s">
        <v>337</v>
      </c>
      <c r="D211" s="14" t="s">
        <v>14</v>
      </c>
      <c r="E211" s="14">
        <v>12.22</v>
      </c>
      <c r="F211" s="14">
        <v>1.29</v>
      </c>
      <c r="G211" s="14">
        <v>1.93999999999999</v>
      </c>
      <c r="H211" s="14">
        <v>19</v>
      </c>
      <c r="I211" s="14">
        <v>92</v>
      </c>
      <c r="J211" s="14">
        <v>2.3599999999999901</v>
      </c>
      <c r="K211" s="14">
        <v>2.04</v>
      </c>
      <c r="L211" s="14">
        <v>0.39</v>
      </c>
      <c r="M211" s="14">
        <v>2.08</v>
      </c>
      <c r="N211" s="14">
        <v>2.7</v>
      </c>
      <c r="O211" s="14">
        <v>0.85999999999999899</v>
      </c>
      <c r="P211" s="14">
        <v>3.02</v>
      </c>
      <c r="Q211">
        <v>312</v>
      </c>
    </row>
    <row r="212" spans="3:17" x14ac:dyDescent="0.25">
      <c r="C212" s="15" t="s">
        <v>339</v>
      </c>
      <c r="D212" s="14" t="s">
        <v>14</v>
      </c>
      <c r="E212" s="14">
        <v>11.46</v>
      </c>
      <c r="F212" s="14">
        <v>3.74</v>
      </c>
      <c r="G212" s="14">
        <v>1.82</v>
      </c>
      <c r="H212" s="14">
        <v>19.5</v>
      </c>
      <c r="I212" s="14">
        <v>107</v>
      </c>
      <c r="J212" s="14">
        <v>3.18</v>
      </c>
      <c r="K212" s="14">
        <v>2.58</v>
      </c>
      <c r="L212" s="14">
        <v>0.23999999999999899</v>
      </c>
      <c r="M212" s="14">
        <v>3.58</v>
      </c>
      <c r="N212" s="14">
        <v>2.8999999999999901</v>
      </c>
      <c r="O212" s="14">
        <v>0.75</v>
      </c>
      <c r="P212" s="14">
        <v>2.81</v>
      </c>
      <c r="Q212">
        <v>562</v>
      </c>
    </row>
    <row r="213" spans="3:17" x14ac:dyDescent="0.25">
      <c r="C213" s="15" t="s">
        <v>340</v>
      </c>
      <c r="D213" s="14" t="s">
        <v>14</v>
      </c>
      <c r="E213" s="14">
        <v>12.52</v>
      </c>
      <c r="F213" s="14">
        <v>2.4300000000000002</v>
      </c>
      <c r="G213" s="14">
        <v>2.1699999999999902</v>
      </c>
      <c r="H213" s="14">
        <v>21</v>
      </c>
      <c r="I213" s="14">
        <v>88</v>
      </c>
      <c r="J213" s="14">
        <v>2.5499999999999901</v>
      </c>
      <c r="K213" s="14">
        <v>2.27</v>
      </c>
      <c r="L213" s="14">
        <v>0.26</v>
      </c>
      <c r="M213" s="14">
        <v>1.22</v>
      </c>
      <c r="N213" s="14">
        <v>2</v>
      </c>
      <c r="O213" s="14">
        <v>0.9</v>
      </c>
      <c r="P213" s="14">
        <v>2.77999999999999</v>
      </c>
      <c r="Q213">
        <v>325</v>
      </c>
    </row>
    <row r="214" spans="3:17" x14ac:dyDescent="0.25">
      <c r="C214" s="15" t="s">
        <v>342</v>
      </c>
      <c r="D214" s="14" t="s">
        <v>14</v>
      </c>
      <c r="E214" s="14">
        <v>11.41</v>
      </c>
      <c r="F214" s="14">
        <v>0.73999999999999899</v>
      </c>
      <c r="G214" s="14">
        <v>2.5</v>
      </c>
      <c r="H214" s="14">
        <v>21</v>
      </c>
      <c r="I214" s="14">
        <v>88</v>
      </c>
      <c r="J214" s="14">
        <v>2.48</v>
      </c>
      <c r="K214" s="14">
        <v>2.00999999999999</v>
      </c>
      <c r="L214" s="14">
        <v>0.41999999999999899</v>
      </c>
      <c r="M214" s="14">
        <v>1.43999999999999</v>
      </c>
      <c r="N214" s="14">
        <v>3.08</v>
      </c>
      <c r="O214" s="14">
        <v>1.1000000000000001</v>
      </c>
      <c r="P214" s="14">
        <v>2.31</v>
      </c>
      <c r="Q214">
        <v>434</v>
      </c>
    </row>
    <row r="215" spans="3:17" x14ac:dyDescent="0.25">
      <c r="C215" s="15" t="s">
        <v>343</v>
      </c>
      <c r="D215" s="14" t="s">
        <v>14</v>
      </c>
      <c r="E215" s="14">
        <v>12.08</v>
      </c>
      <c r="F215" s="14">
        <v>1.3899999999999899</v>
      </c>
      <c r="G215" s="14">
        <v>2.5</v>
      </c>
      <c r="H215" s="14">
        <v>22.5</v>
      </c>
      <c r="I215" s="14">
        <v>84</v>
      </c>
      <c r="J215" s="14">
        <v>2.56</v>
      </c>
      <c r="K215" s="14">
        <v>2.29</v>
      </c>
      <c r="L215" s="14">
        <v>0.42999999999999899</v>
      </c>
      <c r="M215" s="14">
        <v>1.04</v>
      </c>
      <c r="N215" s="14">
        <v>2.8999999999999901</v>
      </c>
      <c r="O215" s="14">
        <v>0.93</v>
      </c>
      <c r="P215" s="14">
        <v>3.1899999999999902</v>
      </c>
      <c r="Q215">
        <v>385</v>
      </c>
    </row>
    <row r="216" spans="3:17" x14ac:dyDescent="0.25">
      <c r="C216" s="15" t="s">
        <v>345</v>
      </c>
      <c r="D216" s="14" t="s">
        <v>14</v>
      </c>
      <c r="E216" s="14">
        <v>11.82</v>
      </c>
      <c r="F216" s="14">
        <v>1.47</v>
      </c>
      <c r="G216" s="14">
        <v>1.99</v>
      </c>
      <c r="H216" s="14">
        <v>20.8</v>
      </c>
      <c r="I216" s="14">
        <v>86</v>
      </c>
      <c r="J216" s="14">
        <v>1.98</v>
      </c>
      <c r="K216" s="14">
        <v>1.6</v>
      </c>
      <c r="L216" s="14">
        <v>0.29999999999999899</v>
      </c>
      <c r="M216" s="14">
        <v>1.53</v>
      </c>
      <c r="N216" s="14">
        <v>1.95</v>
      </c>
      <c r="O216" s="14">
        <v>0.94999999999999896</v>
      </c>
      <c r="P216" s="14">
        <v>3.33</v>
      </c>
      <c r="Q216">
        <v>495</v>
      </c>
    </row>
    <row r="217" spans="3:17" x14ac:dyDescent="0.25">
      <c r="C217" s="15" t="s">
        <v>347</v>
      </c>
      <c r="D217" s="14" t="s">
        <v>14</v>
      </c>
      <c r="E217" s="14">
        <v>12.77</v>
      </c>
      <c r="F217" s="14">
        <v>3.43</v>
      </c>
      <c r="G217" s="14">
        <v>1.98</v>
      </c>
      <c r="H217" s="14">
        <v>16</v>
      </c>
      <c r="I217" s="14">
        <v>80</v>
      </c>
      <c r="J217" s="14">
        <v>1.6299999999999899</v>
      </c>
      <c r="K217" s="14">
        <v>1.25</v>
      </c>
      <c r="L217" s="14">
        <v>0.42999999999999899</v>
      </c>
      <c r="M217" s="14">
        <v>0.82999999999999896</v>
      </c>
      <c r="N217" s="14">
        <v>3.3999999999999901</v>
      </c>
      <c r="O217" s="14">
        <v>0.69999999999999896</v>
      </c>
      <c r="P217" s="14">
        <v>2.12</v>
      </c>
      <c r="Q217">
        <v>372</v>
      </c>
    </row>
    <row r="218" spans="3:17" x14ac:dyDescent="0.25">
      <c r="C218" s="15" t="s">
        <v>350</v>
      </c>
      <c r="D218" s="14" t="s">
        <v>14</v>
      </c>
      <c r="E218" s="14">
        <v>11.56</v>
      </c>
      <c r="F218" s="14">
        <v>2.0499999999999901</v>
      </c>
      <c r="G218" s="14">
        <v>3.23</v>
      </c>
      <c r="H218" s="14">
        <v>28.5</v>
      </c>
      <c r="I218" s="14">
        <v>119</v>
      </c>
      <c r="J218" s="14">
        <v>3.18</v>
      </c>
      <c r="K218" s="14">
        <v>5.08</v>
      </c>
      <c r="L218" s="14">
        <v>0.46999999999999897</v>
      </c>
      <c r="M218" s="14">
        <v>1.87</v>
      </c>
      <c r="N218" s="14">
        <v>6</v>
      </c>
      <c r="O218" s="14">
        <v>0.93</v>
      </c>
      <c r="P218" s="14">
        <v>3.6899999999999902</v>
      </c>
      <c r="Q218">
        <v>465</v>
      </c>
    </row>
    <row r="219" spans="3:17" x14ac:dyDescent="0.25">
      <c r="C219" s="15" t="s">
        <v>351</v>
      </c>
      <c r="D219" s="14" t="s">
        <v>14</v>
      </c>
      <c r="E219" s="14">
        <v>12.42</v>
      </c>
      <c r="F219" s="14">
        <v>4.4299999999999899</v>
      </c>
      <c r="G219" s="14">
        <v>2.73</v>
      </c>
      <c r="H219" s="14">
        <v>26.5</v>
      </c>
      <c r="I219" s="14">
        <v>102</v>
      </c>
      <c r="J219" s="14">
        <v>2.2000000000000002</v>
      </c>
      <c r="K219" s="14">
        <v>2.1299999999999901</v>
      </c>
      <c r="L219" s="14">
        <v>0.42999999999999899</v>
      </c>
      <c r="M219" s="14">
        <v>1.71</v>
      </c>
      <c r="N219" s="14">
        <v>2.08</v>
      </c>
      <c r="O219" s="14">
        <v>0.92</v>
      </c>
      <c r="P219" s="14">
        <v>3.12</v>
      </c>
      <c r="Q219">
        <v>365</v>
      </c>
    </row>
    <row r="220" spans="3:17" x14ac:dyDescent="0.25">
      <c r="C220" s="15" t="s">
        <v>353</v>
      </c>
      <c r="D220" s="14" t="s">
        <v>14</v>
      </c>
      <c r="E220" s="14">
        <v>11.8699999999999</v>
      </c>
      <c r="F220" s="14">
        <v>4.3099999999999898</v>
      </c>
      <c r="G220" s="14">
        <v>2.39</v>
      </c>
      <c r="H220" s="14">
        <v>21</v>
      </c>
      <c r="I220" s="14">
        <v>82</v>
      </c>
      <c r="J220" s="14">
        <v>2.8599999999999901</v>
      </c>
      <c r="K220" s="14">
        <v>3.02999999999999</v>
      </c>
      <c r="L220" s="14">
        <v>0.20999999999999899</v>
      </c>
      <c r="M220" s="14">
        <v>2.91</v>
      </c>
      <c r="N220" s="14">
        <v>2.7999999999999901</v>
      </c>
      <c r="O220" s="14">
        <v>0.75</v>
      </c>
      <c r="P220" s="14">
        <v>3.64</v>
      </c>
      <c r="Q220">
        <v>380</v>
      </c>
    </row>
    <row r="221" spans="3:17" x14ac:dyDescent="0.25">
      <c r="C221" s="15" t="s">
        <v>355</v>
      </c>
      <c r="D221" s="14" t="s">
        <v>14</v>
      </c>
      <c r="E221" s="14">
        <v>12.43</v>
      </c>
      <c r="F221" s="14">
        <v>1.53</v>
      </c>
      <c r="G221" s="14">
        <v>2.29</v>
      </c>
      <c r="H221" s="14">
        <v>21.5</v>
      </c>
      <c r="I221" s="14">
        <v>86</v>
      </c>
      <c r="J221" s="14">
        <v>2.74</v>
      </c>
      <c r="K221" s="14">
        <v>3.1499999999999901</v>
      </c>
      <c r="L221" s="14">
        <v>0.39</v>
      </c>
      <c r="M221" s="14">
        <v>1.77</v>
      </c>
      <c r="N221" s="14">
        <v>3.9399999999999902</v>
      </c>
      <c r="O221" s="14">
        <v>0.68999999999999895</v>
      </c>
      <c r="P221" s="14">
        <v>2.8399999999999901</v>
      </c>
      <c r="Q221">
        <v>352</v>
      </c>
    </row>
    <row r="222" spans="3:17" x14ac:dyDescent="0.25">
      <c r="C222" s="15" t="s">
        <v>358</v>
      </c>
      <c r="D222" s="14" t="s">
        <v>14</v>
      </c>
      <c r="E222" s="14">
        <v>12.0399999999999</v>
      </c>
      <c r="F222" s="14">
        <v>4.2999999999999901</v>
      </c>
      <c r="G222" s="14">
        <v>2.3799999999999901</v>
      </c>
      <c r="H222" s="14">
        <v>22</v>
      </c>
      <c r="I222" s="14">
        <v>80</v>
      </c>
      <c r="J222" s="14">
        <v>2.1</v>
      </c>
      <c r="K222" s="14">
        <v>1.75</v>
      </c>
      <c r="L222" s="14">
        <v>0.41999999999999899</v>
      </c>
      <c r="M222" s="14">
        <v>1.35</v>
      </c>
      <c r="N222" s="14">
        <v>2.6</v>
      </c>
      <c r="O222" s="14">
        <v>0.79</v>
      </c>
      <c r="P222" s="14">
        <v>2.5699999999999901</v>
      </c>
      <c r="Q222">
        <v>580</v>
      </c>
    </row>
    <row r="223" spans="3:17" x14ac:dyDescent="0.25">
      <c r="C223" s="15" t="s">
        <v>359</v>
      </c>
      <c r="D223" s="14" t="s">
        <v>15</v>
      </c>
      <c r="E223" s="14">
        <v>12.8599999999999</v>
      </c>
      <c r="F223" s="14">
        <v>1.35</v>
      </c>
      <c r="G223" s="14">
        <v>2.3199999999999901</v>
      </c>
      <c r="H223" s="14">
        <v>18</v>
      </c>
      <c r="I223" s="14">
        <v>122</v>
      </c>
      <c r="J223" s="14">
        <v>1.51</v>
      </c>
      <c r="K223" s="14">
        <v>1.25</v>
      </c>
      <c r="L223" s="14">
        <v>0.20999999999999899</v>
      </c>
      <c r="M223" s="14">
        <v>0.93999999999999895</v>
      </c>
      <c r="N223" s="14">
        <v>4.0999999999999899</v>
      </c>
      <c r="O223" s="14">
        <v>0.76</v>
      </c>
      <c r="P223" s="14">
        <v>1.29</v>
      </c>
      <c r="Q223">
        <v>630</v>
      </c>
    </row>
    <row r="224" spans="3:17" x14ac:dyDescent="0.25">
      <c r="C224" s="15" t="s">
        <v>360</v>
      </c>
      <c r="D224" s="14" t="s">
        <v>15</v>
      </c>
      <c r="E224" s="14">
        <v>12.88</v>
      </c>
      <c r="F224" s="14">
        <v>2.99</v>
      </c>
      <c r="G224" s="14">
        <v>2.3999999999999901</v>
      </c>
      <c r="H224" s="14">
        <v>20</v>
      </c>
      <c r="I224" s="14">
        <v>104</v>
      </c>
      <c r="J224" s="14">
        <v>1.3</v>
      </c>
      <c r="K224" s="14">
        <v>1.22</v>
      </c>
      <c r="L224" s="14">
        <v>0.23999999999999899</v>
      </c>
      <c r="M224" s="14">
        <v>0.82999999999999896</v>
      </c>
      <c r="N224" s="14">
        <v>5.4</v>
      </c>
      <c r="O224" s="14">
        <v>0.73999999999999899</v>
      </c>
      <c r="P224" s="14">
        <v>1.4199999999999899</v>
      </c>
      <c r="Q224">
        <v>530</v>
      </c>
    </row>
    <row r="225" spans="3:17" x14ac:dyDescent="0.25">
      <c r="C225" s="15" t="s">
        <v>362</v>
      </c>
      <c r="D225" s="14" t="s">
        <v>15</v>
      </c>
      <c r="E225" s="14">
        <v>12.6999999999999</v>
      </c>
      <c r="F225" s="14">
        <v>3.5499999999999901</v>
      </c>
      <c r="G225" s="14">
        <v>2.3599999999999901</v>
      </c>
      <c r="H225" s="14">
        <v>21.5</v>
      </c>
      <c r="I225" s="14">
        <v>106</v>
      </c>
      <c r="J225" s="14">
        <v>1.7</v>
      </c>
      <c r="K225" s="14">
        <v>1.2</v>
      </c>
      <c r="L225" s="14">
        <v>0.17</v>
      </c>
      <c r="M225" s="14">
        <v>0.83999999999999897</v>
      </c>
      <c r="N225" s="14">
        <v>5</v>
      </c>
      <c r="O225" s="14">
        <v>0.78</v>
      </c>
      <c r="P225" s="14">
        <v>1.29</v>
      </c>
      <c r="Q225">
        <v>600</v>
      </c>
    </row>
    <row r="226" spans="3:17" x14ac:dyDescent="0.25">
      <c r="C226" s="15" t="s">
        <v>363</v>
      </c>
      <c r="D226" s="14" t="s">
        <v>15</v>
      </c>
      <c r="E226" s="14">
        <v>12.51</v>
      </c>
      <c r="F226" s="14">
        <v>1.24</v>
      </c>
      <c r="G226" s="14">
        <v>2.25</v>
      </c>
      <c r="H226" s="14">
        <v>17.5</v>
      </c>
      <c r="I226" s="14">
        <v>85</v>
      </c>
      <c r="J226" s="14">
        <v>2</v>
      </c>
      <c r="K226" s="14">
        <v>0.57999999999999896</v>
      </c>
      <c r="L226" s="14">
        <v>0.59999999999999898</v>
      </c>
      <c r="M226" s="14">
        <v>1.25</v>
      </c>
      <c r="N226" s="14">
        <v>5.45</v>
      </c>
      <c r="O226" s="14">
        <v>0.75</v>
      </c>
      <c r="P226" s="14">
        <v>1.51</v>
      </c>
      <c r="Q226">
        <v>650</v>
      </c>
    </row>
    <row r="227" spans="3:17" x14ac:dyDescent="0.25">
      <c r="C227" s="15" t="s">
        <v>365</v>
      </c>
      <c r="D227" s="14" t="s">
        <v>15</v>
      </c>
      <c r="E227" s="14">
        <v>12.25</v>
      </c>
      <c r="F227" s="14">
        <v>4.71999999999999</v>
      </c>
      <c r="G227" s="14">
        <v>2.54</v>
      </c>
      <c r="H227" s="14">
        <v>21</v>
      </c>
      <c r="I227" s="14">
        <v>89</v>
      </c>
      <c r="J227" s="14">
        <v>1.3799999999999899</v>
      </c>
      <c r="K227" s="14">
        <v>0.46999999999999897</v>
      </c>
      <c r="L227" s="14">
        <v>0.53</v>
      </c>
      <c r="M227" s="14">
        <v>0.8</v>
      </c>
      <c r="N227" s="14">
        <v>3.85</v>
      </c>
      <c r="O227" s="14">
        <v>0.75</v>
      </c>
      <c r="P227" s="14">
        <v>1.27</v>
      </c>
      <c r="Q227">
        <v>720</v>
      </c>
    </row>
    <row r="228" spans="3:17" x14ac:dyDescent="0.25">
      <c r="C228" s="15" t="s">
        <v>367</v>
      </c>
      <c r="D228" s="14" t="s">
        <v>15</v>
      </c>
      <c r="E228" s="14">
        <v>13.49</v>
      </c>
      <c r="F228" s="14">
        <v>3.5899999999999901</v>
      </c>
      <c r="G228" s="14">
        <v>2.1899999999999902</v>
      </c>
      <c r="H228" s="14">
        <v>19.5</v>
      </c>
      <c r="I228" s="14">
        <v>88</v>
      </c>
      <c r="J228" s="14">
        <v>1.62</v>
      </c>
      <c r="K228" s="14">
        <v>0.47999999999999898</v>
      </c>
      <c r="L228" s="14">
        <v>0.57999999999999896</v>
      </c>
      <c r="M228" s="14">
        <v>0.88</v>
      </c>
      <c r="N228" s="14">
        <v>5.7</v>
      </c>
      <c r="O228" s="14">
        <v>0.81</v>
      </c>
      <c r="P228" s="14">
        <v>1.82</v>
      </c>
      <c r="Q228">
        <v>580</v>
      </c>
    </row>
    <row r="229" spans="3:17" x14ac:dyDescent="0.25">
      <c r="C229" s="15" t="s">
        <v>368</v>
      </c>
      <c r="D229" s="14" t="s">
        <v>15</v>
      </c>
      <c r="E229" s="14">
        <v>12.84</v>
      </c>
      <c r="F229" s="14">
        <v>2.96</v>
      </c>
      <c r="G229" s="14">
        <v>2.6099999999999901</v>
      </c>
      <c r="H229" s="14">
        <v>24</v>
      </c>
      <c r="I229" s="14">
        <v>101</v>
      </c>
      <c r="J229" s="14">
        <v>2.3199999999999901</v>
      </c>
      <c r="K229" s="14">
        <v>0.59999999999999898</v>
      </c>
      <c r="L229" s="14">
        <v>0.53</v>
      </c>
      <c r="M229" s="14">
        <v>0.81</v>
      </c>
      <c r="N229" s="14">
        <v>4.9199999999999902</v>
      </c>
      <c r="O229" s="14">
        <v>0.89</v>
      </c>
      <c r="P229" s="14">
        <v>2.1499999999999901</v>
      </c>
      <c r="Q229">
        <v>590</v>
      </c>
    </row>
    <row r="230" spans="3:17" x14ac:dyDescent="0.25">
      <c r="C230" s="15" t="s">
        <v>370</v>
      </c>
      <c r="D230" s="14" t="s">
        <v>15</v>
      </c>
      <c r="E230" s="14">
        <v>13.3599999999999</v>
      </c>
      <c r="F230" s="14">
        <v>2.56</v>
      </c>
      <c r="G230" s="14">
        <v>2.35</v>
      </c>
      <c r="H230" s="14">
        <v>20</v>
      </c>
      <c r="I230" s="14">
        <v>89</v>
      </c>
      <c r="J230" s="14">
        <v>1.3999999999999899</v>
      </c>
      <c r="K230" s="14">
        <v>0.5</v>
      </c>
      <c r="L230" s="14">
        <v>0.37</v>
      </c>
      <c r="M230" s="14">
        <v>0.64</v>
      </c>
      <c r="N230" s="14">
        <v>5.5999999999999899</v>
      </c>
      <c r="O230" s="14">
        <v>0.69999999999999896</v>
      </c>
      <c r="P230" s="14">
        <v>2.4700000000000002</v>
      </c>
      <c r="Q230">
        <v>780</v>
      </c>
    </row>
    <row r="231" spans="3:17" x14ac:dyDescent="0.25">
      <c r="C231" s="15" t="s">
        <v>371</v>
      </c>
      <c r="D231" s="14" t="s">
        <v>15</v>
      </c>
      <c r="E231" s="14">
        <v>13.52</v>
      </c>
      <c r="F231" s="14">
        <v>3.1699999999999902</v>
      </c>
      <c r="G231" s="14">
        <v>2.72</v>
      </c>
      <c r="H231" s="14">
        <v>23.5</v>
      </c>
      <c r="I231" s="14">
        <v>97</v>
      </c>
      <c r="J231" s="14">
        <v>1.55</v>
      </c>
      <c r="K231" s="14">
        <v>0.52</v>
      </c>
      <c r="L231" s="14">
        <v>0.5</v>
      </c>
      <c r="M231" s="14">
        <v>0.55000000000000004</v>
      </c>
      <c r="N231" s="14">
        <v>4.3499999999999899</v>
      </c>
      <c r="O231" s="14">
        <v>0.89</v>
      </c>
      <c r="P231" s="14">
        <v>2.06</v>
      </c>
      <c r="Q231">
        <v>520</v>
      </c>
    </row>
    <row r="232" spans="3:17" x14ac:dyDescent="0.25">
      <c r="C232" s="15" t="s">
        <v>373</v>
      </c>
      <c r="D232" s="14" t="s">
        <v>15</v>
      </c>
      <c r="E232" s="14">
        <v>12.25</v>
      </c>
      <c r="F232" s="14">
        <v>3.8799999999999901</v>
      </c>
      <c r="G232" s="14">
        <v>2.2000000000000002</v>
      </c>
      <c r="H232" s="14">
        <v>18.5</v>
      </c>
      <c r="I232" s="14">
        <v>112</v>
      </c>
      <c r="J232" s="14">
        <v>1.3799999999999899</v>
      </c>
      <c r="K232" s="14">
        <v>0.78</v>
      </c>
      <c r="L232" s="14">
        <v>0.28999999999999898</v>
      </c>
      <c r="M232" s="14">
        <v>1.1399999999999899</v>
      </c>
      <c r="N232" s="14">
        <v>8.2100000000000009</v>
      </c>
      <c r="O232" s="14">
        <v>0.65</v>
      </c>
      <c r="P232" s="14">
        <v>2</v>
      </c>
      <c r="Q232">
        <v>855</v>
      </c>
    </row>
    <row r="233" spans="3:17" x14ac:dyDescent="0.25">
      <c r="C233" s="15" t="s">
        <v>375</v>
      </c>
      <c r="D233" s="14" t="s">
        <v>15</v>
      </c>
      <c r="E233" s="14">
        <v>13.88</v>
      </c>
      <c r="F233" s="14">
        <v>5.04</v>
      </c>
      <c r="G233" s="14">
        <v>2.23</v>
      </c>
      <c r="H233" s="14">
        <v>20</v>
      </c>
      <c r="I233" s="14">
        <v>80</v>
      </c>
      <c r="J233" s="14">
        <v>0.97999999999999898</v>
      </c>
      <c r="K233" s="14">
        <v>0.34</v>
      </c>
      <c r="L233" s="14">
        <v>0.4</v>
      </c>
      <c r="M233" s="14">
        <v>0.68</v>
      </c>
      <c r="N233" s="14">
        <v>4.9000000000000004</v>
      </c>
      <c r="O233" s="14">
        <v>0.57999999999999896</v>
      </c>
      <c r="P233" s="14">
        <v>1.33</v>
      </c>
      <c r="Q233">
        <v>415</v>
      </c>
    </row>
    <row r="234" spans="3:17" x14ac:dyDescent="0.25">
      <c r="C234" s="15" t="s">
        <v>376</v>
      </c>
      <c r="D234" s="14" t="s">
        <v>15</v>
      </c>
      <c r="E234" s="14">
        <v>12.8699999999999</v>
      </c>
      <c r="F234" s="14">
        <v>4.6100000000000003</v>
      </c>
      <c r="G234" s="14">
        <v>2.48</v>
      </c>
      <c r="H234" s="14">
        <v>21.5</v>
      </c>
      <c r="I234" s="14">
        <v>86</v>
      </c>
      <c r="J234" s="14">
        <v>1.7</v>
      </c>
      <c r="K234" s="14">
        <v>0.65</v>
      </c>
      <c r="L234" s="14">
        <v>0.46999999999999897</v>
      </c>
      <c r="M234" s="14">
        <v>0.85999999999999899</v>
      </c>
      <c r="N234" s="14">
        <v>7.65</v>
      </c>
      <c r="O234" s="14">
        <v>0.54</v>
      </c>
      <c r="P234" s="14">
        <v>1.86</v>
      </c>
      <c r="Q234">
        <v>625</v>
      </c>
    </row>
    <row r="235" spans="3:17" x14ac:dyDescent="0.25">
      <c r="C235" s="15" t="s">
        <v>377</v>
      </c>
      <c r="D235" s="14" t="s">
        <v>15</v>
      </c>
      <c r="E235" s="14">
        <v>13.32</v>
      </c>
      <c r="F235" s="14">
        <v>3.24</v>
      </c>
      <c r="G235" s="14">
        <v>2.3799999999999901</v>
      </c>
      <c r="H235" s="14">
        <v>21.5</v>
      </c>
      <c r="I235" s="14">
        <v>92</v>
      </c>
      <c r="J235" s="14">
        <v>1.9299999999999899</v>
      </c>
      <c r="K235" s="14">
        <v>0.76</v>
      </c>
      <c r="L235" s="14">
        <v>0.45</v>
      </c>
      <c r="M235" s="14">
        <v>1.25</v>
      </c>
      <c r="N235" s="14">
        <v>8.4199999999999893</v>
      </c>
      <c r="O235" s="14">
        <v>0.55000000000000004</v>
      </c>
      <c r="P235" s="14">
        <v>1.62</v>
      </c>
      <c r="Q235">
        <v>650</v>
      </c>
    </row>
    <row r="236" spans="3:17" x14ac:dyDescent="0.25">
      <c r="C236" s="15" t="s">
        <v>381</v>
      </c>
      <c r="D236" s="14" t="s">
        <v>15</v>
      </c>
      <c r="E236" s="14">
        <v>13.1099999999999</v>
      </c>
      <c r="F236" s="14">
        <v>1.8999999999999899</v>
      </c>
      <c r="G236" s="14">
        <v>2.75</v>
      </c>
      <c r="H236" s="14">
        <v>25.5</v>
      </c>
      <c r="I236" s="14">
        <v>116</v>
      </c>
      <c r="J236" s="14">
        <v>2.2000000000000002</v>
      </c>
      <c r="K236" s="14">
        <v>1.28</v>
      </c>
      <c r="L236" s="14">
        <v>0.26</v>
      </c>
      <c r="M236" s="14">
        <v>1.56</v>
      </c>
      <c r="N236" s="14">
        <v>7.0999999999999899</v>
      </c>
      <c r="O236" s="14">
        <v>0.60999999999999899</v>
      </c>
      <c r="P236" s="14">
        <v>1.33</v>
      </c>
      <c r="Q236">
        <v>425</v>
      </c>
    </row>
    <row r="237" spans="3:17" x14ac:dyDescent="0.25">
      <c r="C237" s="15" t="s">
        <v>384</v>
      </c>
      <c r="D237" s="14" t="s">
        <v>15</v>
      </c>
      <c r="E237" s="14">
        <v>13.17</v>
      </c>
      <c r="F237" s="14">
        <v>5.19</v>
      </c>
      <c r="G237" s="14">
        <v>2.3199999999999901</v>
      </c>
      <c r="H237" s="14">
        <v>22</v>
      </c>
      <c r="I237" s="14">
        <v>93</v>
      </c>
      <c r="J237" s="14">
        <v>1.74</v>
      </c>
      <c r="K237" s="14">
        <v>0.63</v>
      </c>
      <c r="L237" s="14">
        <v>0.60999999999999899</v>
      </c>
      <c r="M237" s="14">
        <v>1.55</v>
      </c>
      <c r="N237" s="14">
        <v>7.9</v>
      </c>
      <c r="O237" s="14">
        <v>0.59999999999999898</v>
      </c>
      <c r="P237" s="14">
        <v>1.48</v>
      </c>
      <c r="Q237">
        <v>725</v>
      </c>
    </row>
    <row r="238" spans="3:17" x14ac:dyDescent="0.25">
      <c r="C238" s="15" t="s">
        <v>387</v>
      </c>
      <c r="D238" s="14" t="s">
        <v>15</v>
      </c>
      <c r="E238" s="14">
        <v>14.34</v>
      </c>
      <c r="F238" s="14">
        <v>1.6799999999999899</v>
      </c>
      <c r="G238" s="14">
        <v>2.7</v>
      </c>
      <c r="H238" s="14">
        <v>25</v>
      </c>
      <c r="I238" s="14">
        <v>98</v>
      </c>
      <c r="J238" s="14">
        <v>2.7999999999999901</v>
      </c>
      <c r="K238" s="14">
        <v>1.31</v>
      </c>
      <c r="L238" s="14">
        <v>0.53</v>
      </c>
      <c r="M238" s="14">
        <v>2.7</v>
      </c>
      <c r="N238" s="14">
        <v>13</v>
      </c>
      <c r="O238" s="14">
        <v>0.56999999999999895</v>
      </c>
      <c r="P238" s="14">
        <v>1.96</v>
      </c>
      <c r="Q238">
        <v>660</v>
      </c>
    </row>
    <row r="239" spans="3:17" x14ac:dyDescent="0.25">
      <c r="C239" s="15" t="s">
        <v>388</v>
      </c>
      <c r="D239" s="14" t="s">
        <v>15</v>
      </c>
      <c r="E239" s="14">
        <v>13.48</v>
      </c>
      <c r="F239" s="14">
        <v>1.6699999999999899</v>
      </c>
      <c r="G239" s="14">
        <v>2.64</v>
      </c>
      <c r="H239" s="14">
        <v>22.5</v>
      </c>
      <c r="I239" s="14">
        <v>89</v>
      </c>
      <c r="J239" s="14">
        <v>2.6</v>
      </c>
      <c r="K239" s="14">
        <v>1.1000000000000001</v>
      </c>
      <c r="L239" s="14">
        <v>0.52</v>
      </c>
      <c r="M239" s="14">
        <v>2.29</v>
      </c>
      <c r="N239" s="14">
        <v>11.75</v>
      </c>
      <c r="O239" s="14">
        <v>0.56999999999999895</v>
      </c>
      <c r="P239" s="14">
        <v>1.78</v>
      </c>
      <c r="Q239">
        <v>620</v>
      </c>
    </row>
    <row r="240" spans="3:17" x14ac:dyDescent="0.25">
      <c r="C240" s="15" t="s">
        <v>389</v>
      </c>
      <c r="D240" s="14" t="s">
        <v>15</v>
      </c>
      <c r="E240" s="14">
        <v>12.3599999999999</v>
      </c>
      <c r="F240" s="14">
        <v>3.83</v>
      </c>
      <c r="G240" s="14">
        <v>2.3799999999999901</v>
      </c>
      <c r="H240" s="14">
        <v>21</v>
      </c>
      <c r="I240" s="14">
        <v>88</v>
      </c>
      <c r="J240" s="14">
        <v>2.2999999999999901</v>
      </c>
      <c r="K240" s="14">
        <v>0.92</v>
      </c>
      <c r="L240" s="14">
        <v>0.5</v>
      </c>
      <c r="M240" s="14">
        <v>1.04</v>
      </c>
      <c r="N240" s="14">
        <v>7.65</v>
      </c>
      <c r="O240" s="14">
        <v>0.56000000000000005</v>
      </c>
      <c r="P240" s="14">
        <v>1.58</v>
      </c>
      <c r="Q240">
        <v>520</v>
      </c>
    </row>
    <row r="241" spans="3:17" x14ac:dyDescent="0.25">
      <c r="C241" s="15" t="s">
        <v>390</v>
      </c>
      <c r="D241" s="14" t="s">
        <v>15</v>
      </c>
      <c r="E241" s="14">
        <v>13.69</v>
      </c>
      <c r="F241" s="14">
        <v>3.25999999999999</v>
      </c>
      <c r="G241" s="14">
        <v>2.54</v>
      </c>
      <c r="H241" s="14">
        <v>20</v>
      </c>
      <c r="I241" s="14">
        <v>107</v>
      </c>
      <c r="J241" s="14">
        <v>1.83</v>
      </c>
      <c r="K241" s="14">
        <v>0.56000000000000005</v>
      </c>
      <c r="L241" s="14">
        <v>0.5</v>
      </c>
      <c r="M241" s="14">
        <v>0.8</v>
      </c>
      <c r="N241" s="14">
        <v>5.8799999999999901</v>
      </c>
      <c r="O241" s="14">
        <v>0.95999999999999897</v>
      </c>
      <c r="P241" s="14">
        <v>1.82</v>
      </c>
      <c r="Q241">
        <v>680</v>
      </c>
    </row>
    <row r="242" spans="3:17" x14ac:dyDescent="0.25">
      <c r="C242" s="15" t="s">
        <v>391</v>
      </c>
      <c r="D242" s="14" t="s">
        <v>15</v>
      </c>
      <c r="E242" s="14">
        <v>12.85</v>
      </c>
      <c r="F242" s="14">
        <v>3.27</v>
      </c>
      <c r="G242" s="14">
        <v>2.58</v>
      </c>
      <c r="H242" s="14">
        <v>22</v>
      </c>
      <c r="I242" s="14">
        <v>106</v>
      </c>
      <c r="J242" s="14">
        <v>1.6499999999999899</v>
      </c>
      <c r="K242" s="14">
        <v>0.59999999999999898</v>
      </c>
      <c r="L242" s="14">
        <v>0.59999999999999898</v>
      </c>
      <c r="M242" s="14">
        <v>0.95999999999999897</v>
      </c>
      <c r="N242" s="14">
        <v>5.58</v>
      </c>
      <c r="O242" s="14">
        <v>0.87</v>
      </c>
      <c r="P242" s="14">
        <v>2.1099999999999901</v>
      </c>
      <c r="Q242">
        <v>570</v>
      </c>
    </row>
    <row r="243" spans="3:17" x14ac:dyDescent="0.25">
      <c r="C243" s="15" t="s">
        <v>393</v>
      </c>
      <c r="D243" s="14" t="s">
        <v>15</v>
      </c>
      <c r="E243" s="14">
        <v>13.7799999999999</v>
      </c>
      <c r="F243" s="14">
        <v>2.75999999999999</v>
      </c>
      <c r="G243" s="14">
        <v>2.2999999999999901</v>
      </c>
      <c r="H243" s="14">
        <v>19.682317073170701</v>
      </c>
      <c r="I243" s="14">
        <v>90</v>
      </c>
      <c r="J243" s="14">
        <v>1.35</v>
      </c>
      <c r="K243" s="14">
        <v>0.68</v>
      </c>
      <c r="L243" s="14">
        <v>0.40999999999999898</v>
      </c>
      <c r="M243" s="14">
        <v>1.03</v>
      </c>
      <c r="N243" s="14">
        <v>9.58</v>
      </c>
      <c r="O243" s="14">
        <v>0.69999999999999896</v>
      </c>
      <c r="P243" s="14">
        <v>1.6799999999999899</v>
      </c>
      <c r="Q243">
        <v>615</v>
      </c>
    </row>
    <row r="244" spans="3:17" x14ac:dyDescent="0.25">
      <c r="C244" s="15" t="s">
        <v>394</v>
      </c>
      <c r="D244" s="14" t="s">
        <v>15</v>
      </c>
      <c r="E244" s="14">
        <v>13.73</v>
      </c>
      <c r="F244" s="14">
        <v>4.3600000000000003</v>
      </c>
      <c r="G244" s="14">
        <v>2.25999999999999</v>
      </c>
      <c r="H244" s="14">
        <v>22.5</v>
      </c>
      <c r="I244" s="14">
        <v>88</v>
      </c>
      <c r="J244" s="14">
        <v>1.28</v>
      </c>
      <c r="K244" s="14">
        <v>0.46999999999999897</v>
      </c>
      <c r="L244" s="14">
        <v>0.52</v>
      </c>
      <c r="M244" s="14">
        <v>1.1499999999999899</v>
      </c>
      <c r="N244" s="14">
        <v>6.62</v>
      </c>
      <c r="O244" s="14">
        <v>0.78</v>
      </c>
      <c r="P244" s="14">
        <v>1.75</v>
      </c>
      <c r="Q244">
        <v>520</v>
      </c>
    </row>
    <row r="245" spans="3:17" x14ac:dyDescent="0.25">
      <c r="C245" s="15" t="s">
        <v>395</v>
      </c>
      <c r="D245" s="14" t="s">
        <v>15</v>
      </c>
      <c r="E245" s="14">
        <v>13.4499999999999</v>
      </c>
      <c r="F245" s="14">
        <v>3.7</v>
      </c>
      <c r="G245" s="14">
        <v>2.6</v>
      </c>
      <c r="H245" s="14">
        <v>23</v>
      </c>
      <c r="I245" s="14">
        <v>111</v>
      </c>
      <c r="J245" s="14">
        <v>1.7</v>
      </c>
      <c r="K245" s="14">
        <v>0.92</v>
      </c>
      <c r="L245" s="14">
        <v>0.42999999999999899</v>
      </c>
      <c r="M245" s="14">
        <v>1.46</v>
      </c>
      <c r="N245" s="14">
        <v>10.68</v>
      </c>
      <c r="O245" s="14">
        <v>0.84999999999999898</v>
      </c>
      <c r="P245" s="14">
        <v>1.56</v>
      </c>
      <c r="Q245">
        <v>695</v>
      </c>
    </row>
    <row r="246" spans="3:17" x14ac:dyDescent="0.25">
      <c r="C246" s="15" t="s">
        <v>396</v>
      </c>
      <c r="D246" s="14" t="s">
        <v>15</v>
      </c>
      <c r="E246" s="14">
        <v>12.82</v>
      </c>
      <c r="F246" s="14">
        <v>3.37</v>
      </c>
      <c r="G246" s="14">
        <v>2.2999999999999901</v>
      </c>
      <c r="H246" s="14">
        <v>19.5</v>
      </c>
      <c r="I246" s="14">
        <v>88</v>
      </c>
      <c r="J246" s="14">
        <v>1.48</v>
      </c>
      <c r="K246" s="14">
        <v>0.66</v>
      </c>
      <c r="L246" s="14">
        <v>0.4</v>
      </c>
      <c r="M246" s="14">
        <v>0.96999999999999897</v>
      </c>
      <c r="N246" s="14">
        <v>10.26</v>
      </c>
      <c r="O246" s="14">
        <v>0.71999999999999897</v>
      </c>
      <c r="P246" s="14">
        <v>1.75</v>
      </c>
      <c r="Q246">
        <v>685</v>
      </c>
    </row>
    <row r="247" spans="3:17" x14ac:dyDescent="0.25">
      <c r="C247" s="15" t="s">
        <v>397</v>
      </c>
      <c r="D247" s="14" t="s">
        <v>15</v>
      </c>
      <c r="E247" s="14">
        <v>13.58</v>
      </c>
      <c r="F247" s="14">
        <v>2.58</v>
      </c>
      <c r="G247" s="14">
        <v>2.6899999999999902</v>
      </c>
      <c r="H247" s="14">
        <v>24.5</v>
      </c>
      <c r="I247" s="14">
        <v>105</v>
      </c>
      <c r="J247" s="14">
        <v>1.55</v>
      </c>
      <c r="K247" s="14">
        <v>0.83999999999999897</v>
      </c>
      <c r="L247" s="14">
        <v>0.36538226299694199</v>
      </c>
      <c r="M247" s="14">
        <v>1.54</v>
      </c>
      <c r="N247" s="14">
        <v>8.66</v>
      </c>
      <c r="O247" s="14">
        <v>0.73999999999999899</v>
      </c>
      <c r="P247" s="14">
        <v>1.8</v>
      </c>
      <c r="Q247">
        <v>750</v>
      </c>
    </row>
    <row r="248" spans="3:17" x14ac:dyDescent="0.25">
      <c r="C248" s="15" t="s">
        <v>398</v>
      </c>
      <c r="D248" s="14" t="s">
        <v>15</v>
      </c>
      <c r="E248" s="14">
        <v>13.4</v>
      </c>
      <c r="F248" s="14">
        <v>4.5999999999999899</v>
      </c>
      <c r="G248" s="14">
        <v>2.8599999999999901</v>
      </c>
      <c r="H248" s="14">
        <v>25</v>
      </c>
      <c r="I248" s="14">
        <v>112</v>
      </c>
      <c r="J248" s="14">
        <v>1.98</v>
      </c>
      <c r="K248" s="14">
        <v>0.95999999999999897</v>
      </c>
      <c r="L248" s="14">
        <v>0.27</v>
      </c>
      <c r="M248" s="14">
        <v>1.1100000000000001</v>
      </c>
      <c r="N248" s="14">
        <v>8.5</v>
      </c>
      <c r="O248" s="14">
        <v>0.67</v>
      </c>
      <c r="P248" s="14">
        <v>1.9199999999999899</v>
      </c>
      <c r="Q248">
        <v>630</v>
      </c>
    </row>
    <row r="249" spans="3:17" x14ac:dyDescent="0.25">
      <c r="C249" s="15" t="s">
        <v>400</v>
      </c>
      <c r="D249" s="14" t="s">
        <v>15</v>
      </c>
      <c r="E249" s="14">
        <v>12.77</v>
      </c>
      <c r="F249" s="14">
        <v>2.39</v>
      </c>
      <c r="G249" s="14">
        <v>2.27999999999999</v>
      </c>
      <c r="H249" s="14">
        <v>19.5</v>
      </c>
      <c r="I249" s="14">
        <v>86</v>
      </c>
      <c r="J249" s="14">
        <v>1.3899999999999899</v>
      </c>
      <c r="K249" s="14">
        <v>0.51</v>
      </c>
      <c r="L249" s="14">
        <v>0.47999999999999898</v>
      </c>
      <c r="M249" s="14">
        <v>0.64</v>
      </c>
      <c r="N249" s="14">
        <v>9.8999989999999904</v>
      </c>
      <c r="O249" s="14">
        <v>0.56999999999999895</v>
      </c>
      <c r="P249" s="14">
        <v>1.6299999999999899</v>
      </c>
      <c r="Q249">
        <v>470</v>
      </c>
    </row>
    <row r="250" spans="3:17" x14ac:dyDescent="0.25">
      <c r="C250" s="15" t="s">
        <v>401</v>
      </c>
      <c r="D250" s="14" t="s">
        <v>15</v>
      </c>
      <c r="E250" s="14">
        <v>14.16</v>
      </c>
      <c r="F250" s="14">
        <v>2.50999999999999</v>
      </c>
      <c r="G250" s="14">
        <v>2.48</v>
      </c>
      <c r="H250" s="14">
        <v>20</v>
      </c>
      <c r="I250" s="14">
        <v>91</v>
      </c>
      <c r="J250" s="14">
        <v>1.6799999999999899</v>
      </c>
      <c r="K250" s="14">
        <v>0.69999999999999896</v>
      </c>
      <c r="L250" s="14">
        <v>0.44</v>
      </c>
      <c r="M250" s="14">
        <v>1.24</v>
      </c>
      <c r="N250" s="14">
        <v>9.6999999999999904</v>
      </c>
      <c r="O250" s="14">
        <v>0.62</v>
      </c>
      <c r="P250" s="14">
        <v>1.71</v>
      </c>
      <c r="Q250">
        <v>660</v>
      </c>
    </row>
    <row r="251" spans="3:17" x14ac:dyDescent="0.25">
      <c r="C251" s="15" t="s">
        <v>402</v>
      </c>
      <c r="D251" s="14" t="s">
        <v>15</v>
      </c>
      <c r="E251" s="14">
        <v>13.71</v>
      </c>
      <c r="F251" s="14">
        <v>5.65</v>
      </c>
      <c r="G251" s="14">
        <v>2.4500000000000002</v>
      </c>
      <c r="H251" s="14">
        <v>20.5</v>
      </c>
      <c r="I251" s="14">
        <v>95</v>
      </c>
      <c r="J251" s="14">
        <v>1.6799999999999899</v>
      </c>
      <c r="K251" s="14">
        <v>0.60999999999999899</v>
      </c>
      <c r="L251" s="14">
        <v>0.52</v>
      </c>
      <c r="M251" s="14">
        <v>1.06</v>
      </c>
      <c r="N251" s="14">
        <v>7.7</v>
      </c>
      <c r="O251" s="14">
        <v>0.64</v>
      </c>
      <c r="P251" s="14">
        <v>1.74</v>
      </c>
      <c r="Q251">
        <v>740</v>
      </c>
    </row>
    <row r="252" spans="3:17" x14ac:dyDescent="0.25">
      <c r="C252" s="15" t="s">
        <v>211</v>
      </c>
      <c r="D252" s="14" t="s">
        <v>15</v>
      </c>
      <c r="E252" s="14">
        <v>12.5299999999999</v>
      </c>
      <c r="F252" s="14">
        <v>5.50999999999999</v>
      </c>
      <c r="G252" s="14">
        <v>2.64</v>
      </c>
      <c r="H252" s="14">
        <v>25</v>
      </c>
      <c r="I252" s="14">
        <v>96</v>
      </c>
      <c r="J252" s="14">
        <v>1.79</v>
      </c>
      <c r="K252" s="14">
        <v>0.59999999999999898</v>
      </c>
      <c r="L252" s="14">
        <v>0.63</v>
      </c>
      <c r="M252" s="14">
        <v>1.1000000000000001</v>
      </c>
      <c r="N252" s="14">
        <v>5</v>
      </c>
      <c r="O252" s="14">
        <v>0.81999999999999895</v>
      </c>
      <c r="P252" s="14">
        <v>1.68999999999999</v>
      </c>
      <c r="Q252">
        <v>515</v>
      </c>
    </row>
    <row r="253" spans="3:17" x14ac:dyDescent="0.25">
      <c r="C253" s="15" t="s">
        <v>217</v>
      </c>
      <c r="D253" s="14" t="s">
        <v>15</v>
      </c>
      <c r="E253" s="14">
        <v>13.6199999999999</v>
      </c>
      <c r="F253" s="14">
        <v>4.95</v>
      </c>
      <c r="G253" s="14">
        <v>2.35</v>
      </c>
      <c r="H253" s="14">
        <v>20</v>
      </c>
      <c r="I253" s="14">
        <v>92</v>
      </c>
      <c r="J253" s="14">
        <v>2</v>
      </c>
      <c r="K253" s="14">
        <v>0.8</v>
      </c>
      <c r="L253" s="14">
        <v>0.46999999999999897</v>
      </c>
      <c r="M253" s="14">
        <v>1.02</v>
      </c>
      <c r="N253" s="14">
        <v>4.4000000000000004</v>
      </c>
      <c r="O253" s="14">
        <v>0.91</v>
      </c>
      <c r="P253" s="14">
        <v>2.0499999999999901</v>
      </c>
      <c r="Q253">
        <v>550</v>
      </c>
    </row>
    <row r="254" spans="3:17" x14ac:dyDescent="0.25">
      <c r="C254" s="15" t="s">
        <v>324</v>
      </c>
      <c r="D254" s="14" t="s">
        <v>14</v>
      </c>
      <c r="E254" s="14">
        <v>12.47</v>
      </c>
      <c r="F254" s="14">
        <v>1.52</v>
      </c>
      <c r="G254" s="14">
        <v>2.2000000000000002</v>
      </c>
      <c r="H254" s="14">
        <v>19</v>
      </c>
      <c r="I254" s="14">
        <v>162</v>
      </c>
      <c r="J254" s="14">
        <v>2.5</v>
      </c>
      <c r="K254" s="14">
        <v>2.27</v>
      </c>
      <c r="L254" s="14">
        <v>0.32</v>
      </c>
      <c r="M254" s="14">
        <v>3.27999999999999</v>
      </c>
      <c r="N254" s="14">
        <v>2.6</v>
      </c>
      <c r="O254" s="14">
        <v>1.1599999999999899</v>
      </c>
      <c r="P254" s="14">
        <v>2.6299999999999901</v>
      </c>
      <c r="Q254">
        <v>937</v>
      </c>
    </row>
    <row r="255" spans="3:17" x14ac:dyDescent="0.25">
      <c r="C255" s="15" t="s">
        <v>104</v>
      </c>
      <c r="D255" s="14" t="s">
        <v>13</v>
      </c>
      <c r="E255" s="14">
        <v>13.73</v>
      </c>
      <c r="F255" s="14">
        <v>1.5</v>
      </c>
      <c r="G255" s="14">
        <v>2.7</v>
      </c>
      <c r="H255" s="14">
        <v>22.5</v>
      </c>
      <c r="I255" s="14">
        <v>101</v>
      </c>
      <c r="J255" s="14">
        <v>3</v>
      </c>
      <c r="K255" s="14">
        <v>3.25</v>
      </c>
      <c r="L255" s="14">
        <v>0.28999999999999898</v>
      </c>
      <c r="M255" s="14">
        <v>2.3799999999999901</v>
      </c>
      <c r="N255" s="14">
        <v>5.7</v>
      </c>
      <c r="O255" s="14">
        <v>1.18999999999999</v>
      </c>
      <c r="P255" s="14">
        <v>2.71</v>
      </c>
      <c r="Q255">
        <v>1285</v>
      </c>
    </row>
    <row r="256" spans="3:17" x14ac:dyDescent="0.25">
      <c r="C256" s="15" t="s">
        <v>100</v>
      </c>
      <c r="D256" s="14" t="s">
        <v>13</v>
      </c>
      <c r="E256" s="14">
        <v>13.39</v>
      </c>
      <c r="F256" s="14">
        <v>1.77</v>
      </c>
      <c r="G256" s="14">
        <v>2.62</v>
      </c>
      <c r="H256" s="14">
        <v>16.100000000000001</v>
      </c>
      <c r="I256" s="14">
        <v>93</v>
      </c>
      <c r="J256" s="14">
        <v>2.85</v>
      </c>
      <c r="K256" s="14">
        <v>2.9399999999999902</v>
      </c>
      <c r="L256" s="14">
        <v>0.34</v>
      </c>
      <c r="M256" s="14">
        <v>1.45</v>
      </c>
      <c r="N256" s="14">
        <v>4.7999999999999901</v>
      </c>
      <c r="O256" s="14">
        <v>0.92</v>
      </c>
      <c r="P256" s="14">
        <v>3.22</v>
      </c>
      <c r="Q256">
        <v>1195</v>
      </c>
    </row>
    <row r="257" spans="3:17" x14ac:dyDescent="0.25">
      <c r="C257" s="15" t="s">
        <v>167</v>
      </c>
      <c r="D257" s="14" t="s">
        <v>14</v>
      </c>
      <c r="E257" s="14">
        <v>12.2899999999999</v>
      </c>
      <c r="F257" s="14">
        <v>2.83</v>
      </c>
      <c r="G257" s="14">
        <v>2.2200000000000002</v>
      </c>
      <c r="H257" s="14">
        <v>18</v>
      </c>
      <c r="I257" s="14">
        <v>88</v>
      </c>
      <c r="J257" s="14">
        <v>2.4500000000000002</v>
      </c>
      <c r="K257" s="14">
        <v>2.25</v>
      </c>
      <c r="L257" s="14">
        <v>0.25</v>
      </c>
      <c r="M257" s="14">
        <v>1.99</v>
      </c>
      <c r="N257" s="14">
        <v>2.1499999999999901</v>
      </c>
      <c r="O257" s="14">
        <v>1.1499999999999899</v>
      </c>
      <c r="P257" s="14">
        <v>3.2999999999999901</v>
      </c>
      <c r="Q257">
        <v>290</v>
      </c>
    </row>
    <row r="258" spans="3:17" x14ac:dyDescent="0.25">
      <c r="C258" s="15" t="s">
        <v>267</v>
      </c>
      <c r="D258" s="14" t="s">
        <v>13</v>
      </c>
      <c r="E258" s="14">
        <v>13.07</v>
      </c>
      <c r="F258" s="14">
        <v>1.5</v>
      </c>
      <c r="G258" s="14">
        <v>2.1</v>
      </c>
      <c r="H258" s="14">
        <v>15.5</v>
      </c>
      <c r="I258" s="14">
        <v>98</v>
      </c>
      <c r="J258" s="14">
        <v>2.3999999999999901</v>
      </c>
      <c r="K258" s="14">
        <v>2.64</v>
      </c>
      <c r="L258" s="14">
        <v>0.28000000000000003</v>
      </c>
      <c r="M258" s="14">
        <v>1.37</v>
      </c>
      <c r="N258" s="14">
        <v>3.7</v>
      </c>
      <c r="O258" s="14">
        <v>1.1799999999999899</v>
      </c>
      <c r="P258" s="14">
        <v>2.6899999999999902</v>
      </c>
      <c r="Q258">
        <v>1020</v>
      </c>
    </row>
    <row r="259" spans="3:17" x14ac:dyDescent="0.25">
      <c r="C259" s="15" t="s">
        <v>87</v>
      </c>
      <c r="D259" s="14" t="s">
        <v>13</v>
      </c>
      <c r="E259" s="14">
        <v>14.75</v>
      </c>
      <c r="F259" s="14">
        <v>1.73</v>
      </c>
      <c r="G259" s="14">
        <v>2.39</v>
      </c>
      <c r="H259" s="14">
        <v>11.4</v>
      </c>
      <c r="I259" s="14">
        <v>91</v>
      </c>
      <c r="J259" s="14">
        <v>3.1</v>
      </c>
      <c r="K259" s="14">
        <v>3.6899999999999902</v>
      </c>
      <c r="L259" s="14">
        <v>0.42999999999999899</v>
      </c>
      <c r="M259" s="14">
        <v>2.81</v>
      </c>
      <c r="N259" s="14">
        <v>5.4</v>
      </c>
      <c r="O259" s="14">
        <v>1.25</v>
      </c>
      <c r="P259" s="14">
        <v>2.73</v>
      </c>
      <c r="Q259">
        <v>1150</v>
      </c>
    </row>
    <row r="260" spans="3:17" x14ac:dyDescent="0.25">
      <c r="C260" s="15" t="s">
        <v>90</v>
      </c>
      <c r="D260" s="14" t="s">
        <v>13</v>
      </c>
      <c r="E260" s="14">
        <v>14.3</v>
      </c>
      <c r="F260" s="14">
        <v>1.9199999999999899</v>
      </c>
      <c r="G260" s="14">
        <v>2.72</v>
      </c>
      <c r="H260" s="14">
        <v>20</v>
      </c>
      <c r="I260" s="14">
        <v>120</v>
      </c>
      <c r="J260" s="14">
        <v>2.7999999999999901</v>
      </c>
      <c r="K260" s="14">
        <v>3.14</v>
      </c>
      <c r="L260" s="14">
        <v>0.33</v>
      </c>
      <c r="M260" s="14">
        <v>1.97</v>
      </c>
      <c r="N260" s="14">
        <v>6.2</v>
      </c>
      <c r="O260" s="14">
        <v>1.07</v>
      </c>
      <c r="P260" s="14">
        <v>2.6499999999999901</v>
      </c>
      <c r="Q260">
        <v>1280</v>
      </c>
    </row>
    <row r="261" spans="3:17" x14ac:dyDescent="0.25">
      <c r="C261" s="15" t="s">
        <v>145</v>
      </c>
      <c r="D261" s="14" t="s">
        <v>14</v>
      </c>
      <c r="E261" s="14">
        <v>13.8599999999999</v>
      </c>
      <c r="F261" s="14">
        <v>1.51</v>
      </c>
      <c r="G261" s="14">
        <v>2.6699999999999902</v>
      </c>
      <c r="H261" s="14">
        <v>25</v>
      </c>
      <c r="I261" s="14">
        <v>86</v>
      </c>
      <c r="J261" s="14">
        <v>2.95</v>
      </c>
      <c r="K261" s="14">
        <v>2.8599999999999901</v>
      </c>
      <c r="L261" s="14">
        <v>0.20999999999999899</v>
      </c>
      <c r="M261" s="14">
        <v>1.87</v>
      </c>
      <c r="N261" s="14">
        <v>3.3799999999999901</v>
      </c>
      <c r="O261" s="14">
        <v>1.36</v>
      </c>
      <c r="P261" s="14">
        <v>3.16</v>
      </c>
      <c r="Q261">
        <v>410</v>
      </c>
    </row>
    <row r="262" spans="3:17" x14ac:dyDescent="0.25">
      <c r="C262" s="15" t="s">
        <v>77</v>
      </c>
      <c r="D262" s="14" t="s">
        <v>13</v>
      </c>
      <c r="E262" s="14">
        <v>14.3699999999999</v>
      </c>
      <c r="F262" s="14">
        <v>1.95</v>
      </c>
      <c r="G262" s="14">
        <v>2.5</v>
      </c>
      <c r="H262" s="14">
        <v>16.8</v>
      </c>
      <c r="I262" s="14">
        <v>113</v>
      </c>
      <c r="J262" s="14">
        <v>3.85</v>
      </c>
      <c r="K262" s="14">
        <v>3.49</v>
      </c>
      <c r="L262" s="14">
        <v>0.23999999999999899</v>
      </c>
      <c r="M262" s="14">
        <v>2.1800000000000002</v>
      </c>
      <c r="N262" s="14">
        <v>7.7999999999999901</v>
      </c>
      <c r="O262" s="14">
        <v>0.85999999999999899</v>
      </c>
      <c r="P262" s="14">
        <v>3.45</v>
      </c>
      <c r="Q262">
        <v>1480</v>
      </c>
    </row>
    <row r="263" spans="3:17" x14ac:dyDescent="0.25">
      <c r="C263" s="15" t="s">
        <v>238</v>
      </c>
      <c r="D263" s="14" t="s">
        <v>15</v>
      </c>
      <c r="E263" s="14">
        <v>13.7799999999999</v>
      </c>
      <c r="F263" s="14">
        <v>2.75999999999999</v>
      </c>
      <c r="G263" s="14">
        <v>2.2999999999999901</v>
      </c>
      <c r="H263" s="14">
        <v>22</v>
      </c>
      <c r="I263" s="14">
        <v>90</v>
      </c>
      <c r="J263" s="14">
        <v>1.35</v>
      </c>
      <c r="K263" s="14">
        <v>0.68</v>
      </c>
      <c r="L263" s="14">
        <v>0.40999999999999898</v>
      </c>
      <c r="M263" s="14">
        <v>1.03</v>
      </c>
      <c r="N263" s="14">
        <v>9.58</v>
      </c>
      <c r="O263" s="14">
        <v>0.69999999999999896</v>
      </c>
      <c r="P263" s="14">
        <v>1.6799999999999899</v>
      </c>
      <c r="Q263">
        <v>615</v>
      </c>
    </row>
    <row r="264" spans="3:17" x14ac:dyDescent="0.25">
      <c r="C264" s="15" t="s">
        <v>382</v>
      </c>
      <c r="D264" s="14" t="s">
        <v>15</v>
      </c>
      <c r="E264" s="14">
        <v>13.23</v>
      </c>
      <c r="F264" s="14">
        <v>3.2999999999999901</v>
      </c>
      <c r="G264" s="14">
        <v>2.27999999999999</v>
      </c>
      <c r="H264" s="14">
        <v>18.5</v>
      </c>
      <c r="I264" s="14">
        <v>98</v>
      </c>
      <c r="J264" s="14">
        <v>1.8</v>
      </c>
      <c r="K264" s="14">
        <v>0.82999999999999896</v>
      </c>
      <c r="L264" s="14">
        <v>0.60999999999999899</v>
      </c>
      <c r="M264" s="14">
        <v>1.87</v>
      </c>
      <c r="N264" s="14">
        <v>10.52</v>
      </c>
      <c r="O264" s="14">
        <v>0.56000000000000005</v>
      </c>
      <c r="P264" s="14">
        <v>1.51</v>
      </c>
      <c r="Q264">
        <v>675</v>
      </c>
    </row>
    <row r="265" spans="3:17" x14ac:dyDescent="0.25">
      <c r="C265" s="15" t="s">
        <v>116</v>
      </c>
      <c r="D265" s="14" t="s">
        <v>13</v>
      </c>
      <c r="E265" s="14">
        <v>13.88</v>
      </c>
      <c r="F265" s="14">
        <v>1.8899999999999899</v>
      </c>
      <c r="G265" s="14">
        <v>2.5899999999999901</v>
      </c>
      <c r="H265" s="14">
        <v>15</v>
      </c>
      <c r="I265" s="14">
        <v>101</v>
      </c>
      <c r="J265" s="14">
        <v>3.25</v>
      </c>
      <c r="K265" s="14">
        <v>3.56</v>
      </c>
      <c r="L265" s="14">
        <v>0.17</v>
      </c>
      <c r="M265" s="14">
        <v>1.7</v>
      </c>
      <c r="N265" s="14">
        <v>5.4299999999999899</v>
      </c>
      <c r="O265" s="14">
        <v>0.88</v>
      </c>
      <c r="P265" s="14">
        <v>3.56</v>
      </c>
      <c r="Q265">
        <v>1095</v>
      </c>
    </row>
    <row r="266" spans="3:17" x14ac:dyDescent="0.25">
      <c r="C266" s="15" t="s">
        <v>310</v>
      </c>
      <c r="D266" s="14" t="s">
        <v>14</v>
      </c>
      <c r="E266" s="14">
        <v>12.72</v>
      </c>
      <c r="F266" s="14">
        <v>1.81</v>
      </c>
      <c r="G266" s="14">
        <v>2.2000000000000002</v>
      </c>
      <c r="H266" s="14">
        <v>18.8</v>
      </c>
      <c r="I266" s="14">
        <v>86</v>
      </c>
      <c r="J266" s="14">
        <v>2.2000000000000002</v>
      </c>
      <c r="K266" s="14">
        <v>2.52999999999999</v>
      </c>
      <c r="L266" s="14">
        <v>0.26</v>
      </c>
      <c r="M266" s="14">
        <v>1.77</v>
      </c>
      <c r="N266" s="14">
        <v>3.8999999999999901</v>
      </c>
      <c r="O266" s="14">
        <v>1.1599999999999899</v>
      </c>
      <c r="P266" s="14">
        <v>3.14</v>
      </c>
      <c r="Q266">
        <v>714</v>
      </c>
    </row>
    <row r="267" spans="3:17" x14ac:dyDescent="0.25">
      <c r="C267" s="15" t="s">
        <v>109</v>
      </c>
      <c r="D267" s="14" t="s">
        <v>13</v>
      </c>
      <c r="E267" s="14">
        <v>13.48</v>
      </c>
      <c r="F267" s="14">
        <v>1.81</v>
      </c>
      <c r="G267" s="14">
        <v>2.41</v>
      </c>
      <c r="H267" s="14">
        <v>20.5</v>
      </c>
      <c r="I267" s="14">
        <v>100</v>
      </c>
      <c r="J267" s="14">
        <v>2.7</v>
      </c>
      <c r="K267" s="14">
        <v>2.98</v>
      </c>
      <c r="L267" s="14">
        <v>0.26</v>
      </c>
      <c r="M267" s="14">
        <v>1.86</v>
      </c>
      <c r="N267" s="14">
        <v>5.0999999999999899</v>
      </c>
      <c r="O267" s="14">
        <v>1.04</v>
      </c>
      <c r="P267" s="14">
        <v>3.47</v>
      </c>
      <c r="Q267">
        <v>920</v>
      </c>
    </row>
    <row r="268" spans="3:17" x14ac:dyDescent="0.25">
      <c r="C268" s="15" t="s">
        <v>348</v>
      </c>
      <c r="D268" s="14" t="s">
        <v>14</v>
      </c>
      <c r="E268" s="14">
        <v>12</v>
      </c>
      <c r="F268" s="14">
        <v>3.43</v>
      </c>
      <c r="G268" s="14">
        <v>2</v>
      </c>
      <c r="H268" s="14">
        <v>19</v>
      </c>
      <c r="I268" s="14">
        <v>87</v>
      </c>
      <c r="J268" s="14">
        <v>2</v>
      </c>
      <c r="K268" s="14">
        <v>1.6399999999999899</v>
      </c>
      <c r="L268" s="14">
        <v>0.37</v>
      </c>
      <c r="M268" s="14">
        <v>1.87</v>
      </c>
      <c r="N268" s="14">
        <v>1.28</v>
      </c>
      <c r="O268" s="14">
        <v>0.93</v>
      </c>
      <c r="P268" s="14">
        <v>3.0499999999999901</v>
      </c>
      <c r="Q268">
        <v>564</v>
      </c>
    </row>
    <row r="269" spans="3:17" x14ac:dyDescent="0.25">
      <c r="C269" s="15" t="s">
        <v>189</v>
      </c>
      <c r="D269" s="14" t="s">
        <v>14</v>
      </c>
      <c r="E269" s="14">
        <v>11.0299999999999</v>
      </c>
      <c r="F269" s="14">
        <v>1.51</v>
      </c>
      <c r="G269" s="14">
        <v>2.2000000000000002</v>
      </c>
      <c r="H269" s="14">
        <v>21.5</v>
      </c>
      <c r="I269" s="14">
        <v>85</v>
      </c>
      <c r="J269" s="14">
        <v>2.46</v>
      </c>
      <c r="K269" s="14">
        <v>2.1699999999999902</v>
      </c>
      <c r="L269" s="14">
        <v>0.52</v>
      </c>
      <c r="M269" s="14">
        <v>2.00999999999999</v>
      </c>
      <c r="N269" s="14">
        <v>1.8999999999999899</v>
      </c>
      <c r="O269" s="14">
        <v>1.71</v>
      </c>
      <c r="P269" s="14">
        <v>2.87</v>
      </c>
      <c r="Q269">
        <v>407</v>
      </c>
    </row>
    <row r="270" spans="3:17" x14ac:dyDescent="0.25">
      <c r="C270" s="15" t="s">
        <v>352</v>
      </c>
      <c r="D270" s="14" t="s">
        <v>14</v>
      </c>
      <c r="E270" s="14">
        <v>13.05</v>
      </c>
      <c r="F270" s="14">
        <v>5.7999999999999901</v>
      </c>
      <c r="G270" s="14">
        <v>2.1299999999999901</v>
      </c>
      <c r="H270" s="14">
        <v>21.5</v>
      </c>
      <c r="I270" s="14">
        <v>86</v>
      </c>
      <c r="J270" s="14">
        <v>2.62</v>
      </c>
      <c r="K270" s="14">
        <v>2.6499999999999901</v>
      </c>
      <c r="L270" s="14">
        <v>0.36538226299694199</v>
      </c>
      <c r="M270" s="14">
        <v>2.00999999999999</v>
      </c>
      <c r="N270" s="14">
        <v>2.6</v>
      </c>
      <c r="O270" s="14">
        <v>0.72999999999999898</v>
      </c>
      <c r="P270" s="14">
        <v>3.1</v>
      </c>
      <c r="Q270">
        <v>380</v>
      </c>
    </row>
    <row r="271" spans="3:17" x14ac:dyDescent="0.25">
      <c r="C271" s="15" t="s">
        <v>83</v>
      </c>
      <c r="D271" s="14" t="s">
        <v>13</v>
      </c>
      <c r="E271" s="14">
        <v>13.8599999999999</v>
      </c>
      <c r="F271" s="14">
        <v>1.35</v>
      </c>
      <c r="G271" s="14">
        <v>2.27</v>
      </c>
      <c r="H271" s="14">
        <v>16</v>
      </c>
      <c r="I271" s="14">
        <v>98</v>
      </c>
      <c r="J271" s="14">
        <v>2.98</v>
      </c>
      <c r="K271" s="14">
        <v>3.1499999999999901</v>
      </c>
      <c r="L271" s="14">
        <v>0.22</v>
      </c>
      <c r="M271" s="14">
        <v>1.85</v>
      </c>
      <c r="N271" s="14">
        <v>7.21999999999999</v>
      </c>
      <c r="O271" s="14">
        <v>1.01</v>
      </c>
      <c r="P271" s="14">
        <v>3.5499999999999901</v>
      </c>
      <c r="Q271">
        <v>1045</v>
      </c>
    </row>
    <row r="272" spans="3:17" x14ac:dyDescent="0.25">
      <c r="C272" s="15" t="s">
        <v>79</v>
      </c>
      <c r="D272" s="14" t="s">
        <v>13</v>
      </c>
      <c r="E272" s="14">
        <v>14.1999999999999</v>
      </c>
      <c r="F272" s="14">
        <v>1.76</v>
      </c>
      <c r="G272" s="14">
        <v>2.4500000000000002</v>
      </c>
      <c r="H272" s="14">
        <v>15.1999999999999</v>
      </c>
      <c r="I272" s="14">
        <v>112</v>
      </c>
      <c r="J272" s="14">
        <v>3.27</v>
      </c>
      <c r="K272" s="14">
        <v>3.39</v>
      </c>
      <c r="L272" s="14">
        <v>0.34</v>
      </c>
      <c r="M272" s="14">
        <v>1.97</v>
      </c>
      <c r="N272" s="14">
        <v>6.75</v>
      </c>
      <c r="O272" s="14">
        <v>1.05</v>
      </c>
      <c r="P272" s="14">
        <v>2.85</v>
      </c>
      <c r="Q272">
        <v>1450</v>
      </c>
    </row>
    <row r="273" spans="3:17" x14ac:dyDescent="0.25">
      <c r="C273" s="15" t="s">
        <v>137</v>
      </c>
      <c r="D273" s="14" t="s">
        <v>14</v>
      </c>
      <c r="E273" s="14">
        <v>12.3699999999999</v>
      </c>
      <c r="F273" s="14">
        <v>1.1299999999999899</v>
      </c>
      <c r="G273" s="14">
        <v>2.16</v>
      </c>
      <c r="H273" s="14">
        <v>19</v>
      </c>
      <c r="I273" s="14">
        <v>87</v>
      </c>
      <c r="J273" s="14">
        <v>3.5</v>
      </c>
      <c r="K273" s="14">
        <v>3.1</v>
      </c>
      <c r="L273" s="14">
        <v>0.19</v>
      </c>
      <c r="M273" s="14">
        <v>1.87</v>
      </c>
      <c r="N273" s="14">
        <v>4.45</v>
      </c>
      <c r="O273" s="14">
        <v>1.22</v>
      </c>
      <c r="P273" s="14">
        <v>2.87</v>
      </c>
      <c r="Q273">
        <v>420</v>
      </c>
    </row>
    <row r="274" spans="3:17" x14ac:dyDescent="0.25">
      <c r="C274" s="15" t="s">
        <v>256</v>
      </c>
      <c r="D274" s="14" t="s">
        <v>13</v>
      </c>
      <c r="E274" s="14">
        <v>13.3</v>
      </c>
      <c r="F274" s="14">
        <v>1.72</v>
      </c>
      <c r="G274" s="14">
        <v>2.14</v>
      </c>
      <c r="H274" s="14">
        <v>17</v>
      </c>
      <c r="I274" s="14">
        <v>94</v>
      </c>
      <c r="J274" s="14">
        <v>2.3999999999999901</v>
      </c>
      <c r="K274" s="14">
        <v>2.1899999999999902</v>
      </c>
      <c r="L274" s="14">
        <v>0.27</v>
      </c>
      <c r="M274" s="14">
        <v>1.35</v>
      </c>
      <c r="N274" s="14">
        <v>3.95</v>
      </c>
      <c r="O274" s="14">
        <v>1.02</v>
      </c>
      <c r="P274" s="14">
        <v>2.77</v>
      </c>
      <c r="Q274">
        <v>1285</v>
      </c>
    </row>
    <row r="275" spans="3:17" x14ac:dyDescent="0.25">
      <c r="C275" s="15" t="s">
        <v>212</v>
      </c>
      <c r="D275" s="14" t="s">
        <v>15</v>
      </c>
      <c r="E275" s="14">
        <v>13.49</v>
      </c>
      <c r="F275" s="14">
        <v>3.5899999999999901</v>
      </c>
      <c r="G275" s="14">
        <v>2.1899999999999902</v>
      </c>
      <c r="H275" s="14">
        <v>19.5</v>
      </c>
      <c r="I275" s="14">
        <v>88</v>
      </c>
      <c r="J275" s="14">
        <v>1.62</v>
      </c>
      <c r="K275" s="14">
        <v>0.47999999999999898</v>
      </c>
      <c r="L275" s="14">
        <v>0.57999999999999896</v>
      </c>
      <c r="M275" s="14">
        <v>0.88</v>
      </c>
      <c r="N275" s="14">
        <v>5.7</v>
      </c>
      <c r="O275" s="14">
        <v>0.81</v>
      </c>
      <c r="P275" s="14">
        <v>1.82</v>
      </c>
      <c r="Q275">
        <v>580</v>
      </c>
    </row>
    <row r="276" spans="3:17" x14ac:dyDescent="0.25">
      <c r="C276" s="15" t="s">
        <v>354</v>
      </c>
      <c r="D276" s="14" t="s">
        <v>14</v>
      </c>
      <c r="E276" s="14">
        <v>12.07</v>
      </c>
      <c r="F276" s="14">
        <v>2.16</v>
      </c>
      <c r="G276" s="14">
        <v>2.1699999999999902</v>
      </c>
      <c r="H276" s="14">
        <v>21</v>
      </c>
      <c r="I276" s="14">
        <v>85</v>
      </c>
      <c r="J276" s="14">
        <v>2.6</v>
      </c>
      <c r="K276" s="14">
        <v>2.6499999999999901</v>
      </c>
      <c r="L276" s="14">
        <v>0.37</v>
      </c>
      <c r="M276" s="14">
        <v>1.35</v>
      </c>
      <c r="N276" s="14">
        <v>2.75999999999999</v>
      </c>
      <c r="O276" s="14">
        <v>0.85999999999999899</v>
      </c>
      <c r="P276" s="14">
        <v>3.27999999999999</v>
      </c>
      <c r="Q276">
        <v>378</v>
      </c>
    </row>
    <row r="277" spans="3:17" x14ac:dyDescent="0.25">
      <c r="C277" s="15" t="s">
        <v>306</v>
      </c>
      <c r="D277" s="14" t="s">
        <v>14</v>
      </c>
      <c r="E277" s="14">
        <v>11.84</v>
      </c>
      <c r="F277" s="14">
        <v>2.89</v>
      </c>
      <c r="G277" s="14">
        <v>2.23</v>
      </c>
      <c r="H277" s="14">
        <v>18</v>
      </c>
      <c r="I277" s="14">
        <v>112</v>
      </c>
      <c r="J277" s="14">
        <v>1.72</v>
      </c>
      <c r="K277" s="14">
        <v>1.32</v>
      </c>
      <c r="L277" s="14">
        <v>0.42999999999999899</v>
      </c>
      <c r="M277" s="14">
        <v>0.94999999999999896</v>
      </c>
      <c r="N277" s="14">
        <v>2.6499999999999901</v>
      </c>
      <c r="O277" s="14">
        <v>0.95999999999999897</v>
      </c>
      <c r="P277" s="14">
        <v>2.52</v>
      </c>
      <c r="Q277">
        <v>500</v>
      </c>
    </row>
    <row r="278" spans="3:17" x14ac:dyDescent="0.25">
      <c r="C278" s="15" t="s">
        <v>320</v>
      </c>
      <c r="D278" s="14" t="s">
        <v>14</v>
      </c>
      <c r="E278" s="14">
        <v>12</v>
      </c>
      <c r="F278" s="14">
        <v>1.51</v>
      </c>
      <c r="G278" s="14">
        <v>2.4199999999999902</v>
      </c>
      <c r="H278" s="14">
        <v>22</v>
      </c>
      <c r="I278" s="14">
        <v>86</v>
      </c>
      <c r="J278" s="14">
        <v>1.45</v>
      </c>
      <c r="K278" s="14">
        <v>1.25</v>
      </c>
      <c r="L278" s="14">
        <v>0.5</v>
      </c>
      <c r="M278" s="14">
        <v>1.6299999999999899</v>
      </c>
      <c r="N278" s="14">
        <v>3.6</v>
      </c>
      <c r="O278" s="14">
        <v>1.05</v>
      </c>
      <c r="P278" s="14">
        <v>2.6499999999999901</v>
      </c>
      <c r="Q278">
        <v>450</v>
      </c>
    </row>
    <row r="279" spans="3:17" x14ac:dyDescent="0.25">
      <c r="C279" s="15" t="s">
        <v>235</v>
      </c>
      <c r="D279" s="14" t="s">
        <v>15</v>
      </c>
      <c r="E279" s="14">
        <v>13.69</v>
      </c>
      <c r="F279" s="14">
        <v>3.25999999999999</v>
      </c>
      <c r="G279" s="14">
        <v>2.54</v>
      </c>
      <c r="H279" s="14">
        <v>20</v>
      </c>
      <c r="I279" s="14">
        <v>107</v>
      </c>
      <c r="J279" s="14">
        <v>1.83</v>
      </c>
      <c r="K279" s="14">
        <v>0.56000000000000005</v>
      </c>
      <c r="L279" s="14">
        <v>0.5</v>
      </c>
      <c r="M279" s="14">
        <v>0.8</v>
      </c>
      <c r="N279" s="14">
        <v>5.8799999999999901</v>
      </c>
      <c r="O279" s="14">
        <v>0.95999999999999897</v>
      </c>
      <c r="P279" s="14">
        <v>1.82</v>
      </c>
      <c r="Q279">
        <v>680</v>
      </c>
    </row>
    <row r="280" spans="3:17" x14ac:dyDescent="0.25">
      <c r="C280" s="15" t="s">
        <v>124</v>
      </c>
      <c r="D280" s="14" t="s">
        <v>13</v>
      </c>
      <c r="E280" s="14">
        <v>13.05</v>
      </c>
      <c r="F280" s="14">
        <v>1.73</v>
      </c>
      <c r="G280" s="14">
        <v>2.04</v>
      </c>
      <c r="H280" s="14">
        <v>12.4</v>
      </c>
      <c r="I280" s="14">
        <v>92</v>
      </c>
      <c r="J280" s="14">
        <v>2.72</v>
      </c>
      <c r="K280" s="14">
        <v>3.27</v>
      </c>
      <c r="L280" s="14">
        <v>0.17</v>
      </c>
      <c r="M280" s="14">
        <v>2.91</v>
      </c>
      <c r="N280" s="14">
        <v>7.2</v>
      </c>
      <c r="O280" s="14">
        <v>1.1200000000000001</v>
      </c>
      <c r="P280" s="14">
        <v>2.91</v>
      </c>
      <c r="Q280">
        <v>1150</v>
      </c>
    </row>
    <row r="281" spans="3:17" x14ac:dyDescent="0.25">
      <c r="C281" s="15" t="s">
        <v>341</v>
      </c>
      <c r="D281" s="14" t="s">
        <v>14</v>
      </c>
      <c r="E281" s="14">
        <v>11.76</v>
      </c>
      <c r="F281" s="14">
        <v>2.68</v>
      </c>
      <c r="G281" s="14">
        <v>2.9199999999999902</v>
      </c>
      <c r="H281" s="14">
        <v>20</v>
      </c>
      <c r="I281" s="14">
        <v>103</v>
      </c>
      <c r="J281" s="14">
        <v>1.75</v>
      </c>
      <c r="K281" s="14">
        <v>2.02999999999999</v>
      </c>
      <c r="L281" s="14">
        <v>0.59999999999999898</v>
      </c>
      <c r="M281" s="14">
        <v>1.05</v>
      </c>
      <c r="N281" s="14">
        <v>3.7999999999999901</v>
      </c>
      <c r="O281" s="14">
        <v>1.23</v>
      </c>
      <c r="P281" s="14">
        <v>2.5</v>
      </c>
      <c r="Q281">
        <v>607</v>
      </c>
    </row>
    <row r="282" spans="3:17" x14ac:dyDescent="0.25">
      <c r="C282" s="15" t="s">
        <v>142</v>
      </c>
      <c r="D282" s="14" t="s">
        <v>14</v>
      </c>
      <c r="E282" s="14">
        <v>13.34</v>
      </c>
      <c r="F282" s="14">
        <v>0.93999999999999895</v>
      </c>
      <c r="G282" s="14">
        <v>2.3599999999999901</v>
      </c>
      <c r="H282" s="14">
        <v>17</v>
      </c>
      <c r="I282" s="14">
        <v>110</v>
      </c>
      <c r="J282" s="14">
        <v>2.52999999999999</v>
      </c>
      <c r="K282" s="14">
        <v>1.3</v>
      </c>
      <c r="L282" s="14">
        <v>0.55000000000000004</v>
      </c>
      <c r="M282" s="14">
        <v>0.41999999999999899</v>
      </c>
      <c r="N282" s="14">
        <v>3.1699999999999902</v>
      </c>
      <c r="O282" s="14">
        <v>1.02</v>
      </c>
      <c r="P282" s="14">
        <v>1.9299999999999899</v>
      </c>
      <c r="Q282">
        <v>750</v>
      </c>
    </row>
    <row r="283" spans="3:17" x14ac:dyDescent="0.25">
      <c r="C283" s="15" t="s">
        <v>220</v>
      </c>
      <c r="D283" s="14" t="s">
        <v>15</v>
      </c>
      <c r="E283" s="14">
        <v>13.88</v>
      </c>
      <c r="F283" s="14">
        <v>5.04</v>
      </c>
      <c r="G283" s="14">
        <v>2.23</v>
      </c>
      <c r="H283" s="14">
        <v>20</v>
      </c>
      <c r="I283" s="14">
        <v>80</v>
      </c>
      <c r="J283" s="14">
        <v>0.97999999999999898</v>
      </c>
      <c r="K283" s="14">
        <v>0.34</v>
      </c>
      <c r="L283" s="14">
        <v>0.4</v>
      </c>
      <c r="M283" s="14">
        <v>0.68</v>
      </c>
      <c r="N283" s="14">
        <v>4.9000000000000004</v>
      </c>
      <c r="O283" s="14">
        <v>0.57999999999999896</v>
      </c>
      <c r="P283" s="14">
        <v>1.33</v>
      </c>
      <c r="Q283">
        <v>415</v>
      </c>
    </row>
    <row r="284" spans="3:17" x14ac:dyDescent="0.25">
      <c r="C284" s="15" t="s">
        <v>213</v>
      </c>
      <c r="D284" s="14" t="s">
        <v>15</v>
      </c>
      <c r="E284" s="14">
        <v>12.84</v>
      </c>
      <c r="F284" s="14">
        <v>2.96</v>
      </c>
      <c r="G284" s="14">
        <v>2.6099999999999901</v>
      </c>
      <c r="H284" s="14">
        <v>24</v>
      </c>
      <c r="I284" s="14">
        <v>101</v>
      </c>
      <c r="J284" s="14">
        <v>2.3199999999999901</v>
      </c>
      <c r="K284" s="14">
        <v>0.59999999999999898</v>
      </c>
      <c r="L284" s="14">
        <v>0.53</v>
      </c>
      <c r="M284" s="14">
        <v>0.81</v>
      </c>
      <c r="N284" s="14">
        <v>4.9199999999999902</v>
      </c>
      <c r="O284" s="14">
        <v>0.89</v>
      </c>
      <c r="P284" s="14">
        <v>2.1499999999999901</v>
      </c>
      <c r="Q284">
        <v>590</v>
      </c>
    </row>
    <row r="285" spans="3:17" x14ac:dyDescent="0.25">
      <c r="C285" s="15" t="s">
        <v>160</v>
      </c>
      <c r="D285" s="14" t="s">
        <v>14</v>
      </c>
      <c r="E285" s="14">
        <v>12.16</v>
      </c>
      <c r="F285" s="14">
        <v>1.61</v>
      </c>
      <c r="G285" s="14">
        <v>2.31</v>
      </c>
      <c r="H285" s="14">
        <v>22.8</v>
      </c>
      <c r="I285" s="14">
        <v>90</v>
      </c>
      <c r="J285" s="14">
        <v>1.78</v>
      </c>
      <c r="K285" s="14">
        <v>1.68999999999999</v>
      </c>
      <c r="L285" s="14">
        <v>0.42999999999999899</v>
      </c>
      <c r="M285" s="14">
        <v>1.56</v>
      </c>
      <c r="N285" s="14">
        <v>2.4500000000000002</v>
      </c>
      <c r="O285" s="14">
        <v>1.33</v>
      </c>
      <c r="P285" s="14">
        <v>2.25999999999999</v>
      </c>
      <c r="Q285">
        <v>495</v>
      </c>
    </row>
    <row r="286" spans="3:17" x14ac:dyDescent="0.25">
      <c r="C286" s="15" t="s">
        <v>264</v>
      </c>
      <c r="D286" s="14" t="s">
        <v>13</v>
      </c>
      <c r="E286" s="14">
        <v>13.48</v>
      </c>
      <c r="F286" s="14">
        <v>1.81</v>
      </c>
      <c r="G286" s="14">
        <v>2.41</v>
      </c>
      <c r="H286" s="14">
        <v>20.5</v>
      </c>
      <c r="I286" s="14">
        <v>100</v>
      </c>
      <c r="J286" s="14">
        <v>2.7</v>
      </c>
      <c r="K286" s="14">
        <v>2.98</v>
      </c>
      <c r="L286" s="14">
        <v>0.26</v>
      </c>
      <c r="M286" s="14">
        <v>1.86</v>
      </c>
      <c r="N286" s="14">
        <v>5.0999999999999899</v>
      </c>
      <c r="O286" s="14">
        <v>1.04</v>
      </c>
      <c r="P286" s="14">
        <v>3.47</v>
      </c>
      <c r="Q286">
        <v>920</v>
      </c>
    </row>
    <row r="287" spans="3:17" x14ac:dyDescent="0.25">
      <c r="C287" s="15" t="s">
        <v>380</v>
      </c>
      <c r="D287" s="14" t="s">
        <v>15</v>
      </c>
      <c r="E287" s="14">
        <v>12.7899999999999</v>
      </c>
      <c r="F287" s="14">
        <v>2.6699999999999902</v>
      </c>
      <c r="G287" s="14">
        <v>2.48</v>
      </c>
      <c r="H287" s="14">
        <v>22</v>
      </c>
      <c r="I287" s="14">
        <v>112</v>
      </c>
      <c r="J287" s="14">
        <v>1.48</v>
      </c>
      <c r="K287" s="14">
        <v>1.36</v>
      </c>
      <c r="L287" s="14">
        <v>0.23999999999999899</v>
      </c>
      <c r="M287" s="14">
        <v>1.26</v>
      </c>
      <c r="N287" s="14">
        <v>10.8</v>
      </c>
      <c r="O287" s="14">
        <v>0.47999999999999898</v>
      </c>
      <c r="P287" s="14">
        <v>1.47</v>
      </c>
      <c r="Q287">
        <v>480</v>
      </c>
    </row>
    <row r="288" spans="3:17" x14ac:dyDescent="0.25">
      <c r="C288" s="15" t="s">
        <v>386</v>
      </c>
      <c r="D288" s="14" t="s">
        <v>15</v>
      </c>
      <c r="E288" s="14">
        <v>12.4499999999999</v>
      </c>
      <c r="F288" s="14">
        <v>3.02999999999999</v>
      </c>
      <c r="G288" s="14">
        <v>2.64</v>
      </c>
      <c r="H288" s="14">
        <v>27</v>
      </c>
      <c r="I288" s="14">
        <v>97</v>
      </c>
      <c r="J288" s="14">
        <v>1.8999999999999899</v>
      </c>
      <c r="K288" s="14">
        <v>0.57999999999999896</v>
      </c>
      <c r="L288" s="14">
        <v>0.63</v>
      </c>
      <c r="M288" s="14">
        <v>1.1399999999999899</v>
      </c>
      <c r="N288" s="14">
        <v>7.5</v>
      </c>
      <c r="O288" s="14">
        <v>0.67</v>
      </c>
      <c r="P288" s="14">
        <v>1.73</v>
      </c>
      <c r="Q288">
        <v>880</v>
      </c>
    </row>
    <row r="289" spans="3:17" x14ac:dyDescent="0.25">
      <c r="C289" s="15" t="s">
        <v>117</v>
      </c>
      <c r="D289" s="14" t="s">
        <v>13</v>
      </c>
      <c r="E289" s="14">
        <v>13.24</v>
      </c>
      <c r="F289" s="14">
        <v>3.98</v>
      </c>
      <c r="G289" s="14">
        <v>2.29</v>
      </c>
      <c r="H289" s="14">
        <v>17.5</v>
      </c>
      <c r="I289" s="14">
        <v>103</v>
      </c>
      <c r="J289" s="14">
        <v>2.64</v>
      </c>
      <c r="K289" s="14">
        <v>2.6299999999999901</v>
      </c>
      <c r="L289" s="14">
        <v>0.32</v>
      </c>
      <c r="M289" s="14">
        <v>1.6599999999999899</v>
      </c>
      <c r="N289" s="14">
        <v>4.3600000000000003</v>
      </c>
      <c r="O289" s="14">
        <v>0.81999999999999895</v>
      </c>
      <c r="P289" s="14">
        <v>3</v>
      </c>
      <c r="Q289">
        <v>680</v>
      </c>
    </row>
    <row r="290" spans="3:17" x14ac:dyDescent="0.25">
      <c r="C290" s="15" t="s">
        <v>332</v>
      </c>
      <c r="D290" s="14" t="s">
        <v>14</v>
      </c>
      <c r="E290" s="14">
        <v>11.82</v>
      </c>
      <c r="F290" s="14">
        <v>1.72</v>
      </c>
      <c r="G290" s="14">
        <v>1.8799999999999899</v>
      </c>
      <c r="H290" s="14">
        <v>19.5</v>
      </c>
      <c r="I290" s="14">
        <v>86</v>
      </c>
      <c r="J290" s="14">
        <v>2.5</v>
      </c>
      <c r="K290" s="14">
        <v>1.6399999999999899</v>
      </c>
      <c r="L290" s="14">
        <v>0.37</v>
      </c>
      <c r="M290" s="14">
        <v>1.4199999999999899</v>
      </c>
      <c r="N290" s="14">
        <v>2.06</v>
      </c>
      <c r="O290" s="14">
        <v>0.93999999999999895</v>
      </c>
      <c r="P290" s="14">
        <v>2.4399999999999902</v>
      </c>
      <c r="Q290">
        <v>415</v>
      </c>
    </row>
    <row r="291" spans="3:17" x14ac:dyDescent="0.25">
      <c r="C291" s="15" t="s">
        <v>249</v>
      </c>
      <c r="D291" s="14" t="s">
        <v>15</v>
      </c>
      <c r="E291" s="14">
        <v>13.27</v>
      </c>
      <c r="F291" s="14">
        <v>4.28</v>
      </c>
      <c r="G291" s="14">
        <v>2.25999999999999</v>
      </c>
      <c r="H291" s="14">
        <v>20</v>
      </c>
      <c r="I291" s="14">
        <v>120</v>
      </c>
      <c r="J291" s="14">
        <v>1.59</v>
      </c>
      <c r="K291" s="14">
        <v>0.68999999999999895</v>
      </c>
      <c r="L291" s="14">
        <v>0.42999999999999899</v>
      </c>
      <c r="M291" s="14">
        <v>1.35</v>
      </c>
      <c r="N291" s="14">
        <v>10.1999999999999</v>
      </c>
      <c r="O291" s="14">
        <v>0.58999999999999897</v>
      </c>
      <c r="P291" s="14">
        <v>1.56</v>
      </c>
      <c r="Q291">
        <v>835</v>
      </c>
    </row>
    <row r="292" spans="3:17" x14ac:dyDescent="0.25">
      <c r="C292" s="15" t="s">
        <v>331</v>
      </c>
      <c r="D292" s="14" t="s">
        <v>14</v>
      </c>
      <c r="E292" s="14">
        <v>12.34</v>
      </c>
      <c r="F292" s="14">
        <v>2.4500000000000002</v>
      </c>
      <c r="G292" s="14">
        <v>2.46</v>
      </c>
      <c r="H292" s="14">
        <v>21</v>
      </c>
      <c r="I292" s="14">
        <v>98</v>
      </c>
      <c r="J292" s="14">
        <v>2.56</v>
      </c>
      <c r="K292" s="14">
        <v>2.1099999999999901</v>
      </c>
      <c r="L292" s="14">
        <v>0.34</v>
      </c>
      <c r="M292" s="14">
        <v>1.31</v>
      </c>
      <c r="N292" s="14">
        <v>2.7999999999999901</v>
      </c>
      <c r="O292" s="14">
        <v>0.8</v>
      </c>
      <c r="P292" s="14">
        <v>3.3799999999999901</v>
      </c>
      <c r="Q292">
        <v>438</v>
      </c>
    </row>
    <row r="293" spans="3:17" x14ac:dyDescent="0.25">
      <c r="C293" s="15" t="s">
        <v>76</v>
      </c>
      <c r="D293" s="14" t="s">
        <v>13</v>
      </c>
      <c r="E293" s="14">
        <v>13.16</v>
      </c>
      <c r="F293" s="14">
        <v>2.3599999999999901</v>
      </c>
      <c r="G293" s="14">
        <v>2.6699999999999902</v>
      </c>
      <c r="H293" s="14">
        <v>18.600000000000001</v>
      </c>
      <c r="I293" s="14">
        <v>101</v>
      </c>
      <c r="J293" s="14">
        <v>2.7999999999999901</v>
      </c>
      <c r="K293" s="14">
        <v>3.24</v>
      </c>
      <c r="L293" s="14">
        <v>0.29999999999999899</v>
      </c>
      <c r="M293" s="14">
        <v>2.81</v>
      </c>
      <c r="N293" s="14">
        <v>5.6799999999999899</v>
      </c>
      <c r="O293" s="14">
        <v>1.03</v>
      </c>
      <c r="P293" s="14">
        <v>3.1699999999999902</v>
      </c>
      <c r="Q293">
        <v>1185</v>
      </c>
    </row>
    <row r="294" spans="3:17" x14ac:dyDescent="0.25">
      <c r="C294" s="15" t="s">
        <v>366</v>
      </c>
      <c r="D294" s="14" t="s">
        <v>15</v>
      </c>
      <c r="E294" s="14">
        <v>12.5299999999999</v>
      </c>
      <c r="F294" s="14">
        <v>5.50999999999999</v>
      </c>
      <c r="G294" s="14">
        <v>2.64</v>
      </c>
      <c r="H294" s="14">
        <v>25</v>
      </c>
      <c r="I294" s="14">
        <v>96</v>
      </c>
      <c r="J294" s="14">
        <v>1.79</v>
      </c>
      <c r="K294" s="14">
        <v>0.59999999999999898</v>
      </c>
      <c r="L294" s="14">
        <v>0.63</v>
      </c>
      <c r="M294" s="14">
        <v>1.1000000000000001</v>
      </c>
      <c r="N294" s="14">
        <v>5</v>
      </c>
      <c r="O294" s="14">
        <v>0.81999999999999895</v>
      </c>
      <c r="P294" s="14">
        <v>1.68999999999999</v>
      </c>
      <c r="Q294">
        <v>515</v>
      </c>
    </row>
    <row r="295" spans="3:17" x14ac:dyDescent="0.25">
      <c r="C295" s="15" t="s">
        <v>392</v>
      </c>
      <c r="D295" s="14" t="s">
        <v>15</v>
      </c>
      <c r="E295" s="14">
        <v>12.96</v>
      </c>
      <c r="F295" s="14">
        <v>3.45</v>
      </c>
      <c r="G295" s="14">
        <v>2.35</v>
      </c>
      <c r="H295" s="14">
        <v>18.5</v>
      </c>
      <c r="I295" s="14">
        <v>106</v>
      </c>
      <c r="J295" s="14">
        <v>1.3899999999999899</v>
      </c>
      <c r="K295" s="14">
        <v>0.69999999999999896</v>
      </c>
      <c r="L295" s="14">
        <v>0.4</v>
      </c>
      <c r="M295" s="14">
        <v>0.93999999999999895</v>
      </c>
      <c r="N295" s="14">
        <v>5.28</v>
      </c>
      <c r="O295" s="14">
        <v>0.68</v>
      </c>
      <c r="P295" s="14">
        <v>1.75</v>
      </c>
      <c r="Q295">
        <v>675</v>
      </c>
    </row>
    <row r="296" spans="3:17" x14ac:dyDescent="0.25">
      <c r="C296" s="15" t="s">
        <v>92</v>
      </c>
      <c r="D296" s="14" t="s">
        <v>13</v>
      </c>
      <c r="E296" s="14">
        <v>14.19</v>
      </c>
      <c r="F296" s="14">
        <v>1.59</v>
      </c>
      <c r="G296" s="14">
        <v>2.48</v>
      </c>
      <c r="H296" s="14">
        <v>16.5</v>
      </c>
      <c r="I296" s="14">
        <v>108</v>
      </c>
      <c r="J296" s="14">
        <v>3.2999999999999901</v>
      </c>
      <c r="K296" s="14">
        <v>3.93</v>
      </c>
      <c r="L296" s="14">
        <v>0.32</v>
      </c>
      <c r="M296" s="14">
        <v>1.86</v>
      </c>
      <c r="N296" s="14">
        <v>8.6999999999999904</v>
      </c>
      <c r="O296" s="14">
        <v>1.23</v>
      </c>
      <c r="P296" s="14">
        <v>2.8199999999999901</v>
      </c>
      <c r="Q296">
        <v>1680</v>
      </c>
    </row>
    <row r="297" spans="3:17" x14ac:dyDescent="0.25">
      <c r="C297" s="15" t="s">
        <v>356</v>
      </c>
      <c r="D297" s="14" t="s">
        <v>14</v>
      </c>
      <c r="E297" s="14">
        <v>11.7899999999999</v>
      </c>
      <c r="F297" s="14">
        <v>2.1299999999999901</v>
      </c>
      <c r="G297" s="14">
        <v>2.77999999999999</v>
      </c>
      <c r="H297" s="14">
        <v>28.5</v>
      </c>
      <c r="I297" s="14">
        <v>92</v>
      </c>
      <c r="J297" s="14">
        <v>2.1299999999999901</v>
      </c>
      <c r="K297" s="14">
        <v>2.2400000000000002</v>
      </c>
      <c r="L297" s="14">
        <v>0.57999999999999896</v>
      </c>
      <c r="M297" s="14">
        <v>1.76</v>
      </c>
      <c r="N297" s="14">
        <v>3</v>
      </c>
      <c r="O297" s="14">
        <v>0.96999999999999897</v>
      </c>
      <c r="P297" s="14">
        <v>2.4399999999999902</v>
      </c>
      <c r="Q297">
        <v>466</v>
      </c>
    </row>
    <row r="298" spans="3:17" x14ac:dyDescent="0.25">
      <c r="C298" s="15" t="s">
        <v>147</v>
      </c>
      <c r="D298" s="14" t="s">
        <v>14</v>
      </c>
      <c r="E298" s="14">
        <v>12.99</v>
      </c>
      <c r="F298" s="14">
        <v>1.6699999999999899</v>
      </c>
      <c r="G298" s="14">
        <v>2.6</v>
      </c>
      <c r="H298" s="14">
        <v>30</v>
      </c>
      <c r="I298" s="14">
        <v>139</v>
      </c>
      <c r="J298" s="14">
        <v>3.2999999999999901</v>
      </c>
      <c r="K298" s="14">
        <v>2.89</v>
      </c>
      <c r="L298" s="14">
        <v>0.20999999999999899</v>
      </c>
      <c r="M298" s="14">
        <v>1.96</v>
      </c>
      <c r="N298" s="14">
        <v>3.35</v>
      </c>
      <c r="O298" s="14">
        <v>1.31</v>
      </c>
      <c r="P298" s="14">
        <v>3.5</v>
      </c>
      <c r="Q298">
        <v>985</v>
      </c>
    </row>
    <row r="299" spans="3:17" x14ac:dyDescent="0.25">
      <c r="C299" s="15" t="s">
        <v>174</v>
      </c>
      <c r="D299" s="14" t="s">
        <v>14</v>
      </c>
      <c r="E299" s="14">
        <v>12.08</v>
      </c>
      <c r="F299" s="14">
        <v>2.08</v>
      </c>
      <c r="G299" s="14">
        <v>1.7</v>
      </c>
      <c r="H299" s="14">
        <v>17.5</v>
      </c>
      <c r="I299" s="14">
        <v>97</v>
      </c>
      <c r="J299" s="14">
        <v>2.23</v>
      </c>
      <c r="K299" s="14">
        <v>2.1699999999999902</v>
      </c>
      <c r="L299" s="14">
        <v>0.26</v>
      </c>
      <c r="M299" s="14">
        <v>1.3999999999999899</v>
      </c>
      <c r="N299" s="14">
        <v>3.2999999999999901</v>
      </c>
      <c r="O299" s="14">
        <v>1.27</v>
      </c>
      <c r="P299" s="14">
        <v>2.96</v>
      </c>
      <c r="Q299">
        <v>710</v>
      </c>
    </row>
    <row r="300" spans="3:17" x14ac:dyDescent="0.25">
      <c r="C300" s="15" t="s">
        <v>372</v>
      </c>
      <c r="D300" s="14" t="s">
        <v>15</v>
      </c>
      <c r="E300" s="14">
        <v>13.6199999999999</v>
      </c>
      <c r="F300" s="14">
        <v>4.95</v>
      </c>
      <c r="G300" s="14">
        <v>2.35</v>
      </c>
      <c r="H300" s="14">
        <v>20</v>
      </c>
      <c r="I300" s="14">
        <v>92</v>
      </c>
      <c r="J300" s="14">
        <v>2</v>
      </c>
      <c r="K300" s="14">
        <v>0.8</v>
      </c>
      <c r="L300" s="14">
        <v>0.46999999999999897</v>
      </c>
      <c r="M300" s="14">
        <v>1.02</v>
      </c>
      <c r="N300" s="14">
        <v>4.4000000000000004</v>
      </c>
      <c r="O300" s="14">
        <v>0.91</v>
      </c>
      <c r="P300" s="14">
        <v>2.0499999999999901</v>
      </c>
      <c r="Q300">
        <v>550</v>
      </c>
    </row>
    <row r="301" spans="3:17" x14ac:dyDescent="0.25">
      <c r="C301" s="15" t="s">
        <v>131</v>
      </c>
      <c r="D301" s="14" t="s">
        <v>13</v>
      </c>
      <c r="E301" s="14">
        <v>13.2899999999999</v>
      </c>
      <c r="F301" s="14">
        <v>1.97</v>
      </c>
      <c r="G301" s="14">
        <v>2.68</v>
      </c>
      <c r="H301" s="14">
        <v>16.8</v>
      </c>
      <c r="I301" s="14">
        <v>102</v>
      </c>
      <c r="J301" s="14">
        <v>3</v>
      </c>
      <c r="K301" s="14">
        <v>3.23</v>
      </c>
      <c r="L301" s="14">
        <v>0.31</v>
      </c>
      <c r="M301" s="14">
        <v>1.6599999999999899</v>
      </c>
      <c r="N301" s="14">
        <v>6</v>
      </c>
      <c r="O301" s="14">
        <v>1.07</v>
      </c>
      <c r="P301" s="14">
        <v>2.8399999999999901</v>
      </c>
      <c r="Q301">
        <v>1270</v>
      </c>
    </row>
    <row r="302" spans="3:17" x14ac:dyDescent="0.25">
      <c r="C302" s="15" t="s">
        <v>175</v>
      </c>
      <c r="D302" s="14" t="s">
        <v>14</v>
      </c>
      <c r="E302" s="14">
        <v>12.6</v>
      </c>
      <c r="F302" s="14">
        <v>1.34</v>
      </c>
      <c r="G302" s="14">
        <v>1.8999999999999899</v>
      </c>
      <c r="H302" s="14">
        <v>18.5</v>
      </c>
      <c r="I302" s="14">
        <v>88</v>
      </c>
      <c r="J302" s="14">
        <v>1.45</v>
      </c>
      <c r="K302" s="14">
        <v>1.36</v>
      </c>
      <c r="L302" s="14">
        <v>0.28999999999999898</v>
      </c>
      <c r="M302" s="14">
        <v>1.35</v>
      </c>
      <c r="N302" s="14">
        <v>2.4500000000000002</v>
      </c>
      <c r="O302" s="14">
        <v>1.04</v>
      </c>
      <c r="P302" s="14">
        <v>2.77</v>
      </c>
      <c r="Q302">
        <v>562</v>
      </c>
    </row>
    <row r="303" spans="3:17" x14ac:dyDescent="0.25">
      <c r="C303" s="15" t="s">
        <v>298</v>
      </c>
      <c r="D303" s="14" t="s">
        <v>14</v>
      </c>
      <c r="E303" s="14">
        <v>12.21</v>
      </c>
      <c r="F303" s="14">
        <v>1.18999999999999</v>
      </c>
      <c r="G303" s="14">
        <v>1.75</v>
      </c>
      <c r="H303" s="14">
        <v>16.8</v>
      </c>
      <c r="I303" s="14">
        <v>151</v>
      </c>
      <c r="J303" s="14">
        <v>1.85</v>
      </c>
      <c r="K303" s="14">
        <v>1.28</v>
      </c>
      <c r="L303" s="14">
        <v>0.14000000000000001</v>
      </c>
      <c r="M303" s="14">
        <v>2.5</v>
      </c>
      <c r="N303" s="14">
        <v>2.85</v>
      </c>
      <c r="O303" s="14">
        <v>1.28</v>
      </c>
      <c r="P303" s="14">
        <v>3.0699999999999901</v>
      </c>
      <c r="Q303">
        <v>718</v>
      </c>
    </row>
    <row r="304" spans="3:17" x14ac:dyDescent="0.25">
      <c r="C304" s="15" t="s">
        <v>136</v>
      </c>
      <c r="D304" s="14" t="s">
        <v>14</v>
      </c>
      <c r="E304" s="14">
        <v>13.67</v>
      </c>
      <c r="F304" s="14">
        <v>1.25</v>
      </c>
      <c r="G304" s="14">
        <v>1.9199999999999899</v>
      </c>
      <c r="H304" s="14">
        <v>18</v>
      </c>
      <c r="I304" s="14">
        <v>94</v>
      </c>
      <c r="J304" s="14">
        <v>2.1</v>
      </c>
      <c r="K304" s="14">
        <v>1.79</v>
      </c>
      <c r="L304" s="14">
        <v>0.32</v>
      </c>
      <c r="M304" s="14">
        <v>0.72999999999999898</v>
      </c>
      <c r="N304" s="14">
        <v>3.7999999999999901</v>
      </c>
      <c r="O304" s="14">
        <v>1.23</v>
      </c>
      <c r="P304" s="14">
        <v>2.46</v>
      </c>
      <c r="Q304">
        <v>630</v>
      </c>
    </row>
    <row r="305" spans="3:17" x14ac:dyDescent="0.25">
      <c r="C305" s="15" t="s">
        <v>326</v>
      </c>
      <c r="D305" s="14" t="s">
        <v>14</v>
      </c>
      <c r="E305" s="14">
        <v>12.2899999999999</v>
      </c>
      <c r="F305" s="14">
        <v>1.4099999999999899</v>
      </c>
      <c r="G305" s="14">
        <v>1.98</v>
      </c>
      <c r="H305" s="14">
        <v>16</v>
      </c>
      <c r="I305" s="14">
        <v>85</v>
      </c>
      <c r="J305" s="14">
        <v>2.5499999999999901</v>
      </c>
      <c r="K305" s="14">
        <v>2.5</v>
      </c>
      <c r="L305" s="14">
        <v>0.28999999999999898</v>
      </c>
      <c r="M305" s="14">
        <v>1.77</v>
      </c>
      <c r="N305" s="14">
        <v>2.8999999999999901</v>
      </c>
      <c r="O305" s="14">
        <v>1.23</v>
      </c>
      <c r="P305" s="14">
        <v>2.74</v>
      </c>
      <c r="Q305">
        <v>428</v>
      </c>
    </row>
    <row r="306" spans="3:17" x14ac:dyDescent="0.25">
      <c r="C306" s="15" t="s">
        <v>399</v>
      </c>
      <c r="D306" s="14" t="s">
        <v>15</v>
      </c>
      <c r="E306" s="14">
        <v>12.1999999999999</v>
      </c>
      <c r="F306" s="14">
        <v>3.02999999999999</v>
      </c>
      <c r="G306" s="14">
        <v>2.3199999999999901</v>
      </c>
      <c r="H306" s="14">
        <v>19</v>
      </c>
      <c r="I306" s="14">
        <v>96</v>
      </c>
      <c r="J306" s="14">
        <v>1.25</v>
      </c>
      <c r="K306" s="14">
        <v>0.48999999999999899</v>
      </c>
      <c r="L306" s="14">
        <v>0.4</v>
      </c>
      <c r="M306" s="14">
        <v>0.72999999999999898</v>
      </c>
      <c r="N306" s="14">
        <v>5.5</v>
      </c>
      <c r="O306" s="14">
        <v>0.66</v>
      </c>
      <c r="P306" s="14">
        <v>1.83</v>
      </c>
      <c r="Q306">
        <v>510</v>
      </c>
    </row>
    <row r="307" spans="3:17" x14ac:dyDescent="0.25">
      <c r="C307" s="15" t="s">
        <v>357</v>
      </c>
      <c r="D307" s="14" t="s">
        <v>14</v>
      </c>
      <c r="E307" s="14">
        <v>12.3699999999999</v>
      </c>
      <c r="F307" s="14">
        <v>1.6299999999999899</v>
      </c>
      <c r="G307" s="14">
        <v>2.2999999999999901</v>
      </c>
      <c r="H307" s="14">
        <v>24.5</v>
      </c>
      <c r="I307" s="14">
        <v>88</v>
      </c>
      <c r="J307" s="14">
        <v>2.2200000000000002</v>
      </c>
      <c r="K307" s="14">
        <v>2.4500000000000002</v>
      </c>
      <c r="L307" s="14">
        <v>0.4</v>
      </c>
      <c r="M307" s="14">
        <v>1.8999999999999899</v>
      </c>
      <c r="N307" s="14">
        <v>2.12</v>
      </c>
      <c r="O307" s="14">
        <v>0.89</v>
      </c>
      <c r="P307" s="14">
        <v>2.77999999999999</v>
      </c>
      <c r="Q307">
        <v>342</v>
      </c>
    </row>
    <row r="308" spans="3:17" x14ac:dyDescent="0.25">
      <c r="C308" s="15" t="s">
        <v>338</v>
      </c>
      <c r="D308" s="14" t="s">
        <v>14</v>
      </c>
      <c r="E308" s="14">
        <v>11.6099999999999</v>
      </c>
      <c r="F308" s="14">
        <v>1.35</v>
      </c>
      <c r="G308" s="14">
        <v>2.7</v>
      </c>
      <c r="H308" s="14">
        <v>20</v>
      </c>
      <c r="I308" s="14">
        <v>94</v>
      </c>
      <c r="J308" s="14">
        <v>2.74</v>
      </c>
      <c r="K308" s="14">
        <v>2.9199999999999902</v>
      </c>
      <c r="L308" s="14">
        <v>0.28999999999999898</v>
      </c>
      <c r="M308" s="14">
        <v>2.4900000000000002</v>
      </c>
      <c r="N308" s="14">
        <v>2.6499999999999901</v>
      </c>
      <c r="O308" s="14">
        <v>0.95999999999999897</v>
      </c>
      <c r="P308" s="14">
        <v>3.25999999999999</v>
      </c>
      <c r="Q308">
        <v>680</v>
      </c>
    </row>
    <row r="309" spans="3:17" x14ac:dyDescent="0.25">
      <c r="C309" s="15" t="s">
        <v>248</v>
      </c>
      <c r="D309" s="14" t="s">
        <v>15</v>
      </c>
      <c r="E309" s="14">
        <v>13.4</v>
      </c>
      <c r="F309" s="14">
        <v>3.91</v>
      </c>
      <c r="G309" s="14">
        <v>2.48</v>
      </c>
      <c r="H309" s="14">
        <v>23</v>
      </c>
      <c r="I309" s="14">
        <v>102</v>
      </c>
      <c r="J309" s="14">
        <v>1.8</v>
      </c>
      <c r="K309" s="14">
        <v>0.75</v>
      </c>
      <c r="L309" s="14">
        <v>0.42999999999999899</v>
      </c>
      <c r="M309" s="14">
        <v>1.4099999999999899</v>
      </c>
      <c r="N309" s="14">
        <v>7.2999999999999901</v>
      </c>
      <c r="O309" s="14">
        <v>0.69999999999999896</v>
      </c>
      <c r="P309" s="14">
        <v>1.56</v>
      </c>
      <c r="Q309">
        <v>750</v>
      </c>
    </row>
    <row r="310" spans="3:17" x14ac:dyDescent="0.25">
      <c r="C310" s="15" t="s">
        <v>250</v>
      </c>
      <c r="D310" s="14" t="s">
        <v>15</v>
      </c>
      <c r="E310" s="14">
        <v>13.17</v>
      </c>
      <c r="F310" s="14">
        <v>2.5899999999999901</v>
      </c>
      <c r="G310" s="14">
        <v>2.37</v>
      </c>
      <c r="H310" s="14">
        <v>20</v>
      </c>
      <c r="I310" s="14">
        <v>120</v>
      </c>
      <c r="J310" s="14">
        <v>1.6499999999999899</v>
      </c>
      <c r="K310" s="14">
        <v>0.68</v>
      </c>
      <c r="L310" s="14">
        <v>0.53</v>
      </c>
      <c r="M310" s="14">
        <v>1.46</v>
      </c>
      <c r="N310" s="14">
        <v>9.3000000000000007</v>
      </c>
      <c r="O310" s="14">
        <v>0.59999999999999898</v>
      </c>
      <c r="P310" s="14">
        <v>1.62</v>
      </c>
      <c r="Q310">
        <v>840</v>
      </c>
    </row>
    <row r="311" spans="3:17" x14ac:dyDescent="0.25">
      <c r="C311" s="15" t="s">
        <v>246</v>
      </c>
      <c r="D311" s="14" t="s">
        <v>15</v>
      </c>
      <c r="E311" s="14">
        <v>14.16</v>
      </c>
      <c r="F311" s="14">
        <v>2.50999999999999</v>
      </c>
      <c r="G311" s="14">
        <v>2.48</v>
      </c>
      <c r="H311" s="14">
        <v>20</v>
      </c>
      <c r="I311" s="14">
        <v>91</v>
      </c>
      <c r="J311" s="14">
        <v>1.6799999999999899</v>
      </c>
      <c r="K311" s="14">
        <v>0.69999999999999896</v>
      </c>
      <c r="L311" s="14">
        <v>0.44</v>
      </c>
      <c r="M311" s="14">
        <v>1.24</v>
      </c>
      <c r="N311" s="14">
        <v>9.6999999999999904</v>
      </c>
      <c r="O311" s="14">
        <v>0.62</v>
      </c>
      <c r="P311" s="14">
        <v>1.71</v>
      </c>
      <c r="Q311">
        <v>660</v>
      </c>
    </row>
    <row r="312" spans="3:17" x14ac:dyDescent="0.25">
      <c r="C312" s="15" t="s">
        <v>272</v>
      </c>
      <c r="D312" s="14" t="s">
        <v>13</v>
      </c>
      <c r="E312" s="14">
        <v>13.24</v>
      </c>
      <c r="F312" s="14">
        <v>3.98</v>
      </c>
      <c r="G312" s="14">
        <v>2.29</v>
      </c>
      <c r="H312" s="14">
        <v>17.5</v>
      </c>
      <c r="I312" s="14">
        <v>103</v>
      </c>
      <c r="J312" s="14">
        <v>2.64</v>
      </c>
      <c r="K312" s="14">
        <v>2.6299999999999901</v>
      </c>
      <c r="L312" s="14">
        <v>0.32</v>
      </c>
      <c r="M312" s="14">
        <v>1.6599999999999899</v>
      </c>
      <c r="N312" s="14">
        <v>4.3600000000000003</v>
      </c>
      <c r="O312" s="14">
        <v>0.81999999999999895</v>
      </c>
      <c r="P312" s="14">
        <v>3</v>
      </c>
      <c r="Q312">
        <v>680</v>
      </c>
    </row>
    <row r="313" spans="3:17" x14ac:dyDescent="0.25">
      <c r="C313" s="15" t="s">
        <v>80</v>
      </c>
      <c r="D313" s="14" t="s">
        <v>13</v>
      </c>
      <c r="E313" s="14">
        <v>14.39</v>
      </c>
      <c r="F313" s="14">
        <v>1.87</v>
      </c>
      <c r="G313" s="14">
        <v>2.4500000000000002</v>
      </c>
      <c r="H313" s="14">
        <v>14.6</v>
      </c>
      <c r="I313" s="14">
        <v>96</v>
      </c>
      <c r="J313" s="14">
        <v>2.5</v>
      </c>
      <c r="K313" s="14">
        <v>2.52</v>
      </c>
      <c r="L313" s="14">
        <v>0.29999999999999899</v>
      </c>
      <c r="M313" s="14">
        <v>1.98</v>
      </c>
      <c r="N313" s="14">
        <v>5.25</v>
      </c>
      <c r="O313" s="14">
        <v>1.02</v>
      </c>
      <c r="P313" s="14">
        <v>3.58</v>
      </c>
      <c r="Q313">
        <v>1290</v>
      </c>
    </row>
    <row r="314" spans="3:17" x14ac:dyDescent="0.25">
      <c r="C314" s="15" t="s">
        <v>159</v>
      </c>
      <c r="D314" s="14" t="s">
        <v>14</v>
      </c>
      <c r="E314" s="14">
        <v>12.67</v>
      </c>
      <c r="F314" s="14">
        <v>0.97999999999999898</v>
      </c>
      <c r="G314" s="14">
        <v>2.2400000000000002</v>
      </c>
      <c r="H314" s="14">
        <v>18</v>
      </c>
      <c r="I314" s="14">
        <v>99</v>
      </c>
      <c r="J314" s="14">
        <v>2.2000000000000002</v>
      </c>
      <c r="K314" s="14">
        <v>1.93999999999999</v>
      </c>
      <c r="L314" s="14">
        <v>0.29999999999999899</v>
      </c>
      <c r="M314" s="14">
        <v>1.46</v>
      </c>
      <c r="N314" s="14">
        <v>2.62</v>
      </c>
      <c r="O314" s="14">
        <v>1.23</v>
      </c>
      <c r="P314" s="14">
        <v>3.16</v>
      </c>
      <c r="Q314">
        <v>450</v>
      </c>
    </row>
    <row r="315" spans="3:17" x14ac:dyDescent="0.25">
      <c r="C315" s="15" t="s">
        <v>364</v>
      </c>
      <c r="D315" s="14" t="s">
        <v>15</v>
      </c>
      <c r="E315" s="14">
        <v>12.6</v>
      </c>
      <c r="F315" s="14">
        <v>2.46</v>
      </c>
      <c r="G315" s="14">
        <v>2.2000000000000002</v>
      </c>
      <c r="H315" s="14">
        <v>18.5</v>
      </c>
      <c r="I315" s="14">
        <v>94</v>
      </c>
      <c r="J315" s="14">
        <v>1.62</v>
      </c>
      <c r="K315" s="14">
        <v>0.66</v>
      </c>
      <c r="L315" s="14">
        <v>0.63</v>
      </c>
      <c r="M315" s="14">
        <v>0.93999999999999895</v>
      </c>
      <c r="N315" s="14">
        <v>7.0999999999999899</v>
      </c>
      <c r="O315" s="14">
        <v>0.72999999999999898</v>
      </c>
      <c r="P315" s="14">
        <v>1.58</v>
      </c>
      <c r="Q315">
        <v>695</v>
      </c>
    </row>
    <row r="316" spans="3:17" x14ac:dyDescent="0.25">
      <c r="C316" s="15" t="s">
        <v>103</v>
      </c>
      <c r="D316" s="14" t="s">
        <v>13</v>
      </c>
      <c r="E316" s="14">
        <v>14.02</v>
      </c>
      <c r="F316" s="14">
        <v>1.6799999999999899</v>
      </c>
      <c r="G316" s="14">
        <v>2.21</v>
      </c>
      <c r="H316" s="14">
        <v>16</v>
      </c>
      <c r="I316" s="14">
        <v>96</v>
      </c>
      <c r="J316" s="14">
        <v>2.6499999999999901</v>
      </c>
      <c r="K316" s="14">
        <v>2.33</v>
      </c>
      <c r="L316" s="14">
        <v>0.26</v>
      </c>
      <c r="M316" s="14">
        <v>1.98</v>
      </c>
      <c r="N316" s="14">
        <v>4.7</v>
      </c>
      <c r="O316" s="14">
        <v>1.04</v>
      </c>
      <c r="P316" s="14">
        <v>3.5899999999999901</v>
      </c>
      <c r="Q316">
        <v>1035</v>
      </c>
    </row>
    <row r="317" spans="3:17" x14ac:dyDescent="0.25">
      <c r="C317" s="15" t="s">
        <v>140</v>
      </c>
      <c r="D317" s="14" t="s">
        <v>14</v>
      </c>
      <c r="E317" s="14">
        <v>13.1099999999999</v>
      </c>
      <c r="F317" s="14">
        <v>1.01</v>
      </c>
      <c r="G317" s="14">
        <v>1.7</v>
      </c>
      <c r="H317" s="14">
        <v>15</v>
      </c>
      <c r="I317" s="14">
        <v>78</v>
      </c>
      <c r="J317" s="14">
        <v>2.98</v>
      </c>
      <c r="K317" s="14">
        <v>3.18</v>
      </c>
      <c r="L317" s="14">
        <v>0.26</v>
      </c>
      <c r="M317" s="14">
        <v>2.27999999999999</v>
      </c>
      <c r="N317" s="14">
        <v>5.2999999999999901</v>
      </c>
      <c r="O317" s="14">
        <v>1.1200000000000001</v>
      </c>
      <c r="P317" s="14">
        <v>3.18</v>
      </c>
      <c r="Q317">
        <v>502</v>
      </c>
    </row>
    <row r="318" spans="3:17" x14ac:dyDescent="0.25">
      <c r="C318" s="15" t="s">
        <v>158</v>
      </c>
      <c r="D318" s="14" t="s">
        <v>14</v>
      </c>
      <c r="E318" s="14">
        <v>11.84</v>
      </c>
      <c r="F318" s="14">
        <v>0.89</v>
      </c>
      <c r="G318" s="14">
        <v>2.58</v>
      </c>
      <c r="H318" s="14">
        <v>18</v>
      </c>
      <c r="I318" s="14">
        <v>94</v>
      </c>
      <c r="J318" s="14">
        <v>2.2000000000000002</v>
      </c>
      <c r="K318" s="14">
        <v>2.21</v>
      </c>
      <c r="L318" s="14">
        <v>0.22</v>
      </c>
      <c r="M318" s="14">
        <v>2.35</v>
      </c>
      <c r="N318" s="14">
        <v>3.0499999999999901</v>
      </c>
      <c r="O318" s="14">
        <v>0.79</v>
      </c>
      <c r="P318" s="14">
        <v>3.08</v>
      </c>
      <c r="Q318">
        <v>520</v>
      </c>
    </row>
    <row r="319" spans="3:17" x14ac:dyDescent="0.25">
      <c r="C319" s="15" t="s">
        <v>344</v>
      </c>
      <c r="D319" s="14" t="s">
        <v>14</v>
      </c>
      <c r="E319" s="14">
        <v>11.0299999999999</v>
      </c>
      <c r="F319" s="14">
        <v>1.51</v>
      </c>
      <c r="G319" s="14">
        <v>2.2000000000000002</v>
      </c>
      <c r="H319" s="14">
        <v>21.5</v>
      </c>
      <c r="I319" s="14">
        <v>85</v>
      </c>
      <c r="J319" s="14">
        <v>2.46</v>
      </c>
      <c r="K319" s="14">
        <v>2.1699999999999902</v>
      </c>
      <c r="L319" s="14">
        <v>0.52</v>
      </c>
      <c r="M319" s="14">
        <v>2.00999999999999</v>
      </c>
      <c r="N319" s="14">
        <v>1.8999999999999899</v>
      </c>
      <c r="O319" s="14">
        <v>1.71</v>
      </c>
      <c r="P319" s="14">
        <v>2.87</v>
      </c>
      <c r="Q319">
        <v>407</v>
      </c>
    </row>
    <row r="320" spans="3:17" x14ac:dyDescent="0.25">
      <c r="C320" s="15" t="s">
        <v>210</v>
      </c>
      <c r="D320" s="14" t="s">
        <v>15</v>
      </c>
      <c r="E320" s="14">
        <v>12.25</v>
      </c>
      <c r="F320" s="14">
        <v>4.71999999999999</v>
      </c>
      <c r="G320" s="14">
        <v>2.54</v>
      </c>
      <c r="H320" s="14">
        <v>21</v>
      </c>
      <c r="I320" s="14">
        <v>89</v>
      </c>
      <c r="J320" s="14">
        <v>1.3799999999999899</v>
      </c>
      <c r="K320" s="14">
        <v>0.46999999999999897</v>
      </c>
      <c r="L320" s="14">
        <v>0.53</v>
      </c>
      <c r="M320" s="14">
        <v>0.8</v>
      </c>
      <c r="N320" s="14">
        <v>3.85</v>
      </c>
      <c r="O320" s="14">
        <v>0.75</v>
      </c>
      <c r="P320" s="14">
        <v>1.27</v>
      </c>
      <c r="Q320">
        <v>720</v>
      </c>
    </row>
    <row r="321" spans="3:17" x14ac:dyDescent="0.25">
      <c r="C321" s="15" t="s">
        <v>148</v>
      </c>
      <c r="D321" s="14" t="s">
        <v>14</v>
      </c>
      <c r="E321" s="14">
        <v>11.96</v>
      </c>
      <c r="F321" s="14">
        <v>1.0900000000000001</v>
      </c>
      <c r="G321" s="14">
        <v>2.2999999999999901</v>
      </c>
      <c r="H321" s="14">
        <v>21</v>
      </c>
      <c r="I321" s="14">
        <v>101</v>
      </c>
      <c r="J321" s="14">
        <v>3.3799999999999901</v>
      </c>
      <c r="K321" s="14">
        <v>2.14</v>
      </c>
      <c r="L321" s="14">
        <v>0.13</v>
      </c>
      <c r="M321" s="14">
        <v>1.6499999999999899</v>
      </c>
      <c r="N321" s="14">
        <v>3.21</v>
      </c>
      <c r="O321" s="14">
        <v>0.98999999999999899</v>
      </c>
      <c r="P321" s="14">
        <v>3.1299999999999901</v>
      </c>
      <c r="Q321">
        <v>886</v>
      </c>
    </row>
    <row r="322" spans="3:17" x14ac:dyDescent="0.25">
      <c r="C322" s="15" t="s">
        <v>184</v>
      </c>
      <c r="D322" s="14" t="s">
        <v>14</v>
      </c>
      <c r="E322" s="14">
        <v>11.46</v>
      </c>
      <c r="F322" s="14">
        <v>3.74</v>
      </c>
      <c r="G322" s="14">
        <v>1.82</v>
      </c>
      <c r="H322" s="14">
        <v>19.5</v>
      </c>
      <c r="I322" s="14">
        <v>107</v>
      </c>
      <c r="J322" s="14">
        <v>3.18</v>
      </c>
      <c r="K322" s="14">
        <v>2.58</v>
      </c>
      <c r="L322" s="14">
        <v>0.23999999999999899</v>
      </c>
      <c r="M322" s="14">
        <v>3.58</v>
      </c>
      <c r="N322" s="14">
        <v>2.8999999999999901</v>
      </c>
      <c r="O322" s="14">
        <v>0.75</v>
      </c>
      <c r="P322" s="14">
        <v>2.81</v>
      </c>
      <c r="Q322">
        <v>562</v>
      </c>
    </row>
    <row r="323" spans="3:17" x14ac:dyDescent="0.25">
      <c r="C323" s="15" t="s">
        <v>125</v>
      </c>
      <c r="D323" s="14" t="s">
        <v>13</v>
      </c>
      <c r="E323" s="14">
        <v>13.83</v>
      </c>
      <c r="F323" s="14">
        <v>1.6499999999999899</v>
      </c>
      <c r="G323" s="14">
        <v>2.6</v>
      </c>
      <c r="H323" s="14">
        <v>17.1999999999999</v>
      </c>
      <c r="I323" s="14">
        <v>94</v>
      </c>
      <c r="J323" s="14">
        <v>2.4500000000000002</v>
      </c>
      <c r="K323" s="14">
        <v>2.99</v>
      </c>
      <c r="L323" s="14">
        <v>0.22</v>
      </c>
      <c r="M323" s="14">
        <v>2.29</v>
      </c>
      <c r="N323" s="14">
        <v>5.5999999999999899</v>
      </c>
      <c r="O323" s="14">
        <v>1.24</v>
      </c>
      <c r="P323" s="14">
        <v>3.37</v>
      </c>
      <c r="Q323">
        <v>1265</v>
      </c>
    </row>
    <row r="324" spans="3:17" x14ac:dyDescent="0.25">
      <c r="C324" s="15" t="s">
        <v>113</v>
      </c>
      <c r="D324" s="14" t="s">
        <v>13</v>
      </c>
      <c r="E324" s="14">
        <v>14.22</v>
      </c>
      <c r="F324" s="14">
        <v>3.99</v>
      </c>
      <c r="G324" s="14">
        <v>2.50999999999999</v>
      </c>
      <c r="H324" s="14">
        <v>13.1999999999999</v>
      </c>
      <c r="I324" s="14">
        <v>128</v>
      </c>
      <c r="J324" s="14">
        <v>3</v>
      </c>
      <c r="K324" s="14">
        <v>3.04</v>
      </c>
      <c r="L324" s="14">
        <v>0.2</v>
      </c>
      <c r="M324" s="14">
        <v>2.08</v>
      </c>
      <c r="N324" s="14">
        <v>5.0999999999999899</v>
      </c>
      <c r="O324" s="14">
        <v>0.89</v>
      </c>
      <c r="P324" s="14">
        <v>3.52999999999999</v>
      </c>
      <c r="Q324">
        <v>760</v>
      </c>
    </row>
    <row r="325" spans="3:17" x14ac:dyDescent="0.25">
      <c r="C325" s="15" t="s">
        <v>385</v>
      </c>
      <c r="D325" s="14" t="s">
        <v>15</v>
      </c>
      <c r="E325" s="14">
        <v>13.84</v>
      </c>
      <c r="F325" s="14">
        <v>4.12</v>
      </c>
      <c r="G325" s="14">
        <v>2.3799999999999901</v>
      </c>
      <c r="H325" s="14">
        <v>19.5</v>
      </c>
      <c r="I325" s="14">
        <v>89</v>
      </c>
      <c r="J325" s="14">
        <v>1.8</v>
      </c>
      <c r="K325" s="14">
        <v>0.82999999999999896</v>
      </c>
      <c r="L325" s="14">
        <v>0.47999999999999898</v>
      </c>
      <c r="M325" s="14">
        <v>1.56</v>
      </c>
      <c r="N325" s="14">
        <v>9.0099999999999891</v>
      </c>
      <c r="O325" s="14">
        <v>0.56999999999999895</v>
      </c>
      <c r="P325" s="14">
        <v>1.6399999999999899</v>
      </c>
      <c r="Q325">
        <v>480</v>
      </c>
    </row>
    <row r="326" spans="3:17" x14ac:dyDescent="0.25">
      <c r="C326" s="15" t="s">
        <v>299</v>
      </c>
      <c r="D326" s="14" t="s">
        <v>14</v>
      </c>
      <c r="E326" s="14">
        <v>12.2899999999999</v>
      </c>
      <c r="F326" s="14">
        <v>1.61</v>
      </c>
      <c r="G326" s="14">
        <v>2.21</v>
      </c>
      <c r="H326" s="14">
        <v>20.399999999999899</v>
      </c>
      <c r="I326" s="14">
        <v>103</v>
      </c>
      <c r="J326" s="14">
        <v>1.1000000000000001</v>
      </c>
      <c r="K326" s="14">
        <v>1.02</v>
      </c>
      <c r="L326" s="14">
        <v>0.37</v>
      </c>
      <c r="M326" s="14">
        <v>1.46</v>
      </c>
      <c r="N326" s="14">
        <v>3.0499999999999901</v>
      </c>
      <c r="O326" s="14">
        <v>0.90600000000000003</v>
      </c>
      <c r="P326" s="14">
        <v>1.82</v>
      </c>
      <c r="Q326">
        <v>870</v>
      </c>
    </row>
    <row r="327" spans="3:17" x14ac:dyDescent="0.25">
      <c r="C327" s="15" t="s">
        <v>166</v>
      </c>
      <c r="D327" s="14" t="s">
        <v>14</v>
      </c>
      <c r="E327" s="14">
        <v>12.69</v>
      </c>
      <c r="F327" s="14">
        <v>1.53</v>
      </c>
      <c r="G327" s="14">
        <v>2.25999999999999</v>
      </c>
      <c r="H327" s="14">
        <v>20.6999999999999</v>
      </c>
      <c r="I327" s="14">
        <v>80</v>
      </c>
      <c r="J327" s="14">
        <v>1.3799999999999899</v>
      </c>
      <c r="K327" s="14">
        <v>1.46</v>
      </c>
      <c r="L327" s="14">
        <v>0.57999999999999896</v>
      </c>
      <c r="M327" s="14">
        <v>1.62</v>
      </c>
      <c r="N327" s="14">
        <v>3.0499999999999901</v>
      </c>
      <c r="O327" s="14">
        <v>0.95999999999999897</v>
      </c>
      <c r="P327" s="14">
        <v>2.06</v>
      </c>
      <c r="Q327">
        <v>495</v>
      </c>
    </row>
    <row r="328" spans="3:17" x14ac:dyDescent="0.25">
      <c r="C328" s="15" t="s">
        <v>289</v>
      </c>
      <c r="D328" s="14" t="s">
        <v>14</v>
      </c>
      <c r="E328" s="14">
        <v>12.33</v>
      </c>
      <c r="F328" s="14">
        <v>1.1000000000000001</v>
      </c>
      <c r="G328" s="14">
        <v>2.27999999999999</v>
      </c>
      <c r="H328" s="14">
        <v>16</v>
      </c>
      <c r="I328" s="14">
        <v>101</v>
      </c>
      <c r="J328" s="14">
        <v>2.0499999999999901</v>
      </c>
      <c r="K328" s="14">
        <v>1.0900000000000001</v>
      </c>
      <c r="L328" s="14">
        <v>0.63</v>
      </c>
      <c r="M328" s="14">
        <v>0.40999999999999898</v>
      </c>
      <c r="N328" s="14">
        <v>3.27</v>
      </c>
      <c r="O328" s="14">
        <v>1.25</v>
      </c>
      <c r="P328" s="14">
        <v>1.6699999999999899</v>
      </c>
      <c r="Q328">
        <v>680</v>
      </c>
    </row>
    <row r="329" spans="3:17" x14ac:dyDescent="0.25">
      <c r="C329" s="15" t="s">
        <v>176</v>
      </c>
      <c r="D329" s="14" t="s">
        <v>14</v>
      </c>
      <c r="E329" s="14">
        <v>12.34</v>
      </c>
      <c r="F329" s="14">
        <v>2.4500000000000002</v>
      </c>
      <c r="G329" s="14">
        <v>2.46</v>
      </c>
      <c r="H329" s="14">
        <v>21</v>
      </c>
      <c r="I329" s="14">
        <v>98</v>
      </c>
      <c r="J329" s="14">
        <v>2.56</v>
      </c>
      <c r="K329" s="14">
        <v>2.1099999999999901</v>
      </c>
      <c r="L329" s="14">
        <v>0.34</v>
      </c>
      <c r="M329" s="14">
        <v>1.31</v>
      </c>
      <c r="N329" s="14">
        <v>2.7999999999999901</v>
      </c>
      <c r="O329" s="14">
        <v>0.8</v>
      </c>
      <c r="P329" s="14">
        <v>3.3799999999999901</v>
      </c>
      <c r="Q329">
        <v>438</v>
      </c>
    </row>
    <row r="330" spans="3:17" x14ac:dyDescent="0.25">
      <c r="C330" s="15" t="s">
        <v>204</v>
      </c>
      <c r="D330" s="14" t="s">
        <v>15</v>
      </c>
      <c r="E330" s="14">
        <v>12.8599999999999</v>
      </c>
      <c r="F330" s="14">
        <v>1.35</v>
      </c>
      <c r="G330" s="14">
        <v>2.3199999999999901</v>
      </c>
      <c r="H330" s="14">
        <v>18</v>
      </c>
      <c r="I330" s="14">
        <v>122</v>
      </c>
      <c r="J330" s="14">
        <v>1.51</v>
      </c>
      <c r="K330" s="14">
        <v>1.25</v>
      </c>
      <c r="L330" s="14">
        <v>0.20999999999999899</v>
      </c>
      <c r="M330" s="14">
        <v>0.93999999999999895</v>
      </c>
      <c r="N330" s="14">
        <v>4.0999999999999899</v>
      </c>
      <c r="O330" s="14">
        <v>0.76</v>
      </c>
      <c r="P330" s="14">
        <v>1.29</v>
      </c>
      <c r="Q330">
        <v>630</v>
      </c>
    </row>
    <row r="331" spans="3:17" x14ac:dyDescent="0.25">
      <c r="C331" s="15" t="s">
        <v>374</v>
      </c>
      <c r="D331" s="14" t="s">
        <v>15</v>
      </c>
      <c r="E331" s="14">
        <v>13.16</v>
      </c>
      <c r="F331" s="14">
        <v>3.5699999999999901</v>
      </c>
      <c r="G331" s="14">
        <v>2.1499999999999901</v>
      </c>
      <c r="H331" s="14">
        <v>21</v>
      </c>
      <c r="I331" s="14">
        <v>102</v>
      </c>
      <c r="J331" s="14">
        <v>1.5</v>
      </c>
      <c r="K331" s="14">
        <v>0.55000000000000004</v>
      </c>
      <c r="L331" s="14">
        <v>0.42999999999999899</v>
      </c>
      <c r="M331" s="14">
        <v>1.3</v>
      </c>
      <c r="N331" s="14">
        <v>4</v>
      </c>
      <c r="O331" s="14">
        <v>0.59999999999999898</v>
      </c>
      <c r="P331" s="14">
        <v>1.6799999999999899</v>
      </c>
      <c r="Q331">
        <v>830</v>
      </c>
    </row>
    <row r="332" spans="3:17" x14ac:dyDescent="0.25">
      <c r="C332" s="15" t="s">
        <v>300</v>
      </c>
      <c r="D332" s="14" t="s">
        <v>14</v>
      </c>
      <c r="E332" s="14">
        <v>13.8599999999999</v>
      </c>
      <c r="F332" s="14">
        <v>1.51</v>
      </c>
      <c r="G332" s="14">
        <v>2.6699999999999902</v>
      </c>
      <c r="H332" s="14">
        <v>25</v>
      </c>
      <c r="I332" s="14">
        <v>86</v>
      </c>
      <c r="J332" s="14">
        <v>2.95</v>
      </c>
      <c r="K332" s="14">
        <v>2.8599999999999901</v>
      </c>
      <c r="L332" s="14">
        <v>0.20999999999999899</v>
      </c>
      <c r="M332" s="14">
        <v>1.87</v>
      </c>
      <c r="N332" s="14">
        <v>3.3799999999999901</v>
      </c>
      <c r="O332" s="14">
        <v>1.36</v>
      </c>
      <c r="P332" s="14">
        <v>3.16</v>
      </c>
      <c r="Q332">
        <v>410</v>
      </c>
    </row>
    <row r="333" spans="3:17" x14ac:dyDescent="0.25">
      <c r="C333" s="15" t="s">
        <v>279</v>
      </c>
      <c r="D333" s="14" t="s">
        <v>13</v>
      </c>
      <c r="E333" s="14">
        <v>13.05</v>
      </c>
      <c r="F333" s="14">
        <v>1.73</v>
      </c>
      <c r="G333" s="14">
        <v>2.04</v>
      </c>
      <c r="H333" s="14">
        <v>12.4</v>
      </c>
      <c r="I333" s="14">
        <v>92</v>
      </c>
      <c r="J333" s="14">
        <v>2.72</v>
      </c>
      <c r="K333" s="14">
        <v>3.27</v>
      </c>
      <c r="L333" s="14">
        <v>0.17</v>
      </c>
      <c r="M333" s="14">
        <v>2.91</v>
      </c>
      <c r="N333" s="14">
        <v>7.2</v>
      </c>
      <c r="O333" s="14">
        <v>1.1200000000000001</v>
      </c>
      <c r="P333" s="14">
        <v>2.91</v>
      </c>
      <c r="Q333">
        <v>1150</v>
      </c>
    </row>
    <row r="334" spans="3:17" x14ac:dyDescent="0.25">
      <c r="C334" s="15" t="s">
        <v>225</v>
      </c>
      <c r="D334" s="14" t="s">
        <v>15</v>
      </c>
      <c r="E334" s="14">
        <v>12.7899999999999</v>
      </c>
      <c r="F334" s="14">
        <v>2.6699999999999902</v>
      </c>
      <c r="G334" s="14">
        <v>2.48</v>
      </c>
      <c r="H334" s="14">
        <v>22</v>
      </c>
      <c r="I334" s="14">
        <v>112</v>
      </c>
      <c r="J334" s="14">
        <v>1.48</v>
      </c>
      <c r="K334" s="14">
        <v>1.36</v>
      </c>
      <c r="L334" s="14">
        <v>0.23999999999999899</v>
      </c>
      <c r="M334" s="14">
        <v>1.26</v>
      </c>
      <c r="N334" s="14">
        <v>10.8</v>
      </c>
      <c r="O334" s="14">
        <v>0.47999999999999898</v>
      </c>
      <c r="P334" s="14">
        <v>1.47</v>
      </c>
      <c r="Q334">
        <v>480</v>
      </c>
    </row>
    <row r="335" spans="3:17" x14ac:dyDescent="0.25">
      <c r="C335" s="15" t="s">
        <v>286</v>
      </c>
      <c r="D335" s="14" t="s">
        <v>13</v>
      </c>
      <c r="E335" s="14">
        <v>13.2899999999999</v>
      </c>
      <c r="F335" s="14">
        <v>1.97</v>
      </c>
      <c r="G335" s="14">
        <v>2.68</v>
      </c>
      <c r="H335" s="14">
        <v>16.8</v>
      </c>
      <c r="I335" s="14">
        <v>102</v>
      </c>
      <c r="J335" s="14">
        <v>3</v>
      </c>
      <c r="K335" s="14">
        <v>3.23</v>
      </c>
      <c r="L335" s="14">
        <v>0.31</v>
      </c>
      <c r="M335" s="14">
        <v>1.6599999999999899</v>
      </c>
      <c r="N335" s="14">
        <v>6</v>
      </c>
      <c r="O335" s="14">
        <v>1.07</v>
      </c>
      <c r="P335" s="14">
        <v>2.8399999999999901</v>
      </c>
      <c r="Q335">
        <v>1270</v>
      </c>
    </row>
    <row r="336" spans="3:17" x14ac:dyDescent="0.25">
      <c r="C336" s="15" t="s">
        <v>119</v>
      </c>
      <c r="D336" s="14" t="s">
        <v>13</v>
      </c>
      <c r="E336" s="14">
        <v>14.21</v>
      </c>
      <c r="F336" s="14">
        <v>4.04</v>
      </c>
      <c r="G336" s="14">
        <v>2.4399999999999902</v>
      </c>
      <c r="H336" s="14">
        <v>18.899999999999899</v>
      </c>
      <c r="I336" s="14">
        <v>111</v>
      </c>
      <c r="J336" s="14">
        <v>2.85</v>
      </c>
      <c r="K336" s="14">
        <v>2.6499999999999901</v>
      </c>
      <c r="L336" s="14">
        <v>0.29999999999999899</v>
      </c>
      <c r="M336" s="14">
        <v>1.25</v>
      </c>
      <c r="N336" s="14">
        <v>5.24</v>
      </c>
      <c r="O336" s="14">
        <v>0.87</v>
      </c>
      <c r="P336" s="14">
        <v>3.33</v>
      </c>
      <c r="Q336">
        <v>1080</v>
      </c>
    </row>
    <row r="337" spans="3:17" x14ac:dyDescent="0.25">
      <c r="C337" s="15" t="s">
        <v>82</v>
      </c>
      <c r="D337" s="14" t="s">
        <v>13</v>
      </c>
      <c r="E337" s="14">
        <v>14.83</v>
      </c>
      <c r="F337" s="14">
        <v>1.6399999999999899</v>
      </c>
      <c r="G337" s="14">
        <v>2.1699999999999902</v>
      </c>
      <c r="H337" s="14">
        <v>14</v>
      </c>
      <c r="I337" s="14">
        <v>97</v>
      </c>
      <c r="J337" s="14">
        <v>2.7999999999999901</v>
      </c>
      <c r="K337" s="14">
        <v>2.98</v>
      </c>
      <c r="L337" s="14">
        <v>0.28999999999999898</v>
      </c>
      <c r="M337" s="14">
        <v>1.98</v>
      </c>
      <c r="N337" s="14">
        <v>5.2</v>
      </c>
      <c r="O337" s="14">
        <v>1.08</v>
      </c>
      <c r="P337" s="14">
        <v>2.85</v>
      </c>
      <c r="Q337">
        <v>1045</v>
      </c>
    </row>
    <row r="338" spans="3:17" x14ac:dyDescent="0.25">
      <c r="C338" s="15" t="s">
        <v>304</v>
      </c>
      <c r="D338" s="14" t="s">
        <v>14</v>
      </c>
      <c r="E338" s="14">
        <v>11.66</v>
      </c>
      <c r="F338" s="14">
        <v>1.8799999999999899</v>
      </c>
      <c r="G338" s="14">
        <v>1.9199999999999899</v>
      </c>
      <c r="H338" s="14">
        <v>16</v>
      </c>
      <c r="I338" s="14">
        <v>97</v>
      </c>
      <c r="J338" s="14">
        <v>1.61</v>
      </c>
      <c r="K338" s="14">
        <v>1.57</v>
      </c>
      <c r="L338" s="14">
        <v>0.34</v>
      </c>
      <c r="M338" s="14">
        <v>1.1499999999999899</v>
      </c>
      <c r="N338" s="14">
        <v>3.7999999999999901</v>
      </c>
      <c r="O338" s="14">
        <v>1.23</v>
      </c>
      <c r="P338" s="14">
        <v>2.14</v>
      </c>
      <c r="Q338">
        <v>428</v>
      </c>
    </row>
    <row r="339" spans="3:17" x14ac:dyDescent="0.25">
      <c r="C339" s="15" t="s">
        <v>163</v>
      </c>
      <c r="D339" s="14" t="s">
        <v>14</v>
      </c>
      <c r="E339" s="14">
        <v>12.08</v>
      </c>
      <c r="F339" s="14">
        <v>1.33</v>
      </c>
      <c r="G339" s="14">
        <v>2.2999999999999901</v>
      </c>
      <c r="H339" s="14">
        <v>23.6</v>
      </c>
      <c r="I339" s="14">
        <v>70</v>
      </c>
      <c r="J339" s="14">
        <v>2.2000000000000002</v>
      </c>
      <c r="K339" s="14">
        <v>1.59</v>
      </c>
      <c r="L339" s="14">
        <v>0.41999999999999899</v>
      </c>
      <c r="M339" s="14">
        <v>1.3799999999999899</v>
      </c>
      <c r="N339" s="14">
        <v>1.74</v>
      </c>
      <c r="O339" s="14">
        <v>1.07</v>
      </c>
      <c r="P339" s="14">
        <v>3.21</v>
      </c>
      <c r="Q339">
        <v>625</v>
      </c>
    </row>
    <row r="340" spans="3:17" x14ac:dyDescent="0.25">
      <c r="C340" s="15" t="s">
        <v>152</v>
      </c>
      <c r="D340" s="14" t="s">
        <v>14</v>
      </c>
      <c r="E340" s="14">
        <v>12.33</v>
      </c>
      <c r="F340" s="14">
        <v>0.98999999999999899</v>
      </c>
      <c r="G340" s="14">
        <v>1.95</v>
      </c>
      <c r="H340" s="14">
        <v>14.8</v>
      </c>
      <c r="I340" s="14">
        <v>136</v>
      </c>
      <c r="J340" s="14">
        <v>1.8999999999999899</v>
      </c>
      <c r="K340" s="14">
        <v>1.85</v>
      </c>
      <c r="L340" s="14">
        <v>0.34999999999999898</v>
      </c>
      <c r="M340" s="14">
        <v>2.75999999999999</v>
      </c>
      <c r="N340" s="14">
        <v>3.3999999999999901</v>
      </c>
      <c r="O340" s="14">
        <v>1.06</v>
      </c>
      <c r="P340" s="14">
        <v>2.31</v>
      </c>
      <c r="Q340">
        <v>750</v>
      </c>
    </row>
    <row r="341" spans="3:17" x14ac:dyDescent="0.25">
      <c r="C341" s="15" t="s">
        <v>197</v>
      </c>
      <c r="D341" s="14" t="s">
        <v>14</v>
      </c>
      <c r="E341" s="14">
        <v>13.05</v>
      </c>
      <c r="F341" s="14">
        <v>5.7999999999999901</v>
      </c>
      <c r="G341" s="14">
        <v>2.1299999999999901</v>
      </c>
      <c r="H341" s="14">
        <v>21.5</v>
      </c>
      <c r="I341" s="14">
        <v>86</v>
      </c>
      <c r="J341" s="14">
        <v>2.62</v>
      </c>
      <c r="K341" s="14">
        <v>2.6499999999999901</v>
      </c>
      <c r="L341" s="14">
        <v>0.29999999999999899</v>
      </c>
      <c r="M341" s="14">
        <v>2.00999999999999</v>
      </c>
      <c r="N341" s="14">
        <v>2.6</v>
      </c>
      <c r="O341" s="14">
        <v>0.72999999999999898</v>
      </c>
      <c r="P341" s="14">
        <v>3.1</v>
      </c>
      <c r="Q341">
        <v>380</v>
      </c>
    </row>
    <row r="342" spans="3:17" x14ac:dyDescent="0.25">
      <c r="C342" s="15" t="s">
        <v>378</v>
      </c>
      <c r="D342" s="14" t="s">
        <v>15</v>
      </c>
      <c r="E342" s="14">
        <v>13.08</v>
      </c>
      <c r="F342" s="14">
        <v>3.8999999999999901</v>
      </c>
      <c r="G342" s="14">
        <v>2.3599999999999901</v>
      </c>
      <c r="H342" s="14">
        <v>21.5</v>
      </c>
      <c r="I342" s="14">
        <v>113</v>
      </c>
      <c r="J342" s="14">
        <v>1.4099999999999899</v>
      </c>
      <c r="K342" s="14">
        <v>1.3899999999999899</v>
      </c>
      <c r="L342" s="14">
        <v>0.34</v>
      </c>
      <c r="M342" s="14">
        <v>1.1399999999999899</v>
      </c>
      <c r="N342" s="14">
        <v>9.4</v>
      </c>
      <c r="O342" s="14">
        <v>0.56999999999999895</v>
      </c>
      <c r="P342" s="14">
        <v>1.33</v>
      </c>
      <c r="Q342">
        <v>550</v>
      </c>
    </row>
    <row r="343" spans="3:17" x14ac:dyDescent="0.25">
      <c r="C343" s="15" t="s">
        <v>233</v>
      </c>
      <c r="D343" s="14" t="s">
        <v>15</v>
      </c>
      <c r="E343" s="14">
        <v>13.48</v>
      </c>
      <c r="F343" s="14">
        <v>1.6699999999999899</v>
      </c>
      <c r="G343" s="14">
        <v>2.64</v>
      </c>
      <c r="H343" s="14">
        <v>22.5</v>
      </c>
      <c r="I343" s="14">
        <v>89</v>
      </c>
      <c r="J343" s="14">
        <v>2.6</v>
      </c>
      <c r="K343" s="14">
        <v>1.1000000000000001</v>
      </c>
      <c r="L343" s="14">
        <v>0.52</v>
      </c>
      <c r="M343" s="14">
        <v>2.29</v>
      </c>
      <c r="N343" s="14">
        <v>11.75</v>
      </c>
      <c r="O343" s="14">
        <v>0.56999999999999895</v>
      </c>
      <c r="P343" s="14">
        <v>1.78</v>
      </c>
      <c r="Q343">
        <v>620</v>
      </c>
    </row>
    <row r="344" spans="3:17" x14ac:dyDescent="0.25">
      <c r="C344" s="15" t="s">
        <v>346</v>
      </c>
      <c r="D344" s="14" t="s">
        <v>14</v>
      </c>
      <c r="E344" s="14">
        <v>12.42</v>
      </c>
      <c r="F344" s="14">
        <v>1.61</v>
      </c>
      <c r="G344" s="14">
        <v>2.1899999999999902</v>
      </c>
      <c r="H344" s="14">
        <v>22.5</v>
      </c>
      <c r="I344" s="14">
        <v>108</v>
      </c>
      <c r="J344" s="14">
        <v>2</v>
      </c>
      <c r="K344" s="14">
        <v>2.0899999999999901</v>
      </c>
      <c r="L344" s="14">
        <v>0.34</v>
      </c>
      <c r="M344" s="14">
        <v>1.61</v>
      </c>
      <c r="N344" s="14">
        <v>2.06</v>
      </c>
      <c r="O344" s="14">
        <v>1.06</v>
      </c>
      <c r="P344" s="14">
        <v>2.96</v>
      </c>
      <c r="Q344">
        <v>345</v>
      </c>
    </row>
    <row r="345" spans="3:17" x14ac:dyDescent="0.25">
      <c r="C345" s="15" t="s">
        <v>271</v>
      </c>
      <c r="D345" s="14" t="s">
        <v>13</v>
      </c>
      <c r="E345" s="14">
        <v>13.88</v>
      </c>
      <c r="F345" s="14">
        <v>1.8899999999999899</v>
      </c>
      <c r="G345" s="14">
        <v>2.5899999999999901</v>
      </c>
      <c r="H345" s="14">
        <v>15</v>
      </c>
      <c r="I345" s="14">
        <v>101</v>
      </c>
      <c r="J345" s="14">
        <v>3.25</v>
      </c>
      <c r="K345" s="14">
        <v>3.56</v>
      </c>
      <c r="L345" s="14">
        <v>0.17</v>
      </c>
      <c r="M345" s="14">
        <v>1.7</v>
      </c>
      <c r="N345" s="14">
        <v>5.4299999999999899</v>
      </c>
      <c r="O345" s="14">
        <v>0.88</v>
      </c>
      <c r="P345" s="14">
        <v>3.56</v>
      </c>
      <c r="Q345">
        <v>1095</v>
      </c>
    </row>
    <row r="346" spans="3:17" x14ac:dyDescent="0.25">
      <c r="C346" s="15" t="s">
        <v>228</v>
      </c>
      <c r="D346" s="14" t="s">
        <v>15</v>
      </c>
      <c r="E346" s="14">
        <v>12.58</v>
      </c>
      <c r="F346" s="14">
        <v>1.29</v>
      </c>
      <c r="G346" s="14">
        <v>2.1</v>
      </c>
      <c r="H346" s="14">
        <v>20</v>
      </c>
      <c r="I346" s="14">
        <v>103</v>
      </c>
      <c r="J346" s="14">
        <v>1.48</v>
      </c>
      <c r="K346" s="14">
        <v>0.57999999999999896</v>
      </c>
      <c r="L346" s="14">
        <v>0.53</v>
      </c>
      <c r="M346" s="14">
        <v>1.3999999999999899</v>
      </c>
      <c r="N346" s="14">
        <v>7.5999999999999899</v>
      </c>
      <c r="O346" s="14">
        <v>0.57999999999999896</v>
      </c>
      <c r="P346" s="14">
        <v>1.55</v>
      </c>
      <c r="Q346">
        <v>640</v>
      </c>
    </row>
    <row r="347" spans="3:17" x14ac:dyDescent="0.25">
      <c r="C347" s="15" t="s">
        <v>200</v>
      </c>
      <c r="D347" s="14" t="s">
        <v>14</v>
      </c>
      <c r="E347" s="14">
        <v>12.43</v>
      </c>
      <c r="F347" s="14">
        <v>1.53</v>
      </c>
      <c r="G347" s="14">
        <v>2.29</v>
      </c>
      <c r="H347" s="14">
        <v>21.5</v>
      </c>
      <c r="I347" s="14">
        <v>86</v>
      </c>
      <c r="J347" s="14">
        <v>2.74</v>
      </c>
      <c r="K347" s="14">
        <v>3.1499999999999901</v>
      </c>
      <c r="L347" s="14">
        <v>0.39</v>
      </c>
      <c r="M347" s="14">
        <v>1.77</v>
      </c>
      <c r="N347" s="14">
        <v>3.9399999999999902</v>
      </c>
      <c r="O347" s="14">
        <v>0.68999999999999895</v>
      </c>
      <c r="P347" s="14">
        <v>2.8399999999999901</v>
      </c>
      <c r="Q347">
        <v>352</v>
      </c>
    </row>
    <row r="348" spans="3:17" x14ac:dyDescent="0.25">
      <c r="C348" s="15" t="s">
        <v>270</v>
      </c>
      <c r="D348" s="14" t="s">
        <v>13</v>
      </c>
      <c r="E348" s="14">
        <v>13.41</v>
      </c>
      <c r="F348" s="14">
        <v>3.8399999999999901</v>
      </c>
      <c r="G348" s="14">
        <v>2.12</v>
      </c>
      <c r="H348" s="14">
        <v>18.8</v>
      </c>
      <c r="I348" s="14">
        <v>90</v>
      </c>
      <c r="J348" s="14">
        <v>2.4500000000000002</v>
      </c>
      <c r="K348" s="14">
        <v>2.68</v>
      </c>
      <c r="L348" s="14">
        <v>0.27</v>
      </c>
      <c r="M348" s="14">
        <v>1.48</v>
      </c>
      <c r="N348" s="14">
        <v>4.28</v>
      </c>
      <c r="O348" s="14">
        <v>0.91</v>
      </c>
      <c r="P348" s="14">
        <v>3</v>
      </c>
      <c r="Q348">
        <v>1035</v>
      </c>
    </row>
    <row r="349" spans="3:17" x14ac:dyDescent="0.25">
      <c r="C349" s="15" t="s">
        <v>208</v>
      </c>
      <c r="D349" s="14" t="s">
        <v>15</v>
      </c>
      <c r="E349" s="14">
        <v>12.51</v>
      </c>
      <c r="F349" s="14">
        <v>1.24</v>
      </c>
      <c r="G349" s="14">
        <v>2.25</v>
      </c>
      <c r="H349" s="14">
        <v>17.5</v>
      </c>
      <c r="I349" s="14">
        <v>85</v>
      </c>
      <c r="J349" s="14">
        <v>2</v>
      </c>
      <c r="K349" s="14">
        <v>0.57999999999999896</v>
      </c>
      <c r="L349" s="14">
        <v>0.59999999999999898</v>
      </c>
      <c r="M349" s="14">
        <v>1.25</v>
      </c>
      <c r="N349" s="14">
        <v>5.45</v>
      </c>
      <c r="O349" s="14">
        <v>0.75</v>
      </c>
      <c r="P349" s="14">
        <v>1.51</v>
      </c>
      <c r="Q349">
        <v>650</v>
      </c>
    </row>
    <row r="350" spans="3:17" x14ac:dyDescent="0.25">
      <c r="C350" s="15" t="s">
        <v>253</v>
      </c>
      <c r="D350" s="14" t="s">
        <v>13</v>
      </c>
      <c r="E350" s="14">
        <v>13.5</v>
      </c>
      <c r="F350" s="14">
        <v>1.81</v>
      </c>
      <c r="G350" s="14">
        <v>2.6099999999999901</v>
      </c>
      <c r="H350" s="14">
        <v>20</v>
      </c>
      <c r="I350" s="14">
        <v>96</v>
      </c>
      <c r="J350" s="14">
        <v>2.52999999999999</v>
      </c>
      <c r="K350" s="14">
        <v>2.6099999999999901</v>
      </c>
      <c r="L350" s="14">
        <v>0.28000000000000003</v>
      </c>
      <c r="M350" s="14">
        <v>1.6599999999999899</v>
      </c>
      <c r="N350" s="14">
        <v>3.52</v>
      </c>
      <c r="O350" s="14">
        <v>1.1200000000000001</v>
      </c>
      <c r="P350" s="14">
        <v>3.8199999999999901</v>
      </c>
      <c r="Q350">
        <v>845</v>
      </c>
    </row>
    <row r="351" spans="3:17" x14ac:dyDescent="0.25">
      <c r="C351" s="15" t="s">
        <v>224</v>
      </c>
      <c r="D351" s="14" t="s">
        <v>15</v>
      </c>
      <c r="E351" s="14">
        <v>13.5</v>
      </c>
      <c r="F351" s="14">
        <v>3.12</v>
      </c>
      <c r="G351" s="14">
        <v>2.62</v>
      </c>
      <c r="H351" s="14">
        <v>24</v>
      </c>
      <c r="I351" s="14">
        <v>123</v>
      </c>
      <c r="J351" s="14">
        <v>1.3999999999999899</v>
      </c>
      <c r="K351" s="14">
        <v>1.57</v>
      </c>
      <c r="L351" s="14">
        <v>0.22</v>
      </c>
      <c r="M351" s="14">
        <v>1.25</v>
      </c>
      <c r="N351" s="14">
        <v>8.5999999999999908</v>
      </c>
      <c r="O351" s="14">
        <v>0.58999999999999897</v>
      </c>
      <c r="P351" s="14">
        <v>1.3</v>
      </c>
      <c r="Q351">
        <v>500</v>
      </c>
    </row>
    <row r="352" spans="3:17" x14ac:dyDescent="0.25">
      <c r="C352" s="15" t="s">
        <v>245</v>
      </c>
      <c r="D352" s="14" t="s">
        <v>15</v>
      </c>
      <c r="E352" s="14">
        <v>12.77</v>
      </c>
      <c r="F352" s="14">
        <v>2.39</v>
      </c>
      <c r="G352" s="14">
        <v>2.27999999999999</v>
      </c>
      <c r="H352" s="14">
        <v>19.5</v>
      </c>
      <c r="I352" s="14">
        <v>86</v>
      </c>
      <c r="J352" s="14">
        <v>1.3899999999999899</v>
      </c>
      <c r="K352" s="14">
        <v>0.51</v>
      </c>
      <c r="L352" s="14">
        <v>0.47999999999999898</v>
      </c>
      <c r="M352" s="14">
        <v>0.64</v>
      </c>
      <c r="N352" s="14">
        <v>9.8999989999999904</v>
      </c>
      <c r="O352" s="14">
        <v>0.56999999999999895</v>
      </c>
      <c r="P352" s="14">
        <v>1.6299999999999899</v>
      </c>
      <c r="Q352">
        <v>470</v>
      </c>
    </row>
    <row r="353" spans="3:17" x14ac:dyDescent="0.25">
      <c r="C353" s="15" t="s">
        <v>194</v>
      </c>
      <c r="D353" s="14" t="s">
        <v>14</v>
      </c>
      <c r="E353" s="14">
        <v>11.4499999999999</v>
      </c>
      <c r="F353" s="14">
        <v>2.3999999999999901</v>
      </c>
      <c r="G353" s="14">
        <v>2.4199999999999902</v>
      </c>
      <c r="H353" s="14">
        <v>20</v>
      </c>
      <c r="I353" s="14">
        <v>96</v>
      </c>
      <c r="J353" s="14">
        <v>2.8999999999999901</v>
      </c>
      <c r="K353" s="14">
        <v>2.79</v>
      </c>
      <c r="L353" s="14">
        <v>0.32</v>
      </c>
      <c r="M353" s="14">
        <v>1.83</v>
      </c>
      <c r="N353" s="14">
        <v>3.25</v>
      </c>
      <c r="O353" s="14">
        <v>0.8</v>
      </c>
      <c r="P353" s="14">
        <v>3.39</v>
      </c>
      <c r="Q353">
        <v>625</v>
      </c>
    </row>
    <row r="354" spans="3:17" x14ac:dyDescent="0.25">
      <c r="C354" s="15" t="s">
        <v>251</v>
      </c>
      <c r="D354" s="14" t="s">
        <v>15</v>
      </c>
      <c r="E354" s="14">
        <v>14.13</v>
      </c>
      <c r="F354" s="14">
        <v>4.0999999999999899</v>
      </c>
      <c r="G354" s="14">
        <v>2.74</v>
      </c>
      <c r="H354" s="14">
        <v>24.5</v>
      </c>
      <c r="I354" s="14">
        <v>96</v>
      </c>
      <c r="J354" s="14">
        <v>2.0499999999999901</v>
      </c>
      <c r="K354" s="14">
        <v>0.76</v>
      </c>
      <c r="L354" s="14">
        <v>0.56000000000000005</v>
      </c>
      <c r="M354" s="14">
        <v>1.35</v>
      </c>
      <c r="N354" s="14">
        <v>9.1999999999999904</v>
      </c>
      <c r="O354" s="14">
        <v>0.60999999999999899</v>
      </c>
      <c r="P354" s="14">
        <v>1.6</v>
      </c>
      <c r="Q354">
        <v>560</v>
      </c>
    </row>
    <row r="355" spans="3:17" x14ac:dyDescent="0.25">
      <c r="C355" s="15" t="s">
        <v>349</v>
      </c>
      <c r="D355" s="14" t="s">
        <v>14</v>
      </c>
      <c r="E355" s="14">
        <v>11.4499999999999</v>
      </c>
      <c r="F355" s="14">
        <v>2.3999999999999901</v>
      </c>
      <c r="G355" s="14">
        <v>2.4199999999999902</v>
      </c>
      <c r="H355" s="14">
        <v>20</v>
      </c>
      <c r="I355" s="14">
        <v>96</v>
      </c>
      <c r="J355" s="14">
        <v>2.8999999999999901</v>
      </c>
      <c r="K355" s="14">
        <v>2.79</v>
      </c>
      <c r="L355" s="14">
        <v>0.32</v>
      </c>
      <c r="M355" s="14">
        <v>1.83</v>
      </c>
      <c r="N355" s="14">
        <v>3.25</v>
      </c>
      <c r="O355" s="14">
        <v>0.8</v>
      </c>
      <c r="P355" s="14">
        <v>3.39</v>
      </c>
      <c r="Q355">
        <v>625</v>
      </c>
    </row>
    <row r="356" spans="3:17" x14ac:dyDescent="0.25">
      <c r="C356" s="15" t="s">
        <v>107</v>
      </c>
      <c r="D356" s="14" t="s">
        <v>13</v>
      </c>
      <c r="E356" s="14">
        <v>13.76</v>
      </c>
      <c r="F356" s="14">
        <v>1.53</v>
      </c>
      <c r="G356" s="14">
        <v>2.7</v>
      </c>
      <c r="H356" s="14">
        <v>19.5</v>
      </c>
      <c r="I356" s="14">
        <v>132</v>
      </c>
      <c r="J356" s="14">
        <v>2.95</v>
      </c>
      <c r="K356" s="14">
        <v>2.74</v>
      </c>
      <c r="L356" s="14">
        <v>0.5</v>
      </c>
      <c r="M356" s="14">
        <v>1.35</v>
      </c>
      <c r="N356" s="14">
        <v>5.4</v>
      </c>
      <c r="O356" s="14">
        <v>1.25</v>
      </c>
      <c r="P356" s="14">
        <v>3</v>
      </c>
      <c r="Q356">
        <v>1235</v>
      </c>
    </row>
    <row r="357" spans="3:17" x14ac:dyDescent="0.25">
      <c r="C357" s="15" t="s">
        <v>169</v>
      </c>
      <c r="D357" s="14" t="s">
        <v>14</v>
      </c>
      <c r="E357" s="14">
        <v>12.47</v>
      </c>
      <c r="F357" s="14">
        <v>1.52</v>
      </c>
      <c r="G357" s="14">
        <v>2.2000000000000002</v>
      </c>
      <c r="H357" s="14">
        <v>19</v>
      </c>
      <c r="I357" s="14">
        <v>162</v>
      </c>
      <c r="J357" s="14">
        <v>2.5</v>
      </c>
      <c r="K357" s="14">
        <v>2.27</v>
      </c>
      <c r="L357" s="14">
        <v>0.32</v>
      </c>
      <c r="M357" s="14">
        <v>3.27999999999999</v>
      </c>
      <c r="N357" s="14">
        <v>2.6</v>
      </c>
      <c r="O357" s="14">
        <v>1.1599999999999899</v>
      </c>
      <c r="P357" s="14">
        <v>2.6299999999999901</v>
      </c>
      <c r="Q357">
        <v>937</v>
      </c>
    </row>
    <row r="358" spans="3:17" x14ac:dyDescent="0.25">
      <c r="C358" s="15" t="s">
        <v>361</v>
      </c>
      <c r="D358" s="14" t="s">
        <v>15</v>
      </c>
      <c r="E358" s="14">
        <v>12.81</v>
      </c>
      <c r="F358" s="14">
        <v>2.31</v>
      </c>
      <c r="G358" s="14">
        <v>2.3999999999999901</v>
      </c>
      <c r="H358" s="14">
        <v>24</v>
      </c>
      <c r="I358" s="14">
        <v>98</v>
      </c>
      <c r="J358" s="14">
        <v>1.1499999999999899</v>
      </c>
      <c r="K358" s="14">
        <v>1.0900000000000001</v>
      </c>
      <c r="L358" s="14">
        <v>0.27</v>
      </c>
      <c r="M358" s="14">
        <v>0.82999999999999896</v>
      </c>
      <c r="N358" s="14">
        <v>5.7</v>
      </c>
      <c r="O358" s="14">
        <v>0.66</v>
      </c>
      <c r="P358" s="14">
        <v>1.36</v>
      </c>
      <c r="Q358">
        <v>560</v>
      </c>
    </row>
    <row r="359" spans="3:17" x14ac:dyDescent="0.25">
      <c r="C359" s="15" t="s">
        <v>328</v>
      </c>
      <c r="D359" s="14" t="s">
        <v>14</v>
      </c>
      <c r="E359" s="14">
        <v>12.2899999999999</v>
      </c>
      <c r="F359" s="14">
        <v>3.1699999999999902</v>
      </c>
      <c r="G359" s="14">
        <v>2.21</v>
      </c>
      <c r="H359" s="14">
        <v>18</v>
      </c>
      <c r="I359" s="14">
        <v>88</v>
      </c>
      <c r="J359" s="14">
        <v>2.85</v>
      </c>
      <c r="K359" s="14">
        <v>2.99</v>
      </c>
      <c r="L359" s="14">
        <v>0.45</v>
      </c>
      <c r="M359" s="14">
        <v>2.81</v>
      </c>
      <c r="N359" s="14">
        <v>2.2999999999999901</v>
      </c>
      <c r="O359" s="14">
        <v>1.4199999999999899</v>
      </c>
      <c r="P359" s="14">
        <v>2.83</v>
      </c>
      <c r="Q359">
        <v>406</v>
      </c>
    </row>
    <row r="360" spans="3:17" x14ac:dyDescent="0.25">
      <c r="C360" s="15" t="s">
        <v>311</v>
      </c>
      <c r="D360" s="14" t="s">
        <v>14</v>
      </c>
      <c r="E360" s="14">
        <v>12.08</v>
      </c>
      <c r="F360" s="14">
        <v>1.1299999999999899</v>
      </c>
      <c r="G360" s="14">
        <v>2.50999999999999</v>
      </c>
      <c r="H360" s="14">
        <v>24</v>
      </c>
      <c r="I360" s="14">
        <v>78</v>
      </c>
      <c r="J360" s="14">
        <v>2</v>
      </c>
      <c r="K360" s="14">
        <v>1.58</v>
      </c>
      <c r="L360" s="14">
        <v>0.4</v>
      </c>
      <c r="M360" s="14">
        <v>1.3999999999999899</v>
      </c>
      <c r="N360" s="14">
        <v>2.2000000000000002</v>
      </c>
      <c r="O360" s="14">
        <v>1.31</v>
      </c>
      <c r="P360" s="14">
        <v>2.72</v>
      </c>
      <c r="Q360">
        <v>630</v>
      </c>
    </row>
    <row r="361" spans="3:17" x14ac:dyDescent="0.25">
      <c r="C361" s="15" t="s">
        <v>276</v>
      </c>
      <c r="D361" s="14" t="s">
        <v>13</v>
      </c>
      <c r="E361" s="14">
        <v>13.9</v>
      </c>
      <c r="F361" s="14">
        <v>1.6799999999999899</v>
      </c>
      <c r="G361" s="14">
        <v>2.12</v>
      </c>
      <c r="H361" s="14">
        <v>16</v>
      </c>
      <c r="I361" s="14">
        <v>101</v>
      </c>
      <c r="J361" s="14">
        <v>3.1</v>
      </c>
      <c r="K361" s="14">
        <v>3.39</v>
      </c>
      <c r="L361" s="14">
        <v>0.20999999999999899</v>
      </c>
      <c r="M361" s="14">
        <v>2.14</v>
      </c>
      <c r="N361" s="14">
        <v>6.0999999999999899</v>
      </c>
      <c r="O361" s="14">
        <v>0.91</v>
      </c>
      <c r="P361" s="14">
        <v>3.33</v>
      </c>
      <c r="Q361">
        <v>985</v>
      </c>
    </row>
    <row r="362" spans="3:17" x14ac:dyDescent="0.25">
      <c r="C362" s="15" t="s">
        <v>379</v>
      </c>
      <c r="D362" s="14" t="s">
        <v>15</v>
      </c>
      <c r="E362" s="14">
        <v>13.5</v>
      </c>
      <c r="F362" s="14">
        <v>3.12</v>
      </c>
      <c r="G362" s="14">
        <v>2.62</v>
      </c>
      <c r="H362" s="14">
        <v>24</v>
      </c>
      <c r="I362" s="14">
        <v>123</v>
      </c>
      <c r="J362" s="14">
        <v>1.3999999999999899</v>
      </c>
      <c r="K362" s="14">
        <v>1.57</v>
      </c>
      <c r="L362" s="14">
        <v>0.22</v>
      </c>
      <c r="M362" s="14">
        <v>1.25</v>
      </c>
      <c r="N362" s="14">
        <v>8.5999999999999908</v>
      </c>
      <c r="O362" s="14">
        <v>0.58999999999999897</v>
      </c>
      <c r="P362" s="14">
        <v>1.3</v>
      </c>
      <c r="Q362">
        <v>500</v>
      </c>
    </row>
    <row r="363" spans="3:17" x14ac:dyDescent="0.25">
      <c r="C363" s="15" t="s">
        <v>369</v>
      </c>
      <c r="D363" s="14" t="s">
        <v>15</v>
      </c>
      <c r="E363" s="14">
        <v>12.93</v>
      </c>
      <c r="F363" s="14">
        <v>2.81</v>
      </c>
      <c r="G363" s="14">
        <v>2.7</v>
      </c>
      <c r="H363" s="14">
        <v>21</v>
      </c>
      <c r="I363" s="14">
        <v>96</v>
      </c>
      <c r="J363" s="14">
        <v>1.54</v>
      </c>
      <c r="K363" s="14">
        <v>0.5</v>
      </c>
      <c r="L363" s="14">
        <v>0.53</v>
      </c>
      <c r="M363" s="14">
        <v>0.75</v>
      </c>
      <c r="N363" s="14">
        <v>4.5999999999999899</v>
      </c>
      <c r="O363" s="14">
        <v>0.77</v>
      </c>
      <c r="P363" s="14">
        <v>2.31</v>
      </c>
      <c r="Q363">
        <v>600</v>
      </c>
    </row>
    <row r="364" spans="3:17" x14ac:dyDescent="0.25">
      <c r="C364" s="15" t="s">
        <v>222</v>
      </c>
      <c r="D364" s="14" t="s">
        <v>15</v>
      </c>
      <c r="E364" s="14">
        <v>13.32</v>
      </c>
      <c r="F364" s="14">
        <v>3.24</v>
      </c>
      <c r="G364" s="14">
        <v>2.3799999999999901</v>
      </c>
      <c r="H364" s="14">
        <v>21.5</v>
      </c>
      <c r="I364" s="14">
        <v>92</v>
      </c>
      <c r="J364" s="14">
        <v>1.9299999999999899</v>
      </c>
      <c r="K364" s="14">
        <v>0.76</v>
      </c>
      <c r="L364" s="14">
        <v>0.45</v>
      </c>
      <c r="M364" s="14">
        <v>1.25</v>
      </c>
      <c r="N364" s="14">
        <v>8.4199999999999893</v>
      </c>
      <c r="O364" s="14">
        <v>0.55000000000000004</v>
      </c>
      <c r="P364" s="14">
        <v>1.62</v>
      </c>
      <c r="Q364">
        <v>650</v>
      </c>
    </row>
    <row r="365" spans="3:17" x14ac:dyDescent="0.25">
      <c r="C365" s="15" t="s">
        <v>383</v>
      </c>
      <c r="D365" s="14" t="s">
        <v>15</v>
      </c>
      <c r="E365" s="14">
        <v>12.58</v>
      </c>
      <c r="F365" s="14">
        <v>1.29</v>
      </c>
      <c r="G365" s="14">
        <v>2.1</v>
      </c>
      <c r="H365" s="14">
        <v>20</v>
      </c>
      <c r="I365" s="14">
        <v>103</v>
      </c>
      <c r="J365" s="14">
        <v>1.48</v>
      </c>
      <c r="K365" s="14">
        <v>0.57999999999999896</v>
      </c>
      <c r="L365" s="14">
        <v>0.53</v>
      </c>
      <c r="M365" s="14">
        <v>1.3999999999999899</v>
      </c>
      <c r="N365" s="14">
        <v>7.5999999999999899</v>
      </c>
      <c r="O365" s="14">
        <v>0.57999999999999896</v>
      </c>
      <c r="P365" s="14">
        <v>1.55</v>
      </c>
      <c r="Q365">
        <v>640</v>
      </c>
    </row>
  </sheetData>
  <mergeCells count="27"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C18:S18"/>
    <mergeCell ref="C19:E19"/>
    <mergeCell ref="C20:E20"/>
    <mergeCell ref="F19:S19"/>
    <mergeCell ref="C22:I22"/>
    <mergeCell ref="C24:E24"/>
    <mergeCell ref="C25:E25"/>
    <mergeCell ref="C26:E26"/>
    <mergeCell ref="F23:I23"/>
    <mergeCell ref="F24:I24"/>
    <mergeCell ref="F25:I25"/>
    <mergeCell ref="F26:I26"/>
    <mergeCell ref="C23:E23"/>
    <mergeCell ref="B4:C4"/>
    <mergeCell ref="D4:E4"/>
    <mergeCell ref="F4:G4"/>
    <mergeCell ref="B3:G3"/>
    <mergeCell ref="J3:M3"/>
  </mergeCells>
  <hyperlinks>
    <hyperlink ref="B4" location="'STDPartition4'!$B$10:$B$10" display="Inputs" xr:uid="{E0D00A15-1EAF-4EF4-A2E5-1A6B1F518669}"/>
    <hyperlink ref="D4" location="'STDPartition4'!$B$28:$B$28" display="Partition Summary" xr:uid="{2D22C6BA-6599-4762-8A33-D840531FE79B}"/>
    <hyperlink ref="F4" location="'STDPartition4'!$B$34:$B$34" display="Partitioned Data" xr:uid="{26EDBD31-0B4A-461F-8125-06BCB1BB2377}"/>
  </hyperlinks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3665-D762-4ADD-90E8-A3EE62B6C595}">
  <dimension ref="B1:CV82"/>
  <sheetViews>
    <sheetView showGridLines="0" workbookViewId="0">
      <selection activeCell="C1" sqref="C1"/>
    </sheetView>
  </sheetViews>
  <sheetFormatPr defaultRowHeight="13.2" x14ac:dyDescent="0.25"/>
  <cols>
    <col min="3" max="3" width="18" customWidth="1"/>
    <col min="4" max="4" width="12.6640625" customWidth="1"/>
    <col min="7" max="7" width="18" customWidth="1"/>
    <col min="8" max="8" width="12.109375" customWidth="1"/>
    <col min="14" max="14" width="33.109375" bestFit="1" customWidth="1"/>
  </cols>
  <sheetData>
    <row r="1" spans="2:100" ht="18" x14ac:dyDescent="0.35">
      <c r="B1" s="12" t="s">
        <v>564</v>
      </c>
      <c r="N1" t="s">
        <v>785</v>
      </c>
      <c r="CV1" s="19" t="s">
        <v>596</v>
      </c>
    </row>
    <row r="3" spans="2:100" ht="15.6" x14ac:dyDescent="0.3">
      <c r="B3" s="21" t="s">
        <v>30</v>
      </c>
      <c r="C3" s="22"/>
      <c r="D3" s="22"/>
      <c r="E3" s="22"/>
      <c r="F3" s="22"/>
      <c r="G3" s="22"/>
      <c r="H3" s="22"/>
      <c r="I3" s="22"/>
      <c r="J3" s="22"/>
      <c r="K3" s="23"/>
      <c r="N3" s="21" t="s">
        <v>53</v>
      </c>
      <c r="O3" s="22"/>
      <c r="P3" s="22"/>
      <c r="Q3" s="23"/>
    </row>
    <row r="4" spans="2:100" ht="13.8" x14ac:dyDescent="0.3">
      <c r="B4" s="35" t="s">
        <v>543</v>
      </c>
      <c r="C4" s="36"/>
      <c r="D4" s="35" t="s">
        <v>544</v>
      </c>
      <c r="E4" s="36"/>
      <c r="F4" s="35" t="s">
        <v>545</v>
      </c>
      <c r="G4" s="36"/>
      <c r="H4" s="35" t="s">
        <v>31</v>
      </c>
      <c r="I4" s="36"/>
      <c r="J4" s="35" t="s">
        <v>546</v>
      </c>
      <c r="K4" s="36"/>
      <c r="N4" s="18" t="s">
        <v>54</v>
      </c>
      <c r="O4" s="18" t="s">
        <v>55</v>
      </c>
      <c r="P4" s="18" t="s">
        <v>56</v>
      </c>
      <c r="Q4" s="18" t="s">
        <v>57</v>
      </c>
    </row>
    <row r="5" spans="2:100" ht="13.8" x14ac:dyDescent="0.3">
      <c r="B5" s="35" t="s">
        <v>421</v>
      </c>
      <c r="C5" s="36"/>
      <c r="D5" s="35" t="s">
        <v>547</v>
      </c>
      <c r="E5" s="36"/>
      <c r="F5" s="35" t="s">
        <v>548</v>
      </c>
      <c r="G5" s="36"/>
      <c r="H5" s="30"/>
      <c r="I5" s="31"/>
      <c r="J5" s="30"/>
      <c r="K5" s="31"/>
      <c r="N5" s="16">
        <v>361</v>
      </c>
      <c r="O5" s="16">
        <v>69</v>
      </c>
      <c r="P5" s="16">
        <v>8</v>
      </c>
      <c r="Q5" s="16">
        <v>438</v>
      </c>
    </row>
    <row r="10" spans="2:100" ht="18" x14ac:dyDescent="0.35">
      <c r="B10" s="13" t="s">
        <v>31</v>
      </c>
    </row>
    <row r="12" spans="2:100" ht="15.6" x14ac:dyDescent="0.3">
      <c r="C12" s="28" t="s">
        <v>33</v>
      </c>
      <c r="D12" s="28"/>
      <c r="E12" s="28"/>
      <c r="F12" s="28"/>
      <c r="G12" s="28"/>
      <c r="H12" s="28"/>
      <c r="I12" s="28"/>
      <c r="J12" s="28"/>
      <c r="K12" s="28"/>
    </row>
    <row r="13" spans="2:100" ht="13.8" x14ac:dyDescent="0.3">
      <c r="C13" s="24" t="s">
        <v>34</v>
      </c>
      <c r="D13" s="24"/>
      <c r="E13" s="24"/>
      <c r="F13" s="25"/>
      <c r="G13" s="27" t="s">
        <v>48</v>
      </c>
      <c r="H13" s="27"/>
      <c r="I13" s="27"/>
      <c r="J13" s="27"/>
      <c r="K13" s="27"/>
    </row>
    <row r="14" spans="2:100" ht="13.8" x14ac:dyDescent="0.3">
      <c r="C14" s="24" t="s">
        <v>35</v>
      </c>
      <c r="D14" s="24"/>
      <c r="E14" s="24"/>
      <c r="F14" s="25"/>
      <c r="G14" s="27" t="s">
        <v>822</v>
      </c>
      <c r="H14" s="27"/>
      <c r="I14" s="27"/>
      <c r="J14" s="27"/>
      <c r="K14" s="27"/>
    </row>
    <row r="15" spans="2:100" ht="13.8" x14ac:dyDescent="0.3">
      <c r="C15" s="24" t="s">
        <v>577</v>
      </c>
      <c r="D15" s="24"/>
      <c r="E15" s="24"/>
      <c r="F15" s="25"/>
      <c r="G15" s="27" t="s">
        <v>823</v>
      </c>
      <c r="H15" s="27"/>
      <c r="I15" s="27"/>
      <c r="J15" s="27"/>
      <c r="K15" s="27"/>
    </row>
    <row r="16" spans="2:100" ht="13.8" x14ac:dyDescent="0.3">
      <c r="C16" s="24" t="s">
        <v>578</v>
      </c>
      <c r="D16" s="24"/>
      <c r="E16" s="24"/>
      <c r="F16" s="25"/>
      <c r="G16" s="27">
        <v>280</v>
      </c>
      <c r="H16" s="27"/>
      <c r="I16" s="27"/>
      <c r="J16" s="27"/>
      <c r="K16" s="27"/>
    </row>
    <row r="17" spans="3:17" ht="13.8" x14ac:dyDescent="0.3">
      <c r="C17" s="24" t="s">
        <v>579</v>
      </c>
      <c r="D17" s="24"/>
      <c r="E17" s="24"/>
      <c r="F17" s="25"/>
      <c r="G17" s="27" t="s">
        <v>824</v>
      </c>
      <c r="H17" s="27"/>
      <c r="I17" s="27"/>
      <c r="J17" s="27"/>
      <c r="K17" s="27"/>
    </row>
    <row r="18" spans="3:17" ht="13.8" x14ac:dyDescent="0.3">
      <c r="C18" s="24" t="s">
        <v>580</v>
      </c>
      <c r="D18" s="24"/>
      <c r="E18" s="24"/>
      <c r="F18" s="25"/>
      <c r="G18" s="27">
        <v>49</v>
      </c>
      <c r="H18" s="27"/>
      <c r="I18" s="27"/>
      <c r="J18" s="27"/>
      <c r="K18" s="27"/>
    </row>
    <row r="20" spans="3:17" ht="15.6" x14ac:dyDescent="0.3">
      <c r="C20" s="28" t="s">
        <v>38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  <row r="21" spans="3:17" ht="13.8" x14ac:dyDescent="0.3">
      <c r="C21" s="24" t="s">
        <v>581</v>
      </c>
      <c r="D21" s="25"/>
      <c r="E21" s="27">
        <v>13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2" spans="3:17" ht="13.8" x14ac:dyDescent="0.3">
      <c r="C22" s="24" t="s">
        <v>582</v>
      </c>
      <c r="D22" s="25"/>
      <c r="E22" s="16" t="s">
        <v>61</v>
      </c>
      <c r="F22" s="16" t="s">
        <v>62</v>
      </c>
      <c r="G22" s="16" t="s">
        <v>63</v>
      </c>
      <c r="H22" s="16" t="s">
        <v>64</v>
      </c>
      <c r="I22" s="16" t="s">
        <v>65</v>
      </c>
      <c r="J22" s="16" t="s">
        <v>66</v>
      </c>
      <c r="K22" s="16" t="s">
        <v>67</v>
      </c>
      <c r="L22" s="16" t="s">
        <v>68</v>
      </c>
      <c r="M22" s="16" t="s">
        <v>69</v>
      </c>
      <c r="N22" s="16" t="s">
        <v>70</v>
      </c>
      <c r="O22" s="16" t="s">
        <v>71</v>
      </c>
      <c r="P22" s="16" t="s">
        <v>72</v>
      </c>
      <c r="Q22" s="16" t="s">
        <v>73</v>
      </c>
    </row>
    <row r="23" spans="3:17" ht="13.8" x14ac:dyDescent="0.3">
      <c r="C23" s="24" t="s">
        <v>583</v>
      </c>
      <c r="D23" s="2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 spans="3:17" ht="13.8" x14ac:dyDescent="0.3">
      <c r="C24" s="24" t="s">
        <v>584</v>
      </c>
      <c r="D24" s="25"/>
      <c r="E24" s="29" t="s">
        <v>0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6" spans="3:17" ht="15.6" x14ac:dyDescent="0.3">
      <c r="C26" s="28" t="s">
        <v>585</v>
      </c>
      <c r="D26" s="28"/>
      <c r="E26" s="28"/>
      <c r="F26" s="28"/>
      <c r="G26" s="28"/>
      <c r="H26" s="28"/>
      <c r="I26" s="28"/>
    </row>
    <row r="27" spans="3:17" ht="13.8" x14ac:dyDescent="0.3">
      <c r="C27" s="24" t="s">
        <v>586</v>
      </c>
      <c r="D27" s="24"/>
      <c r="E27" s="25"/>
      <c r="F27" s="27" t="b">
        <v>1</v>
      </c>
      <c r="G27" s="27"/>
      <c r="H27" s="27"/>
      <c r="I27" s="27"/>
    </row>
    <row r="28" spans="3:17" ht="13.8" x14ac:dyDescent="0.3">
      <c r="C28" s="24" t="s">
        <v>587</v>
      </c>
      <c r="D28" s="24"/>
      <c r="E28" s="25"/>
      <c r="F28" s="39" t="s">
        <v>591</v>
      </c>
      <c r="G28" s="40"/>
      <c r="H28" s="40"/>
      <c r="I28" s="41"/>
    </row>
    <row r="29" spans="3:17" ht="13.8" x14ac:dyDescent="0.3">
      <c r="C29" s="24" t="s">
        <v>588</v>
      </c>
      <c r="D29" s="24"/>
      <c r="E29" s="25"/>
      <c r="F29" s="39">
        <v>0.01</v>
      </c>
      <c r="G29" s="40"/>
      <c r="H29" s="40"/>
      <c r="I29" s="41"/>
    </row>
    <row r="31" spans="3:17" ht="15.6" x14ac:dyDescent="0.3">
      <c r="C31" s="21" t="s">
        <v>589</v>
      </c>
      <c r="D31" s="22"/>
      <c r="E31" s="22"/>
      <c r="F31" s="22"/>
      <c r="G31" s="22"/>
      <c r="H31" s="22"/>
      <c r="I31" s="23"/>
    </row>
    <row r="32" spans="3:17" ht="13.8" x14ac:dyDescent="0.3">
      <c r="C32" s="25" t="s">
        <v>590</v>
      </c>
      <c r="D32" s="37"/>
      <c r="E32" s="38"/>
      <c r="F32" s="39" t="s">
        <v>592</v>
      </c>
      <c r="G32" s="40"/>
      <c r="H32" s="40"/>
      <c r="I32" s="41"/>
    </row>
    <row r="34" spans="3:9" ht="15.6" x14ac:dyDescent="0.3">
      <c r="C34" s="21" t="s">
        <v>598</v>
      </c>
      <c r="D34" s="22"/>
      <c r="E34" s="22"/>
      <c r="F34" s="22"/>
      <c r="G34" s="22"/>
      <c r="H34" s="22"/>
      <c r="I34" s="23"/>
    </row>
    <row r="35" spans="3:9" ht="13.8" x14ac:dyDescent="0.3">
      <c r="C35" s="25" t="s">
        <v>599</v>
      </c>
      <c r="D35" s="37"/>
      <c r="E35" s="38"/>
      <c r="F35" s="39" t="b">
        <v>1</v>
      </c>
      <c r="G35" s="40"/>
      <c r="H35" s="40"/>
      <c r="I35" s="41"/>
    </row>
    <row r="36" spans="3:9" ht="13.8" x14ac:dyDescent="0.3">
      <c r="C36" s="25" t="s">
        <v>600</v>
      </c>
      <c r="D36" s="37"/>
      <c r="E36" s="38"/>
      <c r="F36" s="39" t="s">
        <v>610</v>
      </c>
      <c r="G36" s="40"/>
      <c r="H36" s="40"/>
      <c r="I36" s="41"/>
    </row>
    <row r="38" spans="3:9" ht="15.6" x14ac:dyDescent="0.3">
      <c r="C38" s="21" t="s">
        <v>601</v>
      </c>
      <c r="D38" s="22"/>
      <c r="E38" s="22"/>
      <c r="F38" s="22"/>
      <c r="G38" s="22"/>
      <c r="H38" s="22"/>
      <c r="I38" s="23"/>
    </row>
    <row r="39" spans="3:9" ht="13.8" x14ac:dyDescent="0.3">
      <c r="C39" s="25" t="s">
        <v>602</v>
      </c>
      <c r="D39" s="37"/>
      <c r="E39" s="38"/>
      <c r="F39" s="39">
        <v>3</v>
      </c>
      <c r="G39" s="40"/>
      <c r="H39" s="40"/>
      <c r="I39" s="41"/>
    </row>
    <row r="41" spans="3:9" ht="15.6" x14ac:dyDescent="0.3">
      <c r="C41" s="21" t="s">
        <v>603</v>
      </c>
      <c r="D41" s="22"/>
      <c r="E41" s="22"/>
      <c r="F41" s="22"/>
      <c r="G41" s="22"/>
      <c r="H41" s="22"/>
      <c r="I41" s="23"/>
    </row>
    <row r="42" spans="3:9" ht="13.8" x14ac:dyDescent="0.3">
      <c r="C42" s="25" t="s">
        <v>604</v>
      </c>
      <c r="D42" s="37"/>
      <c r="E42" s="38"/>
      <c r="F42" s="39" t="s">
        <v>611</v>
      </c>
      <c r="G42" s="40"/>
      <c r="H42" s="40"/>
      <c r="I42" s="41"/>
    </row>
    <row r="43" spans="3:9" ht="13.8" x14ac:dyDescent="0.3">
      <c r="C43" s="25" t="s">
        <v>605</v>
      </c>
      <c r="D43" s="37"/>
      <c r="E43" s="38"/>
      <c r="F43" s="39">
        <v>7</v>
      </c>
      <c r="G43" s="40"/>
      <c r="H43" s="40"/>
      <c r="I43" s="41"/>
    </row>
    <row r="44" spans="3:9" ht="13.8" x14ac:dyDescent="0.3">
      <c r="C44" s="25" t="s">
        <v>606</v>
      </c>
      <c r="D44" s="37"/>
      <c r="E44" s="38"/>
      <c r="F44" s="39" t="b">
        <v>1</v>
      </c>
      <c r="G44" s="40"/>
      <c r="H44" s="40"/>
      <c r="I44" s="41"/>
    </row>
    <row r="46" spans="3:9" ht="15.6" x14ac:dyDescent="0.3">
      <c r="C46" s="21" t="s">
        <v>607</v>
      </c>
      <c r="D46" s="22"/>
      <c r="E46" s="22"/>
      <c r="F46" s="22"/>
      <c r="G46" s="23"/>
    </row>
    <row r="47" spans="3:9" ht="13.8" x14ac:dyDescent="0.3">
      <c r="C47" s="32" t="s">
        <v>608</v>
      </c>
      <c r="D47" s="33"/>
      <c r="E47" s="33"/>
      <c r="F47" s="33"/>
      <c r="G47" s="34"/>
    </row>
    <row r="48" spans="3:9" ht="13.8" x14ac:dyDescent="0.3">
      <c r="C48" s="32" t="s">
        <v>609</v>
      </c>
      <c r="D48" s="33"/>
      <c r="E48" s="33"/>
      <c r="F48" s="33"/>
      <c r="G48" s="34"/>
    </row>
    <row r="51" spans="2:8" ht="18" x14ac:dyDescent="0.35">
      <c r="B51" s="13" t="s">
        <v>597</v>
      </c>
      <c r="F51" s="13" t="s">
        <v>612</v>
      </c>
    </row>
    <row r="53" spans="2:8" x14ac:dyDescent="0.25">
      <c r="C53" s="15" t="s">
        <v>613</v>
      </c>
      <c r="D53" t="s">
        <v>614</v>
      </c>
      <c r="G53" s="15" t="s">
        <v>613</v>
      </c>
      <c r="H53" t="s">
        <v>614</v>
      </c>
    </row>
    <row r="54" spans="2:8" x14ac:dyDescent="0.25">
      <c r="C54" s="15">
        <v>0</v>
      </c>
      <c r="D54">
        <v>0.56785714285714284</v>
      </c>
      <c r="G54" s="15">
        <v>0</v>
      </c>
      <c r="H54">
        <v>0.5714285714285714</v>
      </c>
    </row>
    <row r="55" spans="2:8" x14ac:dyDescent="0.25">
      <c r="C55" s="15">
        <v>1</v>
      </c>
      <c r="D55">
        <v>0.29642857142857143</v>
      </c>
      <c r="G55" s="15">
        <v>1</v>
      </c>
      <c r="H55">
        <v>0.40816326530612246</v>
      </c>
    </row>
    <row r="56" spans="2:8" x14ac:dyDescent="0.25">
      <c r="C56" s="15">
        <v>2</v>
      </c>
      <c r="D56">
        <v>0.10357142857142862</v>
      </c>
      <c r="G56" s="15">
        <v>2</v>
      </c>
      <c r="H56">
        <v>0.20408163265306123</v>
      </c>
    </row>
    <row r="57" spans="2:8" x14ac:dyDescent="0.25">
      <c r="C57" s="15">
        <v>3</v>
      </c>
      <c r="D57">
        <v>7.1428571428571508E-2</v>
      </c>
      <c r="G57" s="15">
        <v>3</v>
      </c>
      <c r="H57">
        <v>0.18367346938775511</v>
      </c>
    </row>
    <row r="58" spans="2:8" x14ac:dyDescent="0.25">
      <c r="C58" s="15">
        <v>4</v>
      </c>
      <c r="D58">
        <v>5.3571428571428652E-2</v>
      </c>
      <c r="G58" s="15">
        <v>4</v>
      </c>
      <c r="H58">
        <v>0.1020408163265306</v>
      </c>
    </row>
    <row r="59" spans="2:8" x14ac:dyDescent="0.25">
      <c r="C59" s="15">
        <v>5</v>
      </c>
      <c r="D59">
        <v>3.2142857142857209E-2</v>
      </c>
      <c r="G59" s="15">
        <v>5</v>
      </c>
      <c r="H59">
        <v>8.1632653061224483E-2</v>
      </c>
    </row>
    <row r="60" spans="2:8" x14ac:dyDescent="0.25">
      <c r="C60" s="15">
        <v>6</v>
      </c>
      <c r="D60">
        <v>2.5000000000000064E-2</v>
      </c>
      <c r="G60" s="15">
        <v>6</v>
      </c>
      <c r="H60">
        <v>6.1224489795918366E-2</v>
      </c>
    </row>
    <row r="61" spans="2:8" x14ac:dyDescent="0.25">
      <c r="C61" s="15">
        <v>7</v>
      </c>
      <c r="D61">
        <v>1.428571428571432E-2</v>
      </c>
      <c r="G61" s="15">
        <v>7</v>
      </c>
      <c r="H61">
        <v>2.0408163265306121E-2</v>
      </c>
    </row>
    <row r="62" spans="2:8" x14ac:dyDescent="0.25">
      <c r="C62" s="15">
        <v>8</v>
      </c>
      <c r="D62">
        <v>1.0714285714285772E-2</v>
      </c>
      <c r="G62" s="15">
        <v>8</v>
      </c>
      <c r="H62">
        <v>2.0408163265306121E-2</v>
      </c>
    </row>
    <row r="63" spans="2:8" x14ac:dyDescent="0.25">
      <c r="C63" s="15">
        <v>9</v>
      </c>
      <c r="D63">
        <v>1.0714285714285735E-2</v>
      </c>
      <c r="G63" s="15">
        <v>9</v>
      </c>
      <c r="H63">
        <v>2.0408163265306121E-2</v>
      </c>
    </row>
    <row r="64" spans="2:8" x14ac:dyDescent="0.25">
      <c r="C64" s="15">
        <v>10</v>
      </c>
      <c r="D64">
        <v>2.6020852139652106E-17</v>
      </c>
      <c r="G64" s="15">
        <v>10</v>
      </c>
      <c r="H64">
        <v>0</v>
      </c>
    </row>
    <row r="67" spans="2:4" ht="18" x14ac:dyDescent="0.35">
      <c r="B67" s="13" t="s">
        <v>546</v>
      </c>
    </row>
    <row r="69" spans="2:4" x14ac:dyDescent="0.25">
      <c r="C69" s="15" t="s">
        <v>615</v>
      </c>
      <c r="D69" t="s">
        <v>616</v>
      </c>
    </row>
    <row r="70" spans="2:4" x14ac:dyDescent="0.25">
      <c r="C70" s="15" t="s">
        <v>61</v>
      </c>
      <c r="D70">
        <v>1.0714285714285772E-2</v>
      </c>
    </row>
    <row r="71" spans="2:4" x14ac:dyDescent="0.25">
      <c r="C71" s="15" t="s">
        <v>62</v>
      </c>
      <c r="D71">
        <v>3.2142857142857209E-2</v>
      </c>
    </row>
    <row r="72" spans="2:4" x14ac:dyDescent="0.25">
      <c r="C72" s="15" t="s">
        <v>63</v>
      </c>
      <c r="D72">
        <v>0</v>
      </c>
    </row>
    <row r="73" spans="2:4" x14ac:dyDescent="0.25">
      <c r="C73" s="15" t="s">
        <v>64</v>
      </c>
      <c r="D73">
        <v>0</v>
      </c>
    </row>
    <row r="74" spans="2:4" x14ac:dyDescent="0.25">
      <c r="C74" s="15" t="s">
        <v>65</v>
      </c>
      <c r="D74">
        <v>2.5000000000000064E-2</v>
      </c>
    </row>
    <row r="75" spans="2:4" x14ac:dyDescent="0.25">
      <c r="C75" s="15" t="s">
        <v>66</v>
      </c>
      <c r="D75">
        <v>0</v>
      </c>
    </row>
    <row r="76" spans="2:4" x14ac:dyDescent="0.25">
      <c r="C76" s="15" t="s">
        <v>67</v>
      </c>
      <c r="D76">
        <v>0.4</v>
      </c>
    </row>
    <row r="77" spans="2:4" x14ac:dyDescent="0.25">
      <c r="C77" s="15" t="s">
        <v>68</v>
      </c>
      <c r="D77">
        <v>0</v>
      </c>
    </row>
    <row r="78" spans="2:4" x14ac:dyDescent="0.25">
      <c r="C78" s="15" t="s">
        <v>69</v>
      </c>
      <c r="D78">
        <v>0</v>
      </c>
    </row>
    <row r="79" spans="2:4" x14ac:dyDescent="0.25">
      <c r="C79" s="15" t="s">
        <v>70</v>
      </c>
      <c r="D79">
        <v>0.1357142857142859</v>
      </c>
    </row>
    <row r="80" spans="2:4" x14ac:dyDescent="0.25">
      <c r="C80" s="15" t="s">
        <v>71</v>
      </c>
      <c r="D80">
        <v>0</v>
      </c>
    </row>
    <row r="81" spans="3:4" x14ac:dyDescent="0.25">
      <c r="C81" s="15" t="s">
        <v>72</v>
      </c>
      <c r="D81">
        <v>1.428571428571432E-2</v>
      </c>
    </row>
    <row r="82" spans="3:4" x14ac:dyDescent="0.25">
      <c r="C82" s="15" t="s">
        <v>73</v>
      </c>
      <c r="D82">
        <v>0.56785714285714284</v>
      </c>
    </row>
  </sheetData>
  <mergeCells count="60">
    <mergeCell ref="C12:K12"/>
    <mergeCell ref="C13:F13"/>
    <mergeCell ref="C14:F14"/>
    <mergeCell ref="C15:F15"/>
    <mergeCell ref="C16:F16"/>
    <mergeCell ref="C18:F18"/>
    <mergeCell ref="G13:K13"/>
    <mergeCell ref="G14:K14"/>
    <mergeCell ref="G15:K15"/>
    <mergeCell ref="G16:K16"/>
    <mergeCell ref="G17:K17"/>
    <mergeCell ref="G18:K18"/>
    <mergeCell ref="C17:F17"/>
    <mergeCell ref="C20:Q20"/>
    <mergeCell ref="C21:D21"/>
    <mergeCell ref="C22:D22"/>
    <mergeCell ref="C23:D23"/>
    <mergeCell ref="C24:D24"/>
    <mergeCell ref="E21:Q21"/>
    <mergeCell ref="E24:Q24"/>
    <mergeCell ref="C36:E36"/>
    <mergeCell ref="F35:I35"/>
    <mergeCell ref="F36:I36"/>
    <mergeCell ref="C26:I26"/>
    <mergeCell ref="C27:E27"/>
    <mergeCell ref="C28:E28"/>
    <mergeCell ref="C29:E29"/>
    <mergeCell ref="F27:I27"/>
    <mergeCell ref="F28:I28"/>
    <mergeCell ref="F29:I29"/>
    <mergeCell ref="C31:I31"/>
    <mergeCell ref="C32:E32"/>
    <mergeCell ref="F32:I32"/>
    <mergeCell ref="C34:I34"/>
    <mergeCell ref="C35:E35"/>
    <mergeCell ref="F44:I44"/>
    <mergeCell ref="C46:G46"/>
    <mergeCell ref="C47:G47"/>
    <mergeCell ref="C38:I38"/>
    <mergeCell ref="C39:E39"/>
    <mergeCell ref="F39:I39"/>
    <mergeCell ref="C41:I41"/>
    <mergeCell ref="C42:E42"/>
    <mergeCell ref="C43:E43"/>
    <mergeCell ref="J5:K5"/>
    <mergeCell ref="B3:K3"/>
    <mergeCell ref="N3:Q3"/>
    <mergeCell ref="C48:G48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C44:E44"/>
    <mergeCell ref="F42:I42"/>
    <mergeCell ref="F43:I43"/>
  </mergeCells>
  <hyperlinks>
    <hyperlink ref="B4" location="'CT_BestTree4'!$B$10:$B$10" display="Best Pruned Tree Rules (Using Validation Data)" xr:uid="{8B54CCCF-A47A-4B47-986B-EA4A8FD41DAF}"/>
    <hyperlink ref="D4" location="'CT_FullTree4'!$B$10:$B$10" display="Fully Grown Tree Rules (Using Training Data)" xr:uid="{02699F8B-1C7A-49B4-B572-5B2AD3AD98A7}"/>
    <hyperlink ref="F4" location="'CT_MinErrorTree4'!$B$10:$B$10" display="Min Error Tree Rules (Using Validation Data)" xr:uid="{5BF9D5CF-35A2-483C-B643-DF4F3A3D5D52}"/>
    <hyperlink ref="H4" location="'CT_Output4'!$B$10:$B$10" display="Inputs" xr:uid="{66DA906F-60B4-44C4-8543-443B55FB85BE}"/>
    <hyperlink ref="J4" location="'CT_Output4'!$B$67:$B$67" display="Feature Importance" xr:uid="{ADDF882D-FA09-4331-A9EB-4985056A877D}"/>
    <hyperlink ref="B5" location="'CT_Stored4'!$B$10:$B$10" display="PMML Model" xr:uid="{834204E8-6C6B-411D-9955-846F04D614EC}"/>
    <hyperlink ref="D5" location="'CT_TrainingScore4'!$B$10:$B$10" display="Training: Classification Summary" xr:uid="{F9CADCE2-0AB5-4781-93C5-761EE8F0EBDC}"/>
    <hyperlink ref="F5" location="'CT_ValidationScore4'!$B$10:$B$10" display="Validation: Classification Summary" xr:uid="{69ADA4B1-6D9C-47D6-A9BF-EF4C0198805A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A5F48-2B45-4085-A707-B1E3366B0F68}">
  <dimension ref="B1:Q33"/>
  <sheetViews>
    <sheetView showGridLines="0" workbookViewId="0"/>
  </sheetViews>
  <sheetFormatPr defaultRowHeight="13.2" x14ac:dyDescent="0.25"/>
  <cols>
    <col min="3" max="3" width="9.77734375" customWidth="1"/>
    <col min="4" max="4" width="11" customWidth="1"/>
    <col min="5" max="5" width="13.5546875" customWidth="1"/>
    <col min="6" max="6" width="14.88671875" customWidth="1"/>
    <col min="7" max="7" width="10.33203125" customWidth="1"/>
    <col min="8" max="8" width="15.5546875" customWidth="1"/>
    <col min="9" max="9" width="15.88671875" customWidth="1"/>
    <col min="10" max="10" width="17.33203125" customWidth="1"/>
    <col min="11" max="11" width="11.5546875" customWidth="1"/>
    <col min="12" max="12" width="12.21875" customWidth="1"/>
    <col min="14" max="14" width="24.33203125" bestFit="1" customWidth="1"/>
  </cols>
  <sheetData>
    <row r="1" spans="2:17" ht="18" x14ac:dyDescent="0.35">
      <c r="B1" s="12" t="s">
        <v>564</v>
      </c>
      <c r="N1" t="s">
        <v>785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361</v>
      </c>
      <c r="O5" s="16">
        <v>69</v>
      </c>
      <c r="P5" s="16">
        <v>8</v>
      </c>
      <c r="Q5" s="16">
        <v>438</v>
      </c>
    </row>
    <row r="10" spans="2:17" ht="18" x14ac:dyDescent="0.35">
      <c r="B10" s="13" t="s">
        <v>544</v>
      </c>
    </row>
    <row r="12" spans="2:17" x14ac:dyDescent="0.25">
      <c r="C12" s="15" t="s">
        <v>565</v>
      </c>
      <c r="D12" t="s">
        <v>566</v>
      </c>
      <c r="E12" t="s">
        <v>567</v>
      </c>
      <c r="F12" t="s">
        <v>568</v>
      </c>
      <c r="G12" t="s">
        <v>569</v>
      </c>
      <c r="H12" t="s">
        <v>570</v>
      </c>
      <c r="I12" t="s">
        <v>571</v>
      </c>
      <c r="J12" t="s">
        <v>572</v>
      </c>
      <c r="K12" t="s">
        <v>573</v>
      </c>
      <c r="L12" t="s">
        <v>574</v>
      </c>
    </row>
    <row r="13" spans="2:17" x14ac:dyDescent="0.25">
      <c r="C13" s="15">
        <v>1</v>
      </c>
      <c r="D13" s="14" t="e">
        <f>NA()</f>
        <v>#N/A</v>
      </c>
      <c r="E13" s="14">
        <v>2</v>
      </c>
      <c r="F13" s="14">
        <v>3</v>
      </c>
      <c r="G13" s="14" t="s">
        <v>73</v>
      </c>
      <c r="H13" s="14">
        <v>0.34022999999999998</v>
      </c>
      <c r="I13" s="14">
        <v>280</v>
      </c>
      <c r="J13" s="14">
        <v>49</v>
      </c>
      <c r="K13" s="14" t="s">
        <v>14</v>
      </c>
      <c r="L13" t="s">
        <v>575</v>
      </c>
    </row>
    <row r="14" spans="2:17" x14ac:dyDescent="0.25">
      <c r="C14" s="15">
        <v>2</v>
      </c>
      <c r="D14" s="14">
        <v>1</v>
      </c>
      <c r="E14" s="14">
        <v>4</v>
      </c>
      <c r="F14" s="14">
        <v>5</v>
      </c>
      <c r="G14" s="14" t="s">
        <v>67</v>
      </c>
      <c r="H14" s="14">
        <v>0.19012999999999999</v>
      </c>
      <c r="I14" s="14">
        <v>185</v>
      </c>
      <c r="J14" s="14">
        <v>34</v>
      </c>
      <c r="K14" s="14" t="s">
        <v>14</v>
      </c>
      <c r="L14" t="s">
        <v>575</v>
      </c>
    </row>
    <row r="15" spans="2:17" x14ac:dyDescent="0.25">
      <c r="C15" s="15">
        <v>3</v>
      </c>
      <c r="D15" s="14">
        <v>1</v>
      </c>
      <c r="E15" s="14">
        <v>6</v>
      </c>
      <c r="F15" s="14">
        <v>7</v>
      </c>
      <c r="G15" s="14" t="s">
        <v>67</v>
      </c>
      <c r="H15" s="14">
        <v>0.38550000000000001</v>
      </c>
      <c r="I15" s="14">
        <v>95</v>
      </c>
      <c r="J15" s="14">
        <v>15</v>
      </c>
      <c r="K15" s="14" t="s">
        <v>13</v>
      </c>
      <c r="L15" t="s">
        <v>575</v>
      </c>
    </row>
    <row r="16" spans="2:17" x14ac:dyDescent="0.25">
      <c r="C16" s="15">
        <v>4</v>
      </c>
      <c r="D16" s="14">
        <v>2</v>
      </c>
      <c r="E16" s="14">
        <v>8</v>
      </c>
      <c r="F16" s="14">
        <v>9</v>
      </c>
      <c r="G16" s="14" t="s">
        <v>70</v>
      </c>
      <c r="H16" s="14">
        <v>0.19506000000000001</v>
      </c>
      <c r="I16" s="14">
        <v>64</v>
      </c>
      <c r="J16" s="14">
        <v>12</v>
      </c>
      <c r="K16" s="14" t="s">
        <v>15</v>
      </c>
      <c r="L16" t="s">
        <v>575</v>
      </c>
    </row>
    <row r="17" spans="3:12" x14ac:dyDescent="0.25">
      <c r="C17" s="15">
        <v>5</v>
      </c>
      <c r="D17" s="14">
        <v>2</v>
      </c>
      <c r="E17" s="14">
        <v>10</v>
      </c>
      <c r="F17" s="14">
        <v>11</v>
      </c>
      <c r="G17" s="14" t="s">
        <v>70</v>
      </c>
      <c r="H17" s="14">
        <v>0.44973999999999997</v>
      </c>
      <c r="I17" s="14">
        <v>121</v>
      </c>
      <c r="J17" s="14">
        <v>22</v>
      </c>
      <c r="K17" s="14" t="s">
        <v>14</v>
      </c>
      <c r="L17" t="s">
        <v>575</v>
      </c>
    </row>
    <row r="18" spans="3:12" x14ac:dyDescent="0.25">
      <c r="C18" s="15">
        <v>6</v>
      </c>
      <c r="D18" s="14">
        <v>3</v>
      </c>
      <c r="E18" s="14">
        <v>12</v>
      </c>
      <c r="F18" s="14">
        <v>13</v>
      </c>
      <c r="G18" s="14" t="s">
        <v>62</v>
      </c>
      <c r="H18" s="14">
        <v>0.26673000000000002</v>
      </c>
      <c r="I18" s="14">
        <v>11</v>
      </c>
      <c r="J18" s="14">
        <v>3</v>
      </c>
      <c r="K18" s="14" t="s">
        <v>15</v>
      </c>
      <c r="L18" t="s">
        <v>575</v>
      </c>
    </row>
    <row r="19" spans="3:12" x14ac:dyDescent="0.25">
      <c r="C19" s="15">
        <v>7</v>
      </c>
      <c r="D19" s="14">
        <v>3</v>
      </c>
      <c r="E19" s="14">
        <v>14</v>
      </c>
      <c r="F19" s="14">
        <v>15</v>
      </c>
      <c r="G19" s="14" t="s">
        <v>65</v>
      </c>
      <c r="H19" s="14">
        <v>0.71191000000000004</v>
      </c>
      <c r="I19" s="14">
        <v>84</v>
      </c>
      <c r="J19" s="14">
        <v>12</v>
      </c>
      <c r="K19" s="14" t="s">
        <v>13</v>
      </c>
      <c r="L19" t="s">
        <v>575</v>
      </c>
    </row>
    <row r="20" spans="3:12" x14ac:dyDescent="0.25">
      <c r="C20" s="15">
        <v>8</v>
      </c>
      <c r="D20" s="14">
        <v>4</v>
      </c>
      <c r="E20" s="14" t="e">
        <f>NA()</f>
        <v>#N/A</v>
      </c>
      <c r="F20" s="14" t="e">
        <f>NA()</f>
        <v>#N/A</v>
      </c>
      <c r="G20" s="14" t="e">
        <f>NA()</f>
        <v>#N/A</v>
      </c>
      <c r="H20" s="14" t="e">
        <f>NA()</f>
        <v>#N/A</v>
      </c>
      <c r="I20" s="14">
        <v>5</v>
      </c>
      <c r="J20" s="14">
        <v>1</v>
      </c>
      <c r="K20" s="14" t="s">
        <v>14</v>
      </c>
      <c r="L20" t="s">
        <v>576</v>
      </c>
    </row>
    <row r="21" spans="3:12" x14ac:dyDescent="0.25">
      <c r="C21" s="15">
        <v>9</v>
      </c>
      <c r="D21" s="14">
        <v>4</v>
      </c>
      <c r="E21" s="14" t="e">
        <f>NA()</f>
        <v>#N/A</v>
      </c>
      <c r="F21" s="14" t="e">
        <f>NA()</f>
        <v>#N/A</v>
      </c>
      <c r="G21" s="14" t="e">
        <f>NA()</f>
        <v>#N/A</v>
      </c>
      <c r="H21" s="14" t="e">
        <f>NA()</f>
        <v>#N/A</v>
      </c>
      <c r="I21" s="14">
        <v>59</v>
      </c>
      <c r="J21" s="14">
        <v>11</v>
      </c>
      <c r="K21" s="14" t="s">
        <v>15</v>
      </c>
      <c r="L21" t="s">
        <v>576</v>
      </c>
    </row>
    <row r="22" spans="3:12" x14ac:dyDescent="0.25">
      <c r="C22" s="15">
        <v>10</v>
      </c>
      <c r="D22" s="14">
        <v>5</v>
      </c>
      <c r="E22" s="14">
        <v>16</v>
      </c>
      <c r="F22" s="14">
        <v>17</v>
      </c>
      <c r="G22" s="14" t="s">
        <v>72</v>
      </c>
      <c r="H22" s="14">
        <v>6.5454999999999999E-2</v>
      </c>
      <c r="I22" s="14">
        <v>115</v>
      </c>
      <c r="J22" s="14">
        <v>18</v>
      </c>
      <c r="K22" s="14" t="s">
        <v>14</v>
      </c>
      <c r="L22" t="s">
        <v>575</v>
      </c>
    </row>
    <row r="23" spans="3:12" x14ac:dyDescent="0.25">
      <c r="C23" s="15">
        <v>11</v>
      </c>
      <c r="D23" s="14">
        <v>5</v>
      </c>
      <c r="E23" s="14" t="e">
        <f>NA()</f>
        <v>#N/A</v>
      </c>
      <c r="F23" s="14" t="e">
        <f>NA()</f>
        <v>#N/A</v>
      </c>
      <c r="G23" s="14" t="e">
        <f>NA()</f>
        <v>#N/A</v>
      </c>
      <c r="H23" s="14" t="e">
        <f>NA()</f>
        <v>#N/A</v>
      </c>
      <c r="I23" s="14">
        <v>6</v>
      </c>
      <c r="J23" s="14">
        <v>4</v>
      </c>
      <c r="K23" s="14" t="s">
        <v>15</v>
      </c>
      <c r="L23" t="s">
        <v>576</v>
      </c>
    </row>
    <row r="24" spans="3:12" x14ac:dyDescent="0.25">
      <c r="C24" s="15">
        <v>12</v>
      </c>
      <c r="D24" s="14">
        <v>6</v>
      </c>
      <c r="E24" s="14" t="e">
        <f>NA()</f>
        <v>#N/A</v>
      </c>
      <c r="F24" s="14" t="e">
        <f>NA()</f>
        <v>#N/A</v>
      </c>
      <c r="G24" s="14" t="e">
        <f>NA()</f>
        <v>#N/A</v>
      </c>
      <c r="H24" s="14" t="e">
        <f>NA()</f>
        <v>#N/A</v>
      </c>
      <c r="I24" s="14">
        <v>2</v>
      </c>
      <c r="J24" s="14">
        <v>2</v>
      </c>
      <c r="K24" s="14" t="s">
        <v>14</v>
      </c>
      <c r="L24" t="s">
        <v>576</v>
      </c>
    </row>
    <row r="25" spans="3:12" x14ac:dyDescent="0.25">
      <c r="C25" s="15">
        <v>13</v>
      </c>
      <c r="D25" s="14">
        <v>6</v>
      </c>
      <c r="E25" s="14" t="e">
        <f>NA()</f>
        <v>#N/A</v>
      </c>
      <c r="F25" s="14" t="e">
        <f>NA()</f>
        <v>#N/A</v>
      </c>
      <c r="G25" s="14" t="e">
        <f>NA()</f>
        <v>#N/A</v>
      </c>
      <c r="H25" s="14" t="e">
        <f>NA()</f>
        <v>#N/A</v>
      </c>
      <c r="I25" s="14">
        <v>9</v>
      </c>
      <c r="J25" s="14">
        <v>1</v>
      </c>
      <c r="K25" s="14" t="s">
        <v>15</v>
      </c>
      <c r="L25" t="s">
        <v>576</v>
      </c>
    </row>
    <row r="26" spans="3:12" x14ac:dyDescent="0.25">
      <c r="C26" s="15">
        <v>14</v>
      </c>
      <c r="D26" s="14">
        <v>7</v>
      </c>
      <c r="E26" s="14" t="e">
        <f>NA()</f>
        <v>#N/A</v>
      </c>
      <c r="F26" s="14" t="e">
        <f>NA()</f>
        <v>#N/A</v>
      </c>
      <c r="G26" s="14" t="e">
        <f>NA()</f>
        <v>#N/A</v>
      </c>
      <c r="H26" s="14" t="e">
        <f>NA()</f>
        <v>#N/A</v>
      </c>
      <c r="I26" s="14">
        <v>81</v>
      </c>
      <c r="J26" s="14">
        <v>11</v>
      </c>
      <c r="K26" s="14" t="s">
        <v>13</v>
      </c>
      <c r="L26" t="s">
        <v>576</v>
      </c>
    </row>
    <row r="27" spans="3:12" x14ac:dyDescent="0.25">
      <c r="C27" s="15">
        <v>15</v>
      </c>
      <c r="D27" s="14">
        <v>7</v>
      </c>
      <c r="E27" s="14" t="e">
        <f>NA()</f>
        <v>#N/A</v>
      </c>
      <c r="F27" s="14" t="e">
        <f>NA()</f>
        <v>#N/A</v>
      </c>
      <c r="G27" s="14" t="e">
        <f>NA()</f>
        <v>#N/A</v>
      </c>
      <c r="H27" s="14" t="e">
        <f>NA()</f>
        <v>#N/A</v>
      </c>
      <c r="I27" s="14">
        <v>3</v>
      </c>
      <c r="J27" s="14">
        <v>1</v>
      </c>
      <c r="K27" s="14" t="s">
        <v>14</v>
      </c>
      <c r="L27" t="s">
        <v>576</v>
      </c>
    </row>
    <row r="28" spans="3:12" x14ac:dyDescent="0.25">
      <c r="C28" s="15">
        <v>16</v>
      </c>
      <c r="D28" s="14">
        <v>10</v>
      </c>
      <c r="E28" s="14" t="e">
        <f>NA()</f>
        <v>#N/A</v>
      </c>
      <c r="F28" s="14" t="e">
        <f>NA()</f>
        <v>#N/A</v>
      </c>
      <c r="G28" s="14" t="e">
        <f>NA()</f>
        <v>#N/A</v>
      </c>
      <c r="H28" s="14" t="e">
        <f>NA()</f>
        <v>#N/A</v>
      </c>
      <c r="I28" s="14">
        <v>1</v>
      </c>
      <c r="J28" s="14">
        <v>1</v>
      </c>
      <c r="K28" s="14" t="s">
        <v>15</v>
      </c>
      <c r="L28" t="s">
        <v>576</v>
      </c>
    </row>
    <row r="29" spans="3:12" x14ac:dyDescent="0.25">
      <c r="C29" s="15">
        <v>17</v>
      </c>
      <c r="D29" s="14">
        <v>10</v>
      </c>
      <c r="E29" s="14">
        <v>18</v>
      </c>
      <c r="F29" s="14">
        <v>19</v>
      </c>
      <c r="G29" s="14" t="s">
        <v>61</v>
      </c>
      <c r="H29" s="14">
        <v>0.57620000000000005</v>
      </c>
      <c r="I29" s="14">
        <v>114</v>
      </c>
      <c r="J29" s="14">
        <v>17</v>
      </c>
      <c r="K29" s="14" t="s">
        <v>14</v>
      </c>
      <c r="L29" t="s">
        <v>575</v>
      </c>
    </row>
    <row r="30" spans="3:12" x14ac:dyDescent="0.25">
      <c r="C30" s="15">
        <v>18</v>
      </c>
      <c r="D30" s="14">
        <v>17</v>
      </c>
      <c r="E30" s="14" t="e">
        <f>NA()</f>
        <v>#N/A</v>
      </c>
      <c r="F30" s="14" t="e">
        <f>NA()</f>
        <v>#N/A</v>
      </c>
      <c r="G30" s="14" t="e">
        <f>NA()</f>
        <v>#N/A</v>
      </c>
      <c r="H30" s="14" t="e">
        <f>NA()</f>
        <v>#N/A</v>
      </c>
      <c r="I30" s="14">
        <v>104</v>
      </c>
      <c r="J30" s="14">
        <v>16</v>
      </c>
      <c r="K30" s="14" t="s">
        <v>14</v>
      </c>
      <c r="L30" t="s">
        <v>576</v>
      </c>
    </row>
    <row r="31" spans="3:12" x14ac:dyDescent="0.25">
      <c r="C31" s="15">
        <v>19</v>
      </c>
      <c r="D31" s="14">
        <v>17</v>
      </c>
      <c r="E31" s="14">
        <v>20</v>
      </c>
      <c r="F31" s="14">
        <v>21</v>
      </c>
      <c r="G31" s="14" t="s">
        <v>70</v>
      </c>
      <c r="H31" s="14">
        <v>0.23765</v>
      </c>
      <c r="I31" s="14">
        <v>10</v>
      </c>
      <c r="J31" s="14">
        <v>1</v>
      </c>
      <c r="K31" s="14" t="s">
        <v>14</v>
      </c>
      <c r="L31" t="s">
        <v>575</v>
      </c>
    </row>
    <row r="32" spans="3:12" x14ac:dyDescent="0.25">
      <c r="C32" s="15">
        <v>20</v>
      </c>
      <c r="D32" s="14">
        <v>19</v>
      </c>
      <c r="E32" s="14" t="e">
        <f>NA()</f>
        <v>#N/A</v>
      </c>
      <c r="F32" s="14" t="e">
        <f>NA()</f>
        <v>#N/A</v>
      </c>
      <c r="G32" s="14" t="e">
        <f>NA()</f>
        <v>#N/A</v>
      </c>
      <c r="H32" s="14" t="e">
        <f>NA()</f>
        <v>#N/A</v>
      </c>
      <c r="I32" s="14">
        <v>7</v>
      </c>
      <c r="J32" s="14">
        <v>1</v>
      </c>
      <c r="K32" s="14" t="s">
        <v>14</v>
      </c>
      <c r="L32" t="s">
        <v>576</v>
      </c>
    </row>
    <row r="33" spans="3:12" x14ac:dyDescent="0.25">
      <c r="C33" s="15">
        <v>21</v>
      </c>
      <c r="D33" s="14">
        <v>19</v>
      </c>
      <c r="E33" s="14" t="e">
        <f>NA()</f>
        <v>#N/A</v>
      </c>
      <c r="F33" s="14" t="e">
        <f>NA()</f>
        <v>#N/A</v>
      </c>
      <c r="G33" s="14" t="e">
        <f>NA()</f>
        <v>#N/A</v>
      </c>
      <c r="H33" s="14" t="e">
        <f>NA()</f>
        <v>#N/A</v>
      </c>
      <c r="I33" s="14">
        <v>3</v>
      </c>
      <c r="J33" s="14">
        <v>0</v>
      </c>
      <c r="K33" s="14" t="s">
        <v>13</v>
      </c>
      <c r="L33" t="s">
        <v>576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4'!$B$10:$B$10" display="Best Pruned Tree Rules (Using Validation Data)" xr:uid="{1BE149D2-E827-4CEB-9887-76E77EA29E95}"/>
    <hyperlink ref="D4" location="'CT_FullTree4'!$B$10:$B$10" display="Fully Grown Tree Rules (Using Training Data)" xr:uid="{4887633B-24DC-4DA3-AEE7-79260FBB31C2}"/>
    <hyperlink ref="F4" location="'CT_MinErrorTree4'!$B$10:$B$10" display="Min Error Tree Rules (Using Validation Data)" xr:uid="{E760B76C-56ED-45CA-BDBE-EA4DA2914B6A}"/>
    <hyperlink ref="H4" location="'CT_Output4'!$B$10:$B$10" display="Inputs" xr:uid="{C284D403-0B1A-4ED8-8013-101EBF1122A3}"/>
    <hyperlink ref="J4" location="'CT_Output4'!$B$67:$B$67" display="Feature Importance" xr:uid="{ADCD4DF9-5286-46AD-B11C-6B34ACB8361F}"/>
    <hyperlink ref="B5" location="'CT_Stored4'!$B$10:$B$10" display="PMML Model" xr:uid="{E0DBB2E3-CEB2-4F56-AB89-7EC94759FF8B}"/>
    <hyperlink ref="D5" location="'CT_TrainingScore4'!$B$10:$B$10" display="Training: Classification Summary" xr:uid="{4910A3A7-8318-4EC8-B736-A8BD9B194242}"/>
    <hyperlink ref="F5" location="'CT_ValidationScore4'!$B$10:$B$10" display="Validation: Classification Summary" xr:uid="{189AA904-06AB-415F-B202-C0C395DBD9E0}"/>
  </hyperlink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3BA3B-1EAD-41A9-B897-9710B7C32ADF}">
  <dimension ref="B1:Q33"/>
  <sheetViews>
    <sheetView showGridLines="0" workbookViewId="0"/>
  </sheetViews>
  <sheetFormatPr defaultRowHeight="13.2" x14ac:dyDescent="0.25"/>
  <cols>
    <col min="3" max="3" width="9.77734375" customWidth="1"/>
    <col min="4" max="4" width="11" customWidth="1"/>
    <col min="5" max="5" width="13.5546875" customWidth="1"/>
    <col min="6" max="6" width="14.88671875" customWidth="1"/>
    <col min="7" max="7" width="10.33203125" customWidth="1"/>
    <col min="8" max="8" width="15.5546875" customWidth="1"/>
    <col min="9" max="9" width="15.88671875" customWidth="1"/>
    <col min="10" max="10" width="17.33203125" customWidth="1"/>
    <col min="11" max="11" width="11.5546875" customWidth="1"/>
    <col min="12" max="12" width="12.21875" customWidth="1"/>
    <col min="14" max="14" width="24.33203125" bestFit="1" customWidth="1"/>
  </cols>
  <sheetData>
    <row r="1" spans="2:17" ht="18" x14ac:dyDescent="0.35">
      <c r="B1" s="12" t="s">
        <v>564</v>
      </c>
      <c r="N1" t="s">
        <v>785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361</v>
      </c>
      <c r="O5" s="16">
        <v>69</v>
      </c>
      <c r="P5" s="16">
        <v>8</v>
      </c>
      <c r="Q5" s="16">
        <v>438</v>
      </c>
    </row>
    <row r="10" spans="2:17" ht="18" x14ac:dyDescent="0.35">
      <c r="B10" s="13" t="s">
        <v>543</v>
      </c>
    </row>
    <row r="12" spans="2:17" x14ac:dyDescent="0.25">
      <c r="C12" s="15" t="s">
        <v>565</v>
      </c>
      <c r="D12" t="s">
        <v>566</v>
      </c>
      <c r="E12" t="s">
        <v>567</v>
      </c>
      <c r="F12" t="s">
        <v>568</v>
      </c>
      <c r="G12" t="s">
        <v>569</v>
      </c>
      <c r="H12" t="s">
        <v>570</v>
      </c>
      <c r="I12" t="s">
        <v>571</v>
      </c>
      <c r="J12" t="s">
        <v>572</v>
      </c>
      <c r="K12" t="s">
        <v>573</v>
      </c>
      <c r="L12" t="s">
        <v>574</v>
      </c>
    </row>
    <row r="13" spans="2:17" x14ac:dyDescent="0.25">
      <c r="C13" s="15">
        <v>1</v>
      </c>
      <c r="D13" s="14" t="e">
        <f>NA()</f>
        <v>#N/A</v>
      </c>
      <c r="E13" s="14">
        <v>2</v>
      </c>
      <c r="F13" s="14">
        <v>3</v>
      </c>
      <c r="G13" s="14" t="s">
        <v>73</v>
      </c>
      <c r="H13" s="14">
        <v>0.34022999999999998</v>
      </c>
      <c r="I13" s="14">
        <v>280</v>
      </c>
      <c r="J13" s="14">
        <v>49</v>
      </c>
      <c r="K13" s="14" t="s">
        <v>14</v>
      </c>
      <c r="L13" t="s">
        <v>575</v>
      </c>
    </row>
    <row r="14" spans="2:17" x14ac:dyDescent="0.25">
      <c r="C14" s="15">
        <v>2</v>
      </c>
      <c r="D14" s="14">
        <v>1</v>
      </c>
      <c r="E14" s="14">
        <v>4</v>
      </c>
      <c r="F14" s="14">
        <v>5</v>
      </c>
      <c r="G14" s="14" t="s">
        <v>67</v>
      </c>
      <c r="H14" s="14">
        <v>0.19012999999999999</v>
      </c>
      <c r="I14" s="14">
        <v>185</v>
      </c>
      <c r="J14" s="14">
        <v>34</v>
      </c>
      <c r="K14" s="14" t="s">
        <v>14</v>
      </c>
      <c r="L14" t="s">
        <v>575</v>
      </c>
    </row>
    <row r="15" spans="2:17" x14ac:dyDescent="0.25">
      <c r="C15" s="15">
        <v>3</v>
      </c>
      <c r="D15" s="14">
        <v>1</v>
      </c>
      <c r="E15" s="14">
        <v>6</v>
      </c>
      <c r="F15" s="14">
        <v>7</v>
      </c>
      <c r="G15" s="14" t="s">
        <v>67</v>
      </c>
      <c r="H15" s="14">
        <v>0.38550000000000001</v>
      </c>
      <c r="I15" s="14">
        <v>95</v>
      </c>
      <c r="J15" s="14">
        <v>15</v>
      </c>
      <c r="K15" s="14" t="s">
        <v>13</v>
      </c>
      <c r="L15" t="s">
        <v>575</v>
      </c>
    </row>
    <row r="16" spans="2:17" x14ac:dyDescent="0.25">
      <c r="C16" s="15">
        <v>4</v>
      </c>
      <c r="D16" s="14">
        <v>2</v>
      </c>
      <c r="E16" s="14">
        <v>8</v>
      </c>
      <c r="F16" s="14">
        <v>9</v>
      </c>
      <c r="G16" s="14" t="s">
        <v>70</v>
      </c>
      <c r="H16" s="14">
        <v>0.19506000000000001</v>
      </c>
      <c r="I16" s="14">
        <v>64</v>
      </c>
      <c r="J16" s="14">
        <v>12</v>
      </c>
      <c r="K16" s="14" t="s">
        <v>15</v>
      </c>
      <c r="L16" t="s">
        <v>575</v>
      </c>
    </row>
    <row r="17" spans="3:12" x14ac:dyDescent="0.25">
      <c r="C17" s="15">
        <v>5</v>
      </c>
      <c r="D17" s="14">
        <v>2</v>
      </c>
      <c r="E17" s="14">
        <v>10</v>
      </c>
      <c r="F17" s="14">
        <v>11</v>
      </c>
      <c r="G17" s="14" t="s">
        <v>70</v>
      </c>
      <c r="H17" s="14">
        <v>0.44973999999999997</v>
      </c>
      <c r="I17" s="14">
        <v>121</v>
      </c>
      <c r="J17" s="14">
        <v>22</v>
      </c>
      <c r="K17" s="14" t="s">
        <v>14</v>
      </c>
      <c r="L17" t="s">
        <v>575</v>
      </c>
    </row>
    <row r="18" spans="3:12" x14ac:dyDescent="0.25">
      <c r="C18" s="15">
        <v>6</v>
      </c>
      <c r="D18" s="14">
        <v>3</v>
      </c>
      <c r="E18" s="14">
        <v>12</v>
      </c>
      <c r="F18" s="14">
        <v>13</v>
      </c>
      <c r="G18" s="14" t="s">
        <v>62</v>
      </c>
      <c r="H18" s="14">
        <v>0.26673000000000002</v>
      </c>
      <c r="I18" s="14">
        <v>11</v>
      </c>
      <c r="J18" s="14">
        <v>3</v>
      </c>
      <c r="K18" s="14" t="s">
        <v>15</v>
      </c>
      <c r="L18" t="s">
        <v>575</v>
      </c>
    </row>
    <row r="19" spans="3:12" x14ac:dyDescent="0.25">
      <c r="C19" s="15">
        <v>7</v>
      </c>
      <c r="D19" s="14">
        <v>3</v>
      </c>
      <c r="E19" s="14">
        <v>14</v>
      </c>
      <c r="F19" s="14">
        <v>15</v>
      </c>
      <c r="G19" s="14" t="s">
        <v>65</v>
      </c>
      <c r="H19" s="14">
        <v>0.71191000000000004</v>
      </c>
      <c r="I19" s="14">
        <v>84</v>
      </c>
      <c r="J19" s="14">
        <v>12</v>
      </c>
      <c r="K19" s="14" t="s">
        <v>13</v>
      </c>
      <c r="L19" t="s">
        <v>575</v>
      </c>
    </row>
    <row r="20" spans="3:12" x14ac:dyDescent="0.25">
      <c r="C20" s="15">
        <v>8</v>
      </c>
      <c r="D20" s="14">
        <v>4</v>
      </c>
      <c r="E20" s="14" t="e">
        <f>NA()</f>
        <v>#N/A</v>
      </c>
      <c r="F20" s="14" t="e">
        <f>NA()</f>
        <v>#N/A</v>
      </c>
      <c r="G20" s="14" t="e">
        <f>NA()</f>
        <v>#N/A</v>
      </c>
      <c r="H20" s="14" t="e">
        <f>NA()</f>
        <v>#N/A</v>
      </c>
      <c r="I20" s="14">
        <v>5</v>
      </c>
      <c r="J20" s="14">
        <v>1</v>
      </c>
      <c r="K20" s="14" t="s">
        <v>14</v>
      </c>
      <c r="L20" t="s">
        <v>576</v>
      </c>
    </row>
    <row r="21" spans="3:12" x14ac:dyDescent="0.25">
      <c r="C21" s="15">
        <v>9</v>
      </c>
      <c r="D21" s="14">
        <v>4</v>
      </c>
      <c r="E21" s="14" t="e">
        <f>NA()</f>
        <v>#N/A</v>
      </c>
      <c r="F21" s="14" t="e">
        <f>NA()</f>
        <v>#N/A</v>
      </c>
      <c r="G21" s="14" t="e">
        <f>NA()</f>
        <v>#N/A</v>
      </c>
      <c r="H21" s="14" t="e">
        <f>NA()</f>
        <v>#N/A</v>
      </c>
      <c r="I21" s="14">
        <v>59</v>
      </c>
      <c r="J21" s="14">
        <v>11</v>
      </c>
      <c r="K21" s="14" t="s">
        <v>15</v>
      </c>
      <c r="L21" t="s">
        <v>576</v>
      </c>
    </row>
    <row r="22" spans="3:12" x14ac:dyDescent="0.25">
      <c r="C22" s="15">
        <v>10</v>
      </c>
      <c r="D22" s="14">
        <v>5</v>
      </c>
      <c r="E22" s="14">
        <v>16</v>
      </c>
      <c r="F22" s="14">
        <v>17</v>
      </c>
      <c r="G22" s="14" t="s">
        <v>72</v>
      </c>
      <c r="H22" s="14">
        <v>6.5454999999999999E-2</v>
      </c>
      <c r="I22" s="14">
        <v>115</v>
      </c>
      <c r="J22" s="14">
        <v>18</v>
      </c>
      <c r="K22" s="14" t="s">
        <v>14</v>
      </c>
      <c r="L22" t="s">
        <v>575</v>
      </c>
    </row>
    <row r="23" spans="3:12" x14ac:dyDescent="0.25">
      <c r="C23" s="15">
        <v>11</v>
      </c>
      <c r="D23" s="14">
        <v>5</v>
      </c>
      <c r="E23" s="14" t="e">
        <f>NA()</f>
        <v>#N/A</v>
      </c>
      <c r="F23" s="14" t="e">
        <f>NA()</f>
        <v>#N/A</v>
      </c>
      <c r="G23" s="14" t="e">
        <f>NA()</f>
        <v>#N/A</v>
      </c>
      <c r="H23" s="14" t="e">
        <f>NA()</f>
        <v>#N/A</v>
      </c>
      <c r="I23" s="14">
        <v>6</v>
      </c>
      <c r="J23" s="14">
        <v>4</v>
      </c>
      <c r="K23" s="14" t="s">
        <v>15</v>
      </c>
      <c r="L23" t="s">
        <v>576</v>
      </c>
    </row>
    <row r="24" spans="3:12" x14ac:dyDescent="0.25">
      <c r="C24" s="15">
        <v>12</v>
      </c>
      <c r="D24" s="14">
        <v>6</v>
      </c>
      <c r="E24" s="14" t="e">
        <f>NA()</f>
        <v>#N/A</v>
      </c>
      <c r="F24" s="14" t="e">
        <f>NA()</f>
        <v>#N/A</v>
      </c>
      <c r="G24" s="14" t="e">
        <f>NA()</f>
        <v>#N/A</v>
      </c>
      <c r="H24" s="14" t="e">
        <f>NA()</f>
        <v>#N/A</v>
      </c>
      <c r="I24" s="14">
        <v>2</v>
      </c>
      <c r="J24" s="14">
        <v>2</v>
      </c>
      <c r="K24" s="14" t="s">
        <v>14</v>
      </c>
      <c r="L24" t="s">
        <v>576</v>
      </c>
    </row>
    <row r="25" spans="3:12" x14ac:dyDescent="0.25">
      <c r="C25" s="15">
        <v>13</v>
      </c>
      <c r="D25" s="14">
        <v>6</v>
      </c>
      <c r="E25" s="14" t="e">
        <f>NA()</f>
        <v>#N/A</v>
      </c>
      <c r="F25" s="14" t="e">
        <f>NA()</f>
        <v>#N/A</v>
      </c>
      <c r="G25" s="14" t="e">
        <f>NA()</f>
        <v>#N/A</v>
      </c>
      <c r="H25" s="14" t="e">
        <f>NA()</f>
        <v>#N/A</v>
      </c>
      <c r="I25" s="14">
        <v>9</v>
      </c>
      <c r="J25" s="14">
        <v>1</v>
      </c>
      <c r="K25" s="14" t="s">
        <v>15</v>
      </c>
      <c r="L25" t="s">
        <v>576</v>
      </c>
    </row>
    <row r="26" spans="3:12" x14ac:dyDescent="0.25">
      <c r="C26" s="15">
        <v>14</v>
      </c>
      <c r="D26" s="14">
        <v>7</v>
      </c>
      <c r="E26" s="14" t="e">
        <f>NA()</f>
        <v>#N/A</v>
      </c>
      <c r="F26" s="14" t="e">
        <f>NA()</f>
        <v>#N/A</v>
      </c>
      <c r="G26" s="14" t="e">
        <f>NA()</f>
        <v>#N/A</v>
      </c>
      <c r="H26" s="14" t="e">
        <f>NA()</f>
        <v>#N/A</v>
      </c>
      <c r="I26" s="14">
        <v>81</v>
      </c>
      <c r="J26" s="14">
        <v>11</v>
      </c>
      <c r="K26" s="14" t="s">
        <v>13</v>
      </c>
      <c r="L26" t="s">
        <v>576</v>
      </c>
    </row>
    <row r="27" spans="3:12" x14ac:dyDescent="0.25">
      <c r="C27" s="15">
        <v>15</v>
      </c>
      <c r="D27" s="14">
        <v>7</v>
      </c>
      <c r="E27" s="14" t="e">
        <f>NA()</f>
        <v>#N/A</v>
      </c>
      <c r="F27" s="14" t="e">
        <f>NA()</f>
        <v>#N/A</v>
      </c>
      <c r="G27" s="14" t="e">
        <f>NA()</f>
        <v>#N/A</v>
      </c>
      <c r="H27" s="14" t="e">
        <f>NA()</f>
        <v>#N/A</v>
      </c>
      <c r="I27" s="14">
        <v>3</v>
      </c>
      <c r="J27" s="14">
        <v>1</v>
      </c>
      <c r="K27" s="14" t="s">
        <v>14</v>
      </c>
      <c r="L27" t="s">
        <v>576</v>
      </c>
    </row>
    <row r="28" spans="3:12" x14ac:dyDescent="0.25">
      <c r="C28" s="15">
        <v>16</v>
      </c>
      <c r="D28" s="14">
        <v>10</v>
      </c>
      <c r="E28" s="14" t="e">
        <f>NA()</f>
        <v>#N/A</v>
      </c>
      <c r="F28" s="14" t="e">
        <f>NA()</f>
        <v>#N/A</v>
      </c>
      <c r="G28" s="14" t="e">
        <f>NA()</f>
        <v>#N/A</v>
      </c>
      <c r="H28" s="14" t="e">
        <f>NA()</f>
        <v>#N/A</v>
      </c>
      <c r="I28" s="14">
        <v>1</v>
      </c>
      <c r="J28" s="14">
        <v>1</v>
      </c>
      <c r="K28" s="14" t="s">
        <v>15</v>
      </c>
      <c r="L28" t="s">
        <v>576</v>
      </c>
    </row>
    <row r="29" spans="3:12" x14ac:dyDescent="0.25">
      <c r="C29" s="15">
        <v>17</v>
      </c>
      <c r="D29" s="14">
        <v>10</v>
      </c>
      <c r="E29" s="14">
        <v>18</v>
      </c>
      <c r="F29" s="14">
        <v>19</v>
      </c>
      <c r="G29" s="14" t="s">
        <v>61</v>
      </c>
      <c r="H29" s="14">
        <v>0.57620000000000005</v>
      </c>
      <c r="I29" s="14">
        <v>114</v>
      </c>
      <c r="J29" s="14">
        <v>17</v>
      </c>
      <c r="K29" s="14" t="s">
        <v>14</v>
      </c>
      <c r="L29" t="s">
        <v>575</v>
      </c>
    </row>
    <row r="30" spans="3:12" x14ac:dyDescent="0.25">
      <c r="C30" s="15">
        <v>18</v>
      </c>
      <c r="D30" s="14">
        <v>17</v>
      </c>
      <c r="E30" s="14" t="e">
        <f>NA()</f>
        <v>#N/A</v>
      </c>
      <c r="F30" s="14" t="e">
        <f>NA()</f>
        <v>#N/A</v>
      </c>
      <c r="G30" s="14" t="e">
        <f>NA()</f>
        <v>#N/A</v>
      </c>
      <c r="H30" s="14" t="e">
        <f>NA()</f>
        <v>#N/A</v>
      </c>
      <c r="I30" s="14">
        <v>104</v>
      </c>
      <c r="J30" s="14">
        <v>16</v>
      </c>
      <c r="K30" s="14" t="s">
        <v>14</v>
      </c>
      <c r="L30" t="s">
        <v>576</v>
      </c>
    </row>
    <row r="31" spans="3:12" x14ac:dyDescent="0.25">
      <c r="C31" s="15">
        <v>19</v>
      </c>
      <c r="D31" s="14">
        <v>17</v>
      </c>
      <c r="E31" s="14">
        <v>20</v>
      </c>
      <c r="F31" s="14">
        <v>21</v>
      </c>
      <c r="G31" s="14" t="s">
        <v>70</v>
      </c>
      <c r="H31" s="14">
        <v>0.23765</v>
      </c>
      <c r="I31" s="14">
        <v>10</v>
      </c>
      <c r="J31" s="14">
        <v>1</v>
      </c>
      <c r="K31" s="14" t="s">
        <v>14</v>
      </c>
      <c r="L31" t="s">
        <v>575</v>
      </c>
    </row>
    <row r="32" spans="3:12" x14ac:dyDescent="0.25">
      <c r="C32" s="15">
        <v>20</v>
      </c>
      <c r="D32" s="14">
        <v>19</v>
      </c>
      <c r="E32" s="14" t="e">
        <f>NA()</f>
        <v>#N/A</v>
      </c>
      <c r="F32" s="14" t="e">
        <f>NA()</f>
        <v>#N/A</v>
      </c>
      <c r="G32" s="14" t="e">
        <f>NA()</f>
        <v>#N/A</v>
      </c>
      <c r="H32" s="14" t="e">
        <f>NA()</f>
        <v>#N/A</v>
      </c>
      <c r="I32" s="14">
        <v>7</v>
      </c>
      <c r="J32" s="14">
        <v>1</v>
      </c>
      <c r="K32" s="14" t="s">
        <v>14</v>
      </c>
      <c r="L32" t="s">
        <v>576</v>
      </c>
    </row>
    <row r="33" spans="3:12" x14ac:dyDescent="0.25">
      <c r="C33" s="15">
        <v>21</v>
      </c>
      <c r="D33" s="14">
        <v>19</v>
      </c>
      <c r="E33" s="14" t="e">
        <f>NA()</f>
        <v>#N/A</v>
      </c>
      <c r="F33" s="14" t="e">
        <f>NA()</f>
        <v>#N/A</v>
      </c>
      <c r="G33" s="14" t="e">
        <f>NA()</f>
        <v>#N/A</v>
      </c>
      <c r="H33" s="14" t="e">
        <f>NA()</f>
        <v>#N/A</v>
      </c>
      <c r="I33" s="14">
        <v>3</v>
      </c>
      <c r="J33" s="14">
        <v>0</v>
      </c>
      <c r="K33" s="14" t="s">
        <v>13</v>
      </c>
      <c r="L33" t="s">
        <v>576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4'!$B$10:$B$10" display="Best Pruned Tree Rules (Using Validation Data)" xr:uid="{5AC916CD-D390-4559-9BCB-FC344513A350}"/>
    <hyperlink ref="D4" location="'CT_FullTree4'!$B$10:$B$10" display="Fully Grown Tree Rules (Using Training Data)" xr:uid="{FDC51D05-ADF3-42C1-917F-0D64B33F0166}"/>
    <hyperlink ref="F4" location="'CT_MinErrorTree4'!$B$10:$B$10" display="Min Error Tree Rules (Using Validation Data)" xr:uid="{5AB8DAE4-1BB9-4481-91ED-472DD38C53A0}"/>
    <hyperlink ref="H4" location="'CT_Output4'!$B$10:$B$10" display="Inputs" xr:uid="{586319C7-FB6D-4089-A6BE-2E07810E960A}"/>
    <hyperlink ref="J4" location="'CT_Output4'!$B$67:$B$67" display="Feature Importance" xr:uid="{7AA2C7B2-E883-4AF4-8B49-6CDF6D0938CC}"/>
    <hyperlink ref="B5" location="'CT_Stored4'!$B$10:$B$10" display="PMML Model" xr:uid="{BF4A9BB7-8198-4223-9722-4ABABAEF36C7}"/>
    <hyperlink ref="D5" location="'CT_TrainingScore4'!$B$10:$B$10" display="Training: Classification Summary" xr:uid="{4C5651EE-B53E-4675-9B48-AB87F35DB960}"/>
    <hyperlink ref="F5" location="'CT_ValidationScore4'!$B$10:$B$10" display="Validation: Classification Summary" xr:uid="{A41B603E-8095-4896-8C0F-9F496CD24D1E}"/>
  </hyperlink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DDFFA-30D8-4F9B-B8AA-EC195B2454F1}">
  <dimension ref="B1:Q33"/>
  <sheetViews>
    <sheetView showGridLines="0" workbookViewId="0"/>
  </sheetViews>
  <sheetFormatPr defaultRowHeight="13.2" x14ac:dyDescent="0.25"/>
  <cols>
    <col min="3" max="3" width="9.77734375" customWidth="1"/>
    <col min="4" max="4" width="11" customWidth="1"/>
    <col min="5" max="5" width="13.5546875" customWidth="1"/>
    <col min="6" max="6" width="14.88671875" customWidth="1"/>
    <col min="7" max="7" width="10.33203125" customWidth="1"/>
    <col min="8" max="8" width="15.5546875" customWidth="1"/>
    <col min="9" max="9" width="15.88671875" customWidth="1"/>
    <col min="10" max="10" width="17.33203125" customWidth="1"/>
    <col min="11" max="11" width="11.5546875" customWidth="1"/>
    <col min="12" max="12" width="12.21875" customWidth="1"/>
    <col min="14" max="14" width="24.33203125" bestFit="1" customWidth="1"/>
  </cols>
  <sheetData>
    <row r="1" spans="2:17" ht="18" x14ac:dyDescent="0.35">
      <c r="B1" s="12" t="s">
        <v>564</v>
      </c>
      <c r="N1" t="s">
        <v>785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361</v>
      </c>
      <c r="O5" s="16">
        <v>69</v>
      </c>
      <c r="P5" s="16">
        <v>8</v>
      </c>
      <c r="Q5" s="16">
        <v>438</v>
      </c>
    </row>
    <row r="10" spans="2:17" ht="18" x14ac:dyDescent="0.35">
      <c r="B10" s="13" t="s">
        <v>545</v>
      </c>
    </row>
    <row r="12" spans="2:17" x14ac:dyDescent="0.25">
      <c r="C12" s="15" t="s">
        <v>565</v>
      </c>
      <c r="D12" t="s">
        <v>566</v>
      </c>
      <c r="E12" t="s">
        <v>567</v>
      </c>
      <c r="F12" t="s">
        <v>568</v>
      </c>
      <c r="G12" t="s">
        <v>569</v>
      </c>
      <c r="H12" t="s">
        <v>570</v>
      </c>
      <c r="I12" t="s">
        <v>571</v>
      </c>
      <c r="J12" t="s">
        <v>572</v>
      </c>
      <c r="K12" t="s">
        <v>573</v>
      </c>
      <c r="L12" t="s">
        <v>574</v>
      </c>
    </row>
    <row r="13" spans="2:17" x14ac:dyDescent="0.25">
      <c r="C13" s="15">
        <v>1</v>
      </c>
      <c r="D13" s="14" t="e">
        <f>NA()</f>
        <v>#N/A</v>
      </c>
      <c r="E13" s="14">
        <v>2</v>
      </c>
      <c r="F13" s="14">
        <v>3</v>
      </c>
      <c r="G13" s="14" t="s">
        <v>73</v>
      </c>
      <c r="H13" s="14">
        <v>0.34022999999999998</v>
      </c>
      <c r="I13" s="14">
        <v>280</v>
      </c>
      <c r="J13" s="14">
        <v>49</v>
      </c>
      <c r="K13" s="14" t="s">
        <v>14</v>
      </c>
      <c r="L13" t="s">
        <v>575</v>
      </c>
    </row>
    <row r="14" spans="2:17" x14ac:dyDescent="0.25">
      <c r="C14" s="15">
        <v>2</v>
      </c>
      <c r="D14" s="14">
        <v>1</v>
      </c>
      <c r="E14" s="14">
        <v>4</v>
      </c>
      <c r="F14" s="14">
        <v>5</v>
      </c>
      <c r="G14" s="14" t="s">
        <v>67</v>
      </c>
      <c r="H14" s="14">
        <v>0.19012999999999999</v>
      </c>
      <c r="I14" s="14">
        <v>185</v>
      </c>
      <c r="J14" s="14">
        <v>34</v>
      </c>
      <c r="K14" s="14" t="s">
        <v>14</v>
      </c>
      <c r="L14" t="s">
        <v>575</v>
      </c>
    </row>
    <row r="15" spans="2:17" x14ac:dyDescent="0.25">
      <c r="C15" s="15">
        <v>3</v>
      </c>
      <c r="D15" s="14">
        <v>1</v>
      </c>
      <c r="E15" s="14">
        <v>6</v>
      </c>
      <c r="F15" s="14">
        <v>7</v>
      </c>
      <c r="G15" s="14" t="s">
        <v>67</v>
      </c>
      <c r="H15" s="14">
        <v>0.38550000000000001</v>
      </c>
      <c r="I15" s="14">
        <v>95</v>
      </c>
      <c r="J15" s="14">
        <v>15</v>
      </c>
      <c r="K15" s="14" t="s">
        <v>13</v>
      </c>
      <c r="L15" t="s">
        <v>575</v>
      </c>
    </row>
    <row r="16" spans="2:17" x14ac:dyDescent="0.25">
      <c r="C16" s="15">
        <v>4</v>
      </c>
      <c r="D16" s="14">
        <v>2</v>
      </c>
      <c r="E16" s="14">
        <v>8</v>
      </c>
      <c r="F16" s="14">
        <v>9</v>
      </c>
      <c r="G16" s="14" t="s">
        <v>70</v>
      </c>
      <c r="H16" s="14">
        <v>0.19506000000000001</v>
      </c>
      <c r="I16" s="14">
        <v>64</v>
      </c>
      <c r="J16" s="14">
        <v>12</v>
      </c>
      <c r="K16" s="14" t="s">
        <v>15</v>
      </c>
      <c r="L16" t="s">
        <v>575</v>
      </c>
    </row>
    <row r="17" spans="3:12" x14ac:dyDescent="0.25">
      <c r="C17" s="15">
        <v>5</v>
      </c>
      <c r="D17" s="14">
        <v>2</v>
      </c>
      <c r="E17" s="14">
        <v>10</v>
      </c>
      <c r="F17" s="14">
        <v>11</v>
      </c>
      <c r="G17" s="14" t="s">
        <v>70</v>
      </c>
      <c r="H17" s="14">
        <v>0.44973999999999997</v>
      </c>
      <c r="I17" s="14">
        <v>121</v>
      </c>
      <c r="J17" s="14">
        <v>22</v>
      </c>
      <c r="K17" s="14" t="s">
        <v>14</v>
      </c>
      <c r="L17" t="s">
        <v>575</v>
      </c>
    </row>
    <row r="18" spans="3:12" x14ac:dyDescent="0.25">
      <c r="C18" s="15">
        <v>6</v>
      </c>
      <c r="D18" s="14">
        <v>3</v>
      </c>
      <c r="E18" s="14">
        <v>12</v>
      </c>
      <c r="F18" s="14">
        <v>13</v>
      </c>
      <c r="G18" s="14" t="s">
        <v>62</v>
      </c>
      <c r="H18" s="14">
        <v>0.26673000000000002</v>
      </c>
      <c r="I18" s="14">
        <v>11</v>
      </c>
      <c r="J18" s="14">
        <v>3</v>
      </c>
      <c r="K18" s="14" t="s">
        <v>15</v>
      </c>
      <c r="L18" t="s">
        <v>575</v>
      </c>
    </row>
    <row r="19" spans="3:12" x14ac:dyDescent="0.25">
      <c r="C19" s="15">
        <v>7</v>
      </c>
      <c r="D19" s="14">
        <v>3</v>
      </c>
      <c r="E19" s="14">
        <v>14</v>
      </c>
      <c r="F19" s="14">
        <v>15</v>
      </c>
      <c r="G19" s="14" t="s">
        <v>65</v>
      </c>
      <c r="H19" s="14">
        <v>0.71191000000000004</v>
      </c>
      <c r="I19" s="14">
        <v>84</v>
      </c>
      <c r="J19" s="14">
        <v>12</v>
      </c>
      <c r="K19" s="14" t="s">
        <v>13</v>
      </c>
      <c r="L19" t="s">
        <v>575</v>
      </c>
    </row>
    <row r="20" spans="3:12" x14ac:dyDescent="0.25">
      <c r="C20" s="15">
        <v>8</v>
      </c>
      <c r="D20" s="14">
        <v>4</v>
      </c>
      <c r="E20" s="14" t="e">
        <f>NA()</f>
        <v>#N/A</v>
      </c>
      <c r="F20" s="14" t="e">
        <f>NA()</f>
        <v>#N/A</v>
      </c>
      <c r="G20" s="14" t="e">
        <f>NA()</f>
        <v>#N/A</v>
      </c>
      <c r="H20" s="14" t="e">
        <f>NA()</f>
        <v>#N/A</v>
      </c>
      <c r="I20" s="14">
        <v>5</v>
      </c>
      <c r="J20" s="14">
        <v>1</v>
      </c>
      <c r="K20" s="14" t="s">
        <v>14</v>
      </c>
      <c r="L20" t="s">
        <v>576</v>
      </c>
    </row>
    <row r="21" spans="3:12" x14ac:dyDescent="0.25">
      <c r="C21" s="15">
        <v>9</v>
      </c>
      <c r="D21" s="14">
        <v>4</v>
      </c>
      <c r="E21" s="14" t="e">
        <f>NA()</f>
        <v>#N/A</v>
      </c>
      <c r="F21" s="14" t="e">
        <f>NA()</f>
        <v>#N/A</v>
      </c>
      <c r="G21" s="14" t="e">
        <f>NA()</f>
        <v>#N/A</v>
      </c>
      <c r="H21" s="14" t="e">
        <f>NA()</f>
        <v>#N/A</v>
      </c>
      <c r="I21" s="14">
        <v>59</v>
      </c>
      <c r="J21" s="14">
        <v>11</v>
      </c>
      <c r="K21" s="14" t="s">
        <v>15</v>
      </c>
      <c r="L21" t="s">
        <v>576</v>
      </c>
    </row>
    <row r="22" spans="3:12" x14ac:dyDescent="0.25">
      <c r="C22" s="15">
        <v>10</v>
      </c>
      <c r="D22" s="14">
        <v>5</v>
      </c>
      <c r="E22" s="14">
        <v>16</v>
      </c>
      <c r="F22" s="14">
        <v>17</v>
      </c>
      <c r="G22" s="14" t="s">
        <v>72</v>
      </c>
      <c r="H22" s="14">
        <v>6.5454999999999999E-2</v>
      </c>
      <c r="I22" s="14">
        <v>115</v>
      </c>
      <c r="J22" s="14">
        <v>18</v>
      </c>
      <c r="K22" s="14" t="s">
        <v>14</v>
      </c>
      <c r="L22" t="s">
        <v>575</v>
      </c>
    </row>
    <row r="23" spans="3:12" x14ac:dyDescent="0.25">
      <c r="C23" s="15">
        <v>11</v>
      </c>
      <c r="D23" s="14">
        <v>5</v>
      </c>
      <c r="E23" s="14" t="e">
        <f>NA()</f>
        <v>#N/A</v>
      </c>
      <c r="F23" s="14" t="e">
        <f>NA()</f>
        <v>#N/A</v>
      </c>
      <c r="G23" s="14" t="e">
        <f>NA()</f>
        <v>#N/A</v>
      </c>
      <c r="H23" s="14" t="e">
        <f>NA()</f>
        <v>#N/A</v>
      </c>
      <c r="I23" s="14">
        <v>6</v>
      </c>
      <c r="J23" s="14">
        <v>4</v>
      </c>
      <c r="K23" s="14" t="s">
        <v>15</v>
      </c>
      <c r="L23" t="s">
        <v>576</v>
      </c>
    </row>
    <row r="24" spans="3:12" x14ac:dyDescent="0.25">
      <c r="C24" s="15">
        <v>12</v>
      </c>
      <c r="D24" s="14">
        <v>6</v>
      </c>
      <c r="E24" s="14" t="e">
        <f>NA()</f>
        <v>#N/A</v>
      </c>
      <c r="F24" s="14" t="e">
        <f>NA()</f>
        <v>#N/A</v>
      </c>
      <c r="G24" s="14" t="e">
        <f>NA()</f>
        <v>#N/A</v>
      </c>
      <c r="H24" s="14" t="e">
        <f>NA()</f>
        <v>#N/A</v>
      </c>
      <c r="I24" s="14">
        <v>2</v>
      </c>
      <c r="J24" s="14">
        <v>2</v>
      </c>
      <c r="K24" s="14" t="s">
        <v>14</v>
      </c>
      <c r="L24" t="s">
        <v>576</v>
      </c>
    </row>
    <row r="25" spans="3:12" x14ac:dyDescent="0.25">
      <c r="C25" s="15">
        <v>13</v>
      </c>
      <c r="D25" s="14">
        <v>6</v>
      </c>
      <c r="E25" s="14" t="e">
        <f>NA()</f>
        <v>#N/A</v>
      </c>
      <c r="F25" s="14" t="e">
        <f>NA()</f>
        <v>#N/A</v>
      </c>
      <c r="G25" s="14" t="e">
        <f>NA()</f>
        <v>#N/A</v>
      </c>
      <c r="H25" s="14" t="e">
        <f>NA()</f>
        <v>#N/A</v>
      </c>
      <c r="I25" s="14">
        <v>9</v>
      </c>
      <c r="J25" s="14">
        <v>1</v>
      </c>
      <c r="K25" s="14" t="s">
        <v>15</v>
      </c>
      <c r="L25" t="s">
        <v>576</v>
      </c>
    </row>
    <row r="26" spans="3:12" x14ac:dyDescent="0.25">
      <c r="C26" s="15">
        <v>14</v>
      </c>
      <c r="D26" s="14">
        <v>7</v>
      </c>
      <c r="E26" s="14" t="e">
        <f>NA()</f>
        <v>#N/A</v>
      </c>
      <c r="F26" s="14" t="e">
        <f>NA()</f>
        <v>#N/A</v>
      </c>
      <c r="G26" s="14" t="e">
        <f>NA()</f>
        <v>#N/A</v>
      </c>
      <c r="H26" s="14" t="e">
        <f>NA()</f>
        <v>#N/A</v>
      </c>
      <c r="I26" s="14">
        <v>81</v>
      </c>
      <c r="J26" s="14">
        <v>11</v>
      </c>
      <c r="K26" s="14" t="s">
        <v>13</v>
      </c>
      <c r="L26" t="s">
        <v>576</v>
      </c>
    </row>
    <row r="27" spans="3:12" x14ac:dyDescent="0.25">
      <c r="C27" s="15">
        <v>15</v>
      </c>
      <c r="D27" s="14">
        <v>7</v>
      </c>
      <c r="E27" s="14" t="e">
        <f>NA()</f>
        <v>#N/A</v>
      </c>
      <c r="F27" s="14" t="e">
        <f>NA()</f>
        <v>#N/A</v>
      </c>
      <c r="G27" s="14" t="e">
        <f>NA()</f>
        <v>#N/A</v>
      </c>
      <c r="H27" s="14" t="e">
        <f>NA()</f>
        <v>#N/A</v>
      </c>
      <c r="I27" s="14">
        <v>3</v>
      </c>
      <c r="J27" s="14">
        <v>1</v>
      </c>
      <c r="K27" s="14" t="s">
        <v>14</v>
      </c>
      <c r="L27" t="s">
        <v>576</v>
      </c>
    </row>
    <row r="28" spans="3:12" x14ac:dyDescent="0.25">
      <c r="C28" s="15">
        <v>16</v>
      </c>
      <c r="D28" s="14">
        <v>10</v>
      </c>
      <c r="E28" s="14" t="e">
        <f>NA()</f>
        <v>#N/A</v>
      </c>
      <c r="F28" s="14" t="e">
        <f>NA()</f>
        <v>#N/A</v>
      </c>
      <c r="G28" s="14" t="e">
        <f>NA()</f>
        <v>#N/A</v>
      </c>
      <c r="H28" s="14" t="e">
        <f>NA()</f>
        <v>#N/A</v>
      </c>
      <c r="I28" s="14">
        <v>1</v>
      </c>
      <c r="J28" s="14">
        <v>1</v>
      </c>
      <c r="K28" s="14" t="s">
        <v>15</v>
      </c>
      <c r="L28" t="s">
        <v>576</v>
      </c>
    </row>
    <row r="29" spans="3:12" x14ac:dyDescent="0.25">
      <c r="C29" s="15">
        <v>17</v>
      </c>
      <c r="D29" s="14">
        <v>10</v>
      </c>
      <c r="E29" s="14">
        <v>18</v>
      </c>
      <c r="F29" s="14">
        <v>19</v>
      </c>
      <c r="G29" s="14" t="s">
        <v>61</v>
      </c>
      <c r="H29" s="14">
        <v>0.57620000000000005</v>
      </c>
      <c r="I29" s="14">
        <v>114</v>
      </c>
      <c r="J29" s="14">
        <v>17</v>
      </c>
      <c r="K29" s="14" t="s">
        <v>14</v>
      </c>
      <c r="L29" t="s">
        <v>575</v>
      </c>
    </row>
    <row r="30" spans="3:12" x14ac:dyDescent="0.25">
      <c r="C30" s="15">
        <v>18</v>
      </c>
      <c r="D30" s="14">
        <v>17</v>
      </c>
      <c r="E30" s="14" t="e">
        <f>NA()</f>
        <v>#N/A</v>
      </c>
      <c r="F30" s="14" t="e">
        <f>NA()</f>
        <v>#N/A</v>
      </c>
      <c r="G30" s="14" t="e">
        <f>NA()</f>
        <v>#N/A</v>
      </c>
      <c r="H30" s="14" t="e">
        <f>NA()</f>
        <v>#N/A</v>
      </c>
      <c r="I30" s="14">
        <v>104</v>
      </c>
      <c r="J30" s="14">
        <v>16</v>
      </c>
      <c r="K30" s="14" t="s">
        <v>14</v>
      </c>
      <c r="L30" t="s">
        <v>576</v>
      </c>
    </row>
    <row r="31" spans="3:12" x14ac:dyDescent="0.25">
      <c r="C31" s="15">
        <v>19</v>
      </c>
      <c r="D31" s="14">
        <v>17</v>
      </c>
      <c r="E31" s="14">
        <v>20</v>
      </c>
      <c r="F31" s="14">
        <v>21</v>
      </c>
      <c r="G31" s="14" t="s">
        <v>70</v>
      </c>
      <c r="H31" s="14">
        <v>0.23765</v>
      </c>
      <c r="I31" s="14">
        <v>10</v>
      </c>
      <c r="J31" s="14">
        <v>1</v>
      </c>
      <c r="K31" s="14" t="s">
        <v>14</v>
      </c>
      <c r="L31" t="s">
        <v>575</v>
      </c>
    </row>
    <row r="32" spans="3:12" x14ac:dyDescent="0.25">
      <c r="C32" s="15">
        <v>20</v>
      </c>
      <c r="D32" s="14">
        <v>19</v>
      </c>
      <c r="E32" s="14" t="e">
        <f>NA()</f>
        <v>#N/A</v>
      </c>
      <c r="F32" s="14" t="e">
        <f>NA()</f>
        <v>#N/A</v>
      </c>
      <c r="G32" s="14" t="e">
        <f>NA()</f>
        <v>#N/A</v>
      </c>
      <c r="H32" s="14" t="e">
        <f>NA()</f>
        <v>#N/A</v>
      </c>
      <c r="I32" s="14">
        <v>7</v>
      </c>
      <c r="J32" s="14">
        <v>1</v>
      </c>
      <c r="K32" s="14" t="s">
        <v>14</v>
      </c>
      <c r="L32" t="s">
        <v>576</v>
      </c>
    </row>
    <row r="33" spans="3:12" x14ac:dyDescent="0.25">
      <c r="C33" s="15">
        <v>21</v>
      </c>
      <c r="D33" s="14">
        <v>19</v>
      </c>
      <c r="E33" s="14" t="e">
        <f>NA()</f>
        <v>#N/A</v>
      </c>
      <c r="F33" s="14" t="e">
        <f>NA()</f>
        <v>#N/A</v>
      </c>
      <c r="G33" s="14" t="e">
        <f>NA()</f>
        <v>#N/A</v>
      </c>
      <c r="H33" s="14" t="e">
        <f>NA()</f>
        <v>#N/A</v>
      </c>
      <c r="I33" s="14">
        <v>3</v>
      </c>
      <c r="J33" s="14">
        <v>0</v>
      </c>
      <c r="K33" s="14" t="s">
        <v>13</v>
      </c>
      <c r="L33" t="s">
        <v>576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4'!$B$10:$B$10" display="Best Pruned Tree Rules (Using Validation Data)" xr:uid="{CB2C9DD2-42F0-46AF-8352-095C12B7526A}"/>
    <hyperlink ref="D4" location="'CT_FullTree4'!$B$10:$B$10" display="Fully Grown Tree Rules (Using Training Data)" xr:uid="{2FB6F7E7-16E1-43F5-B016-7C5471FCB349}"/>
    <hyperlink ref="F4" location="'CT_MinErrorTree4'!$B$10:$B$10" display="Min Error Tree Rules (Using Validation Data)" xr:uid="{52DD471D-B708-4303-B4EB-BD202096E072}"/>
    <hyperlink ref="H4" location="'CT_Output4'!$B$10:$B$10" display="Inputs" xr:uid="{D8090051-A2C6-4100-A828-B97A26B586C8}"/>
    <hyperlink ref="J4" location="'CT_Output4'!$B$67:$B$67" display="Feature Importance" xr:uid="{9DE02961-0DDB-47E6-9375-7E62060E3DC9}"/>
    <hyperlink ref="B5" location="'CT_Stored4'!$B$10:$B$10" display="PMML Model" xr:uid="{00196B57-5B69-488B-9873-8A2862C334B3}"/>
    <hyperlink ref="D5" location="'CT_TrainingScore4'!$B$10:$B$10" display="Training: Classification Summary" xr:uid="{CA6880FC-60A9-451A-B029-D8254C9B11BF}"/>
    <hyperlink ref="F5" location="'CT_ValidationScore4'!$B$10:$B$10" display="Validation: Classification Summary" xr:uid="{50BC5D12-49B0-474B-B229-C896A087646B}"/>
  </hyperlink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C9D4-8D9A-4832-8168-92232932F79F}">
  <dimension ref="B1:Q28"/>
  <sheetViews>
    <sheetView showGridLines="0" topLeftCell="A3" workbookViewId="0"/>
  </sheetViews>
  <sheetFormatPr defaultRowHeight="13.2" x14ac:dyDescent="0.25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4" max="14" width="24.33203125" bestFit="1" customWidth="1"/>
  </cols>
  <sheetData>
    <row r="1" spans="2:17" ht="18" x14ac:dyDescent="0.35">
      <c r="B1" s="12" t="s">
        <v>563</v>
      </c>
      <c r="N1" t="s">
        <v>785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361</v>
      </c>
      <c r="O5" s="16">
        <v>69</v>
      </c>
      <c r="P5" s="16">
        <v>8</v>
      </c>
      <c r="Q5" s="16">
        <v>438</v>
      </c>
    </row>
    <row r="10" spans="2:17" ht="18" x14ac:dyDescent="0.35">
      <c r="B10" s="13" t="s">
        <v>547</v>
      </c>
    </row>
    <row r="12" spans="2:17" ht="15.6" x14ac:dyDescent="0.3">
      <c r="C12" s="28" t="s">
        <v>550</v>
      </c>
      <c r="D12" s="28"/>
      <c r="E12" s="28"/>
      <c r="F12" s="28"/>
    </row>
    <row r="13" spans="2:17" x14ac:dyDescent="0.25">
      <c r="C13" s="15" t="s">
        <v>562</v>
      </c>
      <c r="D13" t="s">
        <v>13</v>
      </c>
      <c r="E13" t="s">
        <v>14</v>
      </c>
      <c r="F13" t="s">
        <v>15</v>
      </c>
    </row>
    <row r="14" spans="2:17" x14ac:dyDescent="0.25">
      <c r="C14" s="15" t="s">
        <v>13</v>
      </c>
      <c r="D14" s="14">
        <v>84</v>
      </c>
      <c r="E14" s="14">
        <v>0</v>
      </c>
      <c r="F14">
        <v>0</v>
      </c>
    </row>
    <row r="15" spans="2:17" x14ac:dyDescent="0.25">
      <c r="C15" s="15" t="s">
        <v>14</v>
      </c>
      <c r="D15" s="14">
        <v>0</v>
      </c>
      <c r="E15" s="14">
        <v>121</v>
      </c>
      <c r="F15">
        <v>0</v>
      </c>
    </row>
    <row r="16" spans="2:17" x14ac:dyDescent="0.25">
      <c r="C16" s="15" t="s">
        <v>15</v>
      </c>
      <c r="D16" s="14">
        <v>0</v>
      </c>
      <c r="E16" s="14">
        <v>0</v>
      </c>
      <c r="F16">
        <v>75</v>
      </c>
    </row>
    <row r="18" spans="3:6" ht="15.6" x14ac:dyDescent="0.3">
      <c r="C18" s="28" t="s">
        <v>551</v>
      </c>
      <c r="D18" s="28"/>
      <c r="E18" s="28"/>
      <c r="F18" s="28"/>
    </row>
    <row r="19" spans="3:6" x14ac:dyDescent="0.25">
      <c r="C19" t="s">
        <v>552</v>
      </c>
      <c r="D19" t="s">
        <v>558</v>
      </c>
      <c r="E19" t="s">
        <v>560</v>
      </c>
      <c r="F19" t="s">
        <v>561</v>
      </c>
    </row>
    <row r="20" spans="3:6" x14ac:dyDescent="0.25">
      <c r="C20" s="15" t="s">
        <v>13</v>
      </c>
      <c r="D20">
        <f>SUM($D$14:$F$14)</f>
        <v>84</v>
      </c>
      <c r="E20">
        <f>SUM($D$14:$F$14) - $D$14</f>
        <v>0</v>
      </c>
      <c r="F20">
        <f>IF($D$20=0,"Undefined",$E$20*100 / $D$20)</f>
        <v>0</v>
      </c>
    </row>
    <row r="21" spans="3:6" x14ac:dyDescent="0.25">
      <c r="C21" s="15" t="s">
        <v>14</v>
      </c>
      <c r="D21">
        <f>SUM($D$15:$F$15)</f>
        <v>121</v>
      </c>
      <c r="E21">
        <f>SUM($D$15:$F$15) - $E$15</f>
        <v>0</v>
      </c>
      <c r="F21">
        <f>IF($D$21=0,"Undefined",$E$21*100 / $D$21)</f>
        <v>0</v>
      </c>
    </row>
    <row r="22" spans="3:6" x14ac:dyDescent="0.25">
      <c r="C22" s="15" t="s">
        <v>15</v>
      </c>
      <c r="D22">
        <f>SUM($D$16:$F$16)</f>
        <v>75</v>
      </c>
      <c r="E22">
        <f>SUM($D$16:$F$16) - $F$16</f>
        <v>0</v>
      </c>
      <c r="F22">
        <f>IF($D$22=0,"Undefined",$E$22*100 / $D$22)</f>
        <v>0</v>
      </c>
    </row>
    <row r="23" spans="3:6" x14ac:dyDescent="0.25">
      <c r="C23" s="15" t="s">
        <v>553</v>
      </c>
      <c r="D23">
        <f>SUM($D$20:$D$22)</f>
        <v>280</v>
      </c>
      <c r="E23">
        <f>SUM($E$20:$E$22)</f>
        <v>0</v>
      </c>
      <c r="F23">
        <f>IF($D$23=0,"Undefined",$E$23*100 / $D$23)</f>
        <v>0</v>
      </c>
    </row>
    <row r="25" spans="3:6" ht="15.6" x14ac:dyDescent="0.3">
      <c r="C25" s="28" t="s">
        <v>554</v>
      </c>
      <c r="D25" s="28"/>
    </row>
    <row r="26" spans="3:6" x14ac:dyDescent="0.25">
      <c r="C26" t="s">
        <v>555</v>
      </c>
      <c r="D26" t="s">
        <v>559</v>
      </c>
    </row>
    <row r="27" spans="3:6" x14ac:dyDescent="0.25">
      <c r="C27" t="s">
        <v>556</v>
      </c>
      <c r="D27">
        <v>280</v>
      </c>
    </row>
    <row r="28" spans="3:6" x14ac:dyDescent="0.25">
      <c r="C28" t="s">
        <v>557</v>
      </c>
      <c r="D28">
        <v>100</v>
      </c>
    </row>
  </sheetData>
  <mergeCells count="15">
    <mergeCell ref="C12:F12"/>
    <mergeCell ref="C18:F18"/>
    <mergeCell ref="C25:D25"/>
    <mergeCell ref="B4:C4"/>
    <mergeCell ref="D4:E4"/>
    <mergeCell ref="F4:G4"/>
    <mergeCell ref="B3:K3"/>
    <mergeCell ref="N3:Q3"/>
    <mergeCell ref="H4:I4"/>
    <mergeCell ref="J4:K4"/>
    <mergeCell ref="B5:C5"/>
    <mergeCell ref="D5:E5"/>
    <mergeCell ref="F5:G5"/>
    <mergeCell ref="H5:I5"/>
    <mergeCell ref="J5:K5"/>
  </mergeCells>
  <hyperlinks>
    <hyperlink ref="B4" location="'CT_BestTree4'!$B$10:$B$10" display="Best Pruned Tree Rules (Using Validation Data)" xr:uid="{8207D946-0803-4858-A266-EBD094C38711}"/>
    <hyperlink ref="D4" location="'CT_FullTree4'!$B$10:$B$10" display="Fully Grown Tree Rules (Using Training Data)" xr:uid="{AB56ECF0-166B-4F7F-8920-9D9B05B5BFB2}"/>
    <hyperlink ref="F4" location="'CT_MinErrorTree4'!$B$10:$B$10" display="Min Error Tree Rules (Using Validation Data)" xr:uid="{1C108FBB-019D-42AE-B856-171D36669279}"/>
    <hyperlink ref="H4" location="'CT_Output4'!$B$10:$B$10" display="Inputs" xr:uid="{DD2F36D6-4DA6-4D33-857C-0AB37D5D3322}"/>
    <hyperlink ref="J4" location="'CT_Output4'!$B$67:$B$67" display="Feature Importance" xr:uid="{22DAA6ED-F601-48A9-871D-E58290B5AEAC}"/>
    <hyperlink ref="B5" location="'CT_Stored4'!$B$10:$B$10" display="PMML Model" xr:uid="{9130DD17-0FE2-4135-98D7-C497F33F5BA0}"/>
    <hyperlink ref="D5" location="'CT_TrainingScore4'!$B$10:$B$10" display="Training: Classification Summary" xr:uid="{AD0571C2-F08D-4C84-A605-F191F8E65781}"/>
    <hyperlink ref="F5" location="'CT_ValidationScore4'!$B$10:$B$10" display="Validation: Classification Summary" xr:uid="{434634D0-C589-438F-AD5C-3E4ABBC86B9C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372C-81A7-4395-9F47-082CE9E39569}">
  <dimension ref="B1:Q28"/>
  <sheetViews>
    <sheetView showGridLines="0" tabSelected="1" topLeftCell="A6" workbookViewId="0"/>
  </sheetViews>
  <sheetFormatPr defaultRowHeight="13.2" x14ac:dyDescent="0.25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4" max="14" width="24.33203125" bestFit="1" customWidth="1"/>
  </cols>
  <sheetData>
    <row r="1" spans="2:17" ht="18" x14ac:dyDescent="0.35">
      <c r="B1" s="12" t="s">
        <v>549</v>
      </c>
      <c r="N1" t="s">
        <v>785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361</v>
      </c>
      <c r="O5" s="16">
        <v>69</v>
      </c>
      <c r="P5" s="16">
        <v>8</v>
      </c>
      <c r="Q5" s="16">
        <v>438</v>
      </c>
    </row>
    <row r="10" spans="2:17" ht="18" x14ac:dyDescent="0.35">
      <c r="B10" s="13" t="s">
        <v>548</v>
      </c>
    </row>
    <row r="12" spans="2:17" ht="15.6" x14ac:dyDescent="0.3">
      <c r="C12" s="28" t="s">
        <v>550</v>
      </c>
      <c r="D12" s="28"/>
      <c r="E12" s="28"/>
      <c r="F12" s="28"/>
    </row>
    <row r="13" spans="2:17" x14ac:dyDescent="0.25">
      <c r="C13" s="15" t="s">
        <v>562</v>
      </c>
      <c r="D13" t="s">
        <v>13</v>
      </c>
      <c r="E13" t="s">
        <v>14</v>
      </c>
      <c r="F13" t="s">
        <v>15</v>
      </c>
    </row>
    <row r="14" spans="2:17" x14ac:dyDescent="0.25">
      <c r="C14" s="15" t="s">
        <v>13</v>
      </c>
      <c r="D14" s="14">
        <v>11</v>
      </c>
      <c r="E14" s="14">
        <v>0</v>
      </c>
      <c r="F14">
        <v>0</v>
      </c>
    </row>
    <row r="15" spans="2:17" x14ac:dyDescent="0.25">
      <c r="C15" s="15" t="s">
        <v>14</v>
      </c>
      <c r="D15" s="14">
        <v>0</v>
      </c>
      <c r="E15" s="14">
        <v>21</v>
      </c>
      <c r="F15">
        <v>0</v>
      </c>
    </row>
    <row r="16" spans="2:17" x14ac:dyDescent="0.25">
      <c r="C16" s="15" t="s">
        <v>15</v>
      </c>
      <c r="D16" s="14">
        <v>0</v>
      </c>
      <c r="E16" s="14">
        <v>0</v>
      </c>
      <c r="F16">
        <v>17</v>
      </c>
    </row>
    <row r="18" spans="3:6" ht="15.6" x14ac:dyDescent="0.3">
      <c r="C18" s="28" t="s">
        <v>551</v>
      </c>
      <c r="D18" s="28"/>
      <c r="E18" s="28"/>
      <c r="F18" s="28"/>
    </row>
    <row r="19" spans="3:6" x14ac:dyDescent="0.25">
      <c r="C19" t="s">
        <v>552</v>
      </c>
      <c r="D19" t="s">
        <v>558</v>
      </c>
      <c r="E19" t="s">
        <v>560</v>
      </c>
      <c r="F19" t="s">
        <v>561</v>
      </c>
    </row>
    <row r="20" spans="3:6" x14ac:dyDescent="0.25">
      <c r="C20" s="15" t="s">
        <v>13</v>
      </c>
      <c r="D20">
        <f>SUM($D$14:$F$14)</f>
        <v>11</v>
      </c>
      <c r="E20">
        <f>SUM($D$14:$F$14) - $D$14</f>
        <v>0</v>
      </c>
      <c r="F20">
        <f>IF($D$20=0,"Undefined",$E$20*100 / $D$20)</f>
        <v>0</v>
      </c>
    </row>
    <row r="21" spans="3:6" x14ac:dyDescent="0.25">
      <c r="C21" s="15" t="s">
        <v>14</v>
      </c>
      <c r="D21">
        <f>SUM($D$15:$F$15)</f>
        <v>21</v>
      </c>
      <c r="E21">
        <f>SUM($D$15:$F$15) - $E$15</f>
        <v>0</v>
      </c>
      <c r="F21">
        <f>IF($D$21=0,"Undefined",$E$21*100 / $D$21)</f>
        <v>0</v>
      </c>
    </row>
    <row r="22" spans="3:6" x14ac:dyDescent="0.25">
      <c r="C22" s="15" t="s">
        <v>15</v>
      </c>
      <c r="D22">
        <f>SUM($D$16:$F$16)</f>
        <v>17</v>
      </c>
      <c r="E22">
        <f>SUM($D$16:$F$16) - $F$16</f>
        <v>0</v>
      </c>
      <c r="F22">
        <f>IF($D$22=0,"Undefined",$E$22*100 / $D$22)</f>
        <v>0</v>
      </c>
    </row>
    <row r="23" spans="3:6" x14ac:dyDescent="0.25">
      <c r="C23" s="15" t="s">
        <v>553</v>
      </c>
      <c r="D23">
        <f>SUM($D$20:$D$22)</f>
        <v>49</v>
      </c>
      <c r="E23">
        <f>SUM($E$20:$E$22)</f>
        <v>0</v>
      </c>
      <c r="F23">
        <f>IF($D$23=0,"Undefined",$E$23*100 / $D$23)</f>
        <v>0</v>
      </c>
    </row>
    <row r="25" spans="3:6" ht="15.6" x14ac:dyDescent="0.3">
      <c r="C25" s="28" t="s">
        <v>554</v>
      </c>
      <c r="D25" s="28"/>
    </row>
    <row r="26" spans="3:6" x14ac:dyDescent="0.25">
      <c r="C26" t="s">
        <v>555</v>
      </c>
      <c r="D26" t="s">
        <v>559</v>
      </c>
    </row>
    <row r="27" spans="3:6" x14ac:dyDescent="0.25">
      <c r="C27" t="s">
        <v>556</v>
      </c>
      <c r="D27">
        <v>49</v>
      </c>
    </row>
    <row r="28" spans="3:6" x14ac:dyDescent="0.25">
      <c r="C28" t="s">
        <v>557</v>
      </c>
      <c r="D28">
        <v>100</v>
      </c>
    </row>
  </sheetData>
  <mergeCells count="15">
    <mergeCell ref="C12:F12"/>
    <mergeCell ref="C18:F18"/>
    <mergeCell ref="C25:D25"/>
    <mergeCell ref="B4:C4"/>
    <mergeCell ref="D4:E4"/>
    <mergeCell ref="F4:G4"/>
    <mergeCell ref="B3:K3"/>
    <mergeCell ref="N3:Q3"/>
    <mergeCell ref="H4:I4"/>
    <mergeCell ref="J4:K4"/>
    <mergeCell ref="B5:C5"/>
    <mergeCell ref="D5:E5"/>
    <mergeCell ref="F5:G5"/>
    <mergeCell ref="H5:I5"/>
    <mergeCell ref="J5:K5"/>
  </mergeCells>
  <hyperlinks>
    <hyperlink ref="B4" location="'CT_BestTree4'!$B$10:$B$10" display="Best Pruned Tree Rules (Using Validation Data)" xr:uid="{71A75789-A196-4A6E-8DCE-9EECF3E90087}"/>
    <hyperlink ref="D4" location="'CT_FullTree4'!$B$10:$B$10" display="Fully Grown Tree Rules (Using Training Data)" xr:uid="{142B799F-B8CC-4FDD-BB04-B1606BE2D917}"/>
    <hyperlink ref="F4" location="'CT_MinErrorTree4'!$B$10:$B$10" display="Min Error Tree Rules (Using Validation Data)" xr:uid="{5E44A4B2-1CDB-4AB9-9D6E-8748B16F7146}"/>
    <hyperlink ref="H4" location="'CT_Output4'!$B$10:$B$10" display="Inputs" xr:uid="{94BC2AEA-9140-41A9-8A69-86BFC964FB22}"/>
    <hyperlink ref="J4" location="'CT_Output4'!$B$67:$B$67" display="Feature Importance" xr:uid="{C68FD5E6-521B-42E9-A817-B26FA04BAFB5}"/>
    <hyperlink ref="B5" location="'CT_Stored4'!$B$10:$B$10" display="PMML Model" xr:uid="{D37B5357-149B-4B86-83C5-A465D5BDC367}"/>
    <hyperlink ref="D5" location="'CT_TrainingScore4'!$B$10:$B$10" display="Training: Classification Summary" xr:uid="{E4CFFEFB-7069-4D0D-A5ED-2247E5BC7B81}"/>
    <hyperlink ref="F5" location="'CT_ValidationScore4'!$B$10:$B$10" display="Validation: Classification Summary" xr:uid="{FF98F16F-433A-499C-B2B3-988EBCF12F8F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AE4AC-9D51-42DB-B059-F5D4D9FD8CA0}">
  <dimension ref="B1:Q231"/>
  <sheetViews>
    <sheetView showGridLines="0" workbookViewId="0"/>
  </sheetViews>
  <sheetFormatPr defaultRowHeight="13.2" x14ac:dyDescent="0.25"/>
  <cols>
    <col min="14" max="14" width="24.33203125" bestFit="1" customWidth="1"/>
  </cols>
  <sheetData>
    <row r="1" spans="2:17" ht="18" x14ac:dyDescent="0.35">
      <c r="B1" s="12" t="s">
        <v>420</v>
      </c>
      <c r="N1" t="s">
        <v>785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361</v>
      </c>
      <c r="O5" s="16">
        <v>69</v>
      </c>
      <c r="P5" s="16">
        <v>8</v>
      </c>
      <c r="Q5" s="16">
        <v>438</v>
      </c>
    </row>
    <row r="10" spans="2:17" ht="18" x14ac:dyDescent="0.35">
      <c r="B10" s="13" t="s">
        <v>421</v>
      </c>
    </row>
    <row r="12" spans="2:17" x14ac:dyDescent="0.25">
      <c r="B12" t="s">
        <v>422</v>
      </c>
    </row>
    <row r="13" spans="2:17" x14ac:dyDescent="0.25">
      <c r="B13" t="s">
        <v>423</v>
      </c>
    </row>
    <row r="14" spans="2:17" x14ac:dyDescent="0.25">
      <c r="B14" t="s">
        <v>424</v>
      </c>
    </row>
    <row r="15" spans="2:17" x14ac:dyDescent="0.25">
      <c r="B15" t="s">
        <v>425</v>
      </c>
    </row>
    <row r="16" spans="2:17" x14ac:dyDescent="0.25">
      <c r="B16" t="s">
        <v>784</v>
      </c>
    </row>
    <row r="17" spans="2:2" x14ac:dyDescent="0.25">
      <c r="B17" t="s">
        <v>426</v>
      </c>
    </row>
    <row r="18" spans="2:2" x14ac:dyDescent="0.25">
      <c r="B18" t="s">
        <v>427</v>
      </c>
    </row>
    <row r="19" spans="2:2" x14ac:dyDescent="0.25">
      <c r="B19" t="s">
        <v>428</v>
      </c>
    </row>
    <row r="20" spans="2:2" x14ac:dyDescent="0.25">
      <c r="B20" t="s">
        <v>429</v>
      </c>
    </row>
    <row r="21" spans="2:2" x14ac:dyDescent="0.25">
      <c r="B21" t="s">
        <v>430</v>
      </c>
    </row>
    <row r="22" spans="2:2" x14ac:dyDescent="0.25">
      <c r="B22" t="s">
        <v>431</v>
      </c>
    </row>
    <row r="23" spans="2:2" x14ac:dyDescent="0.25">
      <c r="B23" t="s">
        <v>432</v>
      </c>
    </row>
    <row r="24" spans="2:2" x14ac:dyDescent="0.25">
      <c r="B24" t="s">
        <v>433</v>
      </c>
    </row>
    <row r="25" spans="2:2" x14ac:dyDescent="0.25">
      <c r="B25" t="s">
        <v>434</v>
      </c>
    </row>
    <row r="26" spans="2:2" x14ac:dyDescent="0.25">
      <c r="B26" t="s">
        <v>435</v>
      </c>
    </row>
    <row r="27" spans="2:2" x14ac:dyDescent="0.25">
      <c r="B27" t="s">
        <v>436</v>
      </c>
    </row>
    <row r="28" spans="2:2" x14ac:dyDescent="0.25">
      <c r="B28" t="s">
        <v>437</v>
      </c>
    </row>
    <row r="29" spans="2:2" x14ac:dyDescent="0.25">
      <c r="B29" t="s">
        <v>438</v>
      </c>
    </row>
    <row r="30" spans="2:2" x14ac:dyDescent="0.25">
      <c r="B30" t="s">
        <v>439</v>
      </c>
    </row>
    <row r="31" spans="2:2" x14ac:dyDescent="0.25">
      <c r="B31" t="s">
        <v>440</v>
      </c>
    </row>
    <row r="32" spans="2:2" x14ac:dyDescent="0.25">
      <c r="B32" t="s">
        <v>441</v>
      </c>
    </row>
    <row r="33" spans="2:2" x14ac:dyDescent="0.25">
      <c r="B33" t="s">
        <v>442</v>
      </c>
    </row>
    <row r="34" spans="2:2" x14ac:dyDescent="0.25">
      <c r="B34" t="s">
        <v>443</v>
      </c>
    </row>
    <row r="35" spans="2:2" x14ac:dyDescent="0.25">
      <c r="B35" t="s">
        <v>444</v>
      </c>
    </row>
    <row r="36" spans="2:2" x14ac:dyDescent="0.25">
      <c r="B36" t="s">
        <v>445</v>
      </c>
    </row>
    <row r="37" spans="2:2" x14ac:dyDescent="0.25">
      <c r="B37" t="s">
        <v>446</v>
      </c>
    </row>
    <row r="38" spans="2:2" x14ac:dyDescent="0.25">
      <c r="B38" t="s">
        <v>447</v>
      </c>
    </row>
    <row r="39" spans="2:2" x14ac:dyDescent="0.25">
      <c r="B39" t="s">
        <v>448</v>
      </c>
    </row>
    <row r="40" spans="2:2" x14ac:dyDescent="0.25">
      <c r="B40" t="s">
        <v>449</v>
      </c>
    </row>
    <row r="41" spans="2:2" x14ac:dyDescent="0.25">
      <c r="B41" t="s">
        <v>712</v>
      </c>
    </row>
    <row r="42" spans="2:2" x14ac:dyDescent="0.25">
      <c r="B42" t="s">
        <v>713</v>
      </c>
    </row>
    <row r="43" spans="2:2" x14ac:dyDescent="0.25">
      <c r="B43" t="s">
        <v>714</v>
      </c>
    </row>
    <row r="44" spans="2:2" x14ac:dyDescent="0.25">
      <c r="B44" t="s">
        <v>715</v>
      </c>
    </row>
    <row r="45" spans="2:2" x14ac:dyDescent="0.25">
      <c r="B45" t="s">
        <v>454</v>
      </c>
    </row>
    <row r="46" spans="2:2" x14ac:dyDescent="0.25">
      <c r="B46" t="s">
        <v>455</v>
      </c>
    </row>
    <row r="47" spans="2:2" x14ac:dyDescent="0.25">
      <c r="B47" t="s">
        <v>450</v>
      </c>
    </row>
    <row r="48" spans="2:2" x14ac:dyDescent="0.25">
      <c r="B48" t="s">
        <v>451</v>
      </c>
    </row>
    <row r="49" spans="2:2" x14ac:dyDescent="0.25">
      <c r="B49" t="s">
        <v>452</v>
      </c>
    </row>
    <row r="50" spans="2:2" x14ac:dyDescent="0.25">
      <c r="B50" t="s">
        <v>673</v>
      </c>
    </row>
    <row r="51" spans="2:2" x14ac:dyDescent="0.25">
      <c r="B51" t="s">
        <v>454</v>
      </c>
    </row>
    <row r="52" spans="2:2" x14ac:dyDescent="0.25">
      <c r="B52" t="s">
        <v>455</v>
      </c>
    </row>
    <row r="53" spans="2:2" x14ac:dyDescent="0.25">
      <c r="B53" t="s">
        <v>623</v>
      </c>
    </row>
    <row r="54" spans="2:2" x14ac:dyDescent="0.25">
      <c r="B54" t="s">
        <v>624</v>
      </c>
    </row>
    <row r="55" spans="2:2" x14ac:dyDescent="0.25">
      <c r="B55" t="s">
        <v>625</v>
      </c>
    </row>
    <row r="56" spans="2:2" x14ac:dyDescent="0.25">
      <c r="B56" t="s">
        <v>626</v>
      </c>
    </row>
    <row r="57" spans="2:2" x14ac:dyDescent="0.25">
      <c r="B57" t="s">
        <v>454</v>
      </c>
    </row>
    <row r="58" spans="2:2" x14ac:dyDescent="0.25">
      <c r="B58" t="s">
        <v>455</v>
      </c>
    </row>
    <row r="59" spans="2:2" x14ac:dyDescent="0.25">
      <c r="B59" t="s">
        <v>456</v>
      </c>
    </row>
    <row r="60" spans="2:2" x14ac:dyDescent="0.25">
      <c r="B60" t="s">
        <v>457</v>
      </c>
    </row>
    <row r="61" spans="2:2" x14ac:dyDescent="0.25">
      <c r="B61" t="s">
        <v>458</v>
      </c>
    </row>
    <row r="62" spans="2:2" x14ac:dyDescent="0.25">
      <c r="B62" t="s">
        <v>459</v>
      </c>
    </row>
    <row r="63" spans="2:2" x14ac:dyDescent="0.25">
      <c r="B63" t="s">
        <v>454</v>
      </c>
    </row>
    <row r="64" spans="2:2" x14ac:dyDescent="0.25">
      <c r="B64" t="s">
        <v>455</v>
      </c>
    </row>
    <row r="65" spans="2:2" x14ac:dyDescent="0.25">
      <c r="B65" t="s">
        <v>627</v>
      </c>
    </row>
    <row r="66" spans="2:2" x14ac:dyDescent="0.25">
      <c r="B66" t="s">
        <v>628</v>
      </c>
    </row>
    <row r="67" spans="2:2" x14ac:dyDescent="0.25">
      <c r="B67" t="s">
        <v>629</v>
      </c>
    </row>
    <row r="68" spans="2:2" x14ac:dyDescent="0.25">
      <c r="B68" t="s">
        <v>630</v>
      </c>
    </row>
    <row r="69" spans="2:2" x14ac:dyDescent="0.25">
      <c r="B69" t="s">
        <v>454</v>
      </c>
    </row>
    <row r="70" spans="2:2" x14ac:dyDescent="0.25">
      <c r="B70" t="s">
        <v>455</v>
      </c>
    </row>
    <row r="71" spans="2:2" x14ac:dyDescent="0.25">
      <c r="B71" t="s">
        <v>464</v>
      </c>
    </row>
    <row r="72" spans="2:2" x14ac:dyDescent="0.25">
      <c r="B72" t="s">
        <v>465</v>
      </c>
    </row>
    <row r="73" spans="2:2" x14ac:dyDescent="0.25">
      <c r="B73" t="s">
        <v>466</v>
      </c>
    </row>
    <row r="74" spans="2:2" x14ac:dyDescent="0.25">
      <c r="B74" t="s">
        <v>467</v>
      </c>
    </row>
    <row r="75" spans="2:2" x14ac:dyDescent="0.25">
      <c r="B75" t="s">
        <v>454</v>
      </c>
    </row>
    <row r="76" spans="2:2" x14ac:dyDescent="0.25">
      <c r="B76" t="s">
        <v>455</v>
      </c>
    </row>
    <row r="77" spans="2:2" x14ac:dyDescent="0.25">
      <c r="B77" t="s">
        <v>468</v>
      </c>
    </row>
    <row r="78" spans="2:2" x14ac:dyDescent="0.25">
      <c r="B78" t="s">
        <v>469</v>
      </c>
    </row>
    <row r="79" spans="2:2" x14ac:dyDescent="0.25">
      <c r="B79" t="s">
        <v>470</v>
      </c>
    </row>
    <row r="80" spans="2:2" x14ac:dyDescent="0.25">
      <c r="B80" t="s">
        <v>720</v>
      </c>
    </row>
    <row r="81" spans="2:2" x14ac:dyDescent="0.25">
      <c r="B81" t="s">
        <v>454</v>
      </c>
    </row>
    <row r="82" spans="2:2" x14ac:dyDescent="0.25">
      <c r="B82" t="s">
        <v>455</v>
      </c>
    </row>
    <row r="83" spans="2:2" x14ac:dyDescent="0.25">
      <c r="B83" t="s">
        <v>472</v>
      </c>
    </row>
    <row r="84" spans="2:2" x14ac:dyDescent="0.25">
      <c r="B84" t="s">
        <v>473</v>
      </c>
    </row>
    <row r="85" spans="2:2" x14ac:dyDescent="0.25">
      <c r="B85" t="s">
        <v>474</v>
      </c>
    </row>
    <row r="86" spans="2:2" x14ac:dyDescent="0.25">
      <c r="B86" t="s">
        <v>721</v>
      </c>
    </row>
    <row r="87" spans="2:2" x14ac:dyDescent="0.25">
      <c r="B87" t="s">
        <v>475</v>
      </c>
    </row>
    <row r="88" spans="2:2" x14ac:dyDescent="0.25">
      <c r="B88" t="s">
        <v>631</v>
      </c>
    </row>
    <row r="89" spans="2:2" x14ac:dyDescent="0.25">
      <c r="B89" t="s">
        <v>476</v>
      </c>
    </row>
    <row r="90" spans="2:2" x14ac:dyDescent="0.25">
      <c r="B90" t="s">
        <v>632</v>
      </c>
    </row>
    <row r="91" spans="2:2" x14ac:dyDescent="0.25">
      <c r="B91" t="s">
        <v>478</v>
      </c>
    </row>
    <row r="92" spans="2:2" x14ac:dyDescent="0.25">
      <c r="B92" t="s">
        <v>479</v>
      </c>
    </row>
    <row r="93" spans="2:2" x14ac:dyDescent="0.25">
      <c r="B93" t="s">
        <v>480</v>
      </c>
    </row>
    <row r="94" spans="2:2" x14ac:dyDescent="0.25">
      <c r="B94" t="s">
        <v>481</v>
      </c>
    </row>
    <row r="95" spans="2:2" x14ac:dyDescent="0.25">
      <c r="B95" t="s">
        <v>482</v>
      </c>
    </row>
    <row r="96" spans="2:2" x14ac:dyDescent="0.25">
      <c r="B96" t="s">
        <v>483</v>
      </c>
    </row>
    <row r="97" spans="2:2" x14ac:dyDescent="0.25">
      <c r="B97" t="s">
        <v>484</v>
      </c>
    </row>
    <row r="98" spans="2:2" x14ac:dyDescent="0.25">
      <c r="B98" t="s">
        <v>485</v>
      </c>
    </row>
    <row r="99" spans="2:2" x14ac:dyDescent="0.25">
      <c r="B99" t="s">
        <v>786</v>
      </c>
    </row>
    <row r="100" spans="2:2" x14ac:dyDescent="0.25">
      <c r="B100" t="s">
        <v>787</v>
      </c>
    </row>
    <row r="101" spans="2:2" x14ac:dyDescent="0.25">
      <c r="B101" t="s">
        <v>788</v>
      </c>
    </row>
    <row r="102" spans="2:2" x14ac:dyDescent="0.25">
      <c r="B102" t="s">
        <v>489</v>
      </c>
    </row>
    <row r="103" spans="2:2" x14ac:dyDescent="0.25">
      <c r="B103" t="s">
        <v>490</v>
      </c>
    </row>
    <row r="104" spans="2:2" x14ac:dyDescent="0.25">
      <c r="B104" t="s">
        <v>789</v>
      </c>
    </row>
    <row r="105" spans="2:2" x14ac:dyDescent="0.25">
      <c r="B105" t="s">
        <v>492</v>
      </c>
    </row>
    <row r="106" spans="2:2" x14ac:dyDescent="0.25">
      <c r="B106" t="s">
        <v>790</v>
      </c>
    </row>
    <row r="107" spans="2:2" x14ac:dyDescent="0.25">
      <c r="B107" t="s">
        <v>791</v>
      </c>
    </row>
    <row r="108" spans="2:2" x14ac:dyDescent="0.25">
      <c r="B108" t="s">
        <v>792</v>
      </c>
    </row>
    <row r="109" spans="2:2" x14ac:dyDescent="0.25">
      <c r="B109" t="s">
        <v>793</v>
      </c>
    </row>
    <row r="110" spans="2:2" x14ac:dyDescent="0.25">
      <c r="B110" t="s">
        <v>731</v>
      </c>
    </row>
    <row r="111" spans="2:2" x14ac:dyDescent="0.25">
      <c r="B111" t="s">
        <v>794</v>
      </c>
    </row>
    <row r="112" spans="2:2" x14ac:dyDescent="0.25">
      <c r="B112" t="s">
        <v>795</v>
      </c>
    </row>
    <row r="113" spans="2:2" x14ac:dyDescent="0.25">
      <c r="B113" t="s">
        <v>796</v>
      </c>
    </row>
    <row r="114" spans="2:2" x14ac:dyDescent="0.25">
      <c r="B114" t="s">
        <v>797</v>
      </c>
    </row>
    <row r="115" spans="2:2" x14ac:dyDescent="0.25">
      <c r="B115" t="s">
        <v>685</v>
      </c>
    </row>
    <row r="116" spans="2:2" x14ac:dyDescent="0.25">
      <c r="B116" t="s">
        <v>503</v>
      </c>
    </row>
    <row r="117" spans="2:2" x14ac:dyDescent="0.25">
      <c r="B117" t="s">
        <v>686</v>
      </c>
    </row>
    <row r="118" spans="2:2" x14ac:dyDescent="0.25">
      <c r="B118" t="s">
        <v>798</v>
      </c>
    </row>
    <row r="119" spans="2:2" x14ac:dyDescent="0.25">
      <c r="B119" t="s">
        <v>688</v>
      </c>
    </row>
    <row r="120" spans="2:2" x14ac:dyDescent="0.25">
      <c r="B120" t="s">
        <v>689</v>
      </c>
    </row>
    <row r="121" spans="2:2" x14ac:dyDescent="0.25">
      <c r="B121" t="s">
        <v>503</v>
      </c>
    </row>
    <row r="122" spans="2:2" x14ac:dyDescent="0.25">
      <c r="B122" t="s">
        <v>686</v>
      </c>
    </row>
    <row r="123" spans="2:2" x14ac:dyDescent="0.25">
      <c r="B123" t="s">
        <v>515</v>
      </c>
    </row>
    <row r="124" spans="2:2" x14ac:dyDescent="0.25">
      <c r="B124" t="s">
        <v>512</v>
      </c>
    </row>
    <row r="125" spans="2:2" x14ac:dyDescent="0.25">
      <c r="B125" t="s">
        <v>799</v>
      </c>
    </row>
    <row r="126" spans="2:2" x14ac:dyDescent="0.25">
      <c r="B126" t="s">
        <v>691</v>
      </c>
    </row>
    <row r="127" spans="2:2" x14ac:dyDescent="0.25">
      <c r="B127" t="s">
        <v>503</v>
      </c>
    </row>
    <row r="128" spans="2:2" x14ac:dyDescent="0.25">
      <c r="B128" t="s">
        <v>511</v>
      </c>
    </row>
    <row r="129" spans="2:2" x14ac:dyDescent="0.25">
      <c r="B129" t="s">
        <v>798</v>
      </c>
    </row>
    <row r="130" spans="2:2" x14ac:dyDescent="0.25">
      <c r="B130" t="s">
        <v>512</v>
      </c>
    </row>
    <row r="131" spans="2:2" x14ac:dyDescent="0.25">
      <c r="B131" t="s">
        <v>512</v>
      </c>
    </row>
    <row r="132" spans="2:2" x14ac:dyDescent="0.25">
      <c r="B132" t="s">
        <v>800</v>
      </c>
    </row>
    <row r="133" spans="2:2" x14ac:dyDescent="0.25">
      <c r="B133" t="s">
        <v>693</v>
      </c>
    </row>
    <row r="134" spans="2:2" x14ac:dyDescent="0.25">
      <c r="B134" t="s">
        <v>794</v>
      </c>
    </row>
    <row r="135" spans="2:2" x14ac:dyDescent="0.25">
      <c r="B135" t="s">
        <v>801</v>
      </c>
    </row>
    <row r="136" spans="2:2" x14ac:dyDescent="0.25">
      <c r="B136" t="s">
        <v>802</v>
      </c>
    </row>
    <row r="137" spans="2:2" x14ac:dyDescent="0.25">
      <c r="B137" t="s">
        <v>803</v>
      </c>
    </row>
    <row r="138" spans="2:2" x14ac:dyDescent="0.25">
      <c r="B138" t="s">
        <v>695</v>
      </c>
    </row>
    <row r="139" spans="2:2" x14ac:dyDescent="0.25">
      <c r="B139" t="s">
        <v>794</v>
      </c>
    </row>
    <row r="140" spans="2:2" x14ac:dyDescent="0.25">
      <c r="B140" t="s">
        <v>801</v>
      </c>
    </row>
    <row r="141" spans="2:2" x14ac:dyDescent="0.25">
      <c r="B141" t="s">
        <v>654</v>
      </c>
    </row>
    <row r="142" spans="2:2" x14ac:dyDescent="0.25">
      <c r="B142" t="s">
        <v>742</v>
      </c>
    </row>
    <row r="143" spans="2:2" x14ac:dyDescent="0.25">
      <c r="B143" t="s">
        <v>804</v>
      </c>
    </row>
    <row r="144" spans="2:2" x14ac:dyDescent="0.25">
      <c r="B144" t="s">
        <v>503</v>
      </c>
    </row>
    <row r="145" spans="2:2" x14ac:dyDescent="0.25">
      <c r="B145" t="s">
        <v>511</v>
      </c>
    </row>
    <row r="146" spans="2:2" x14ac:dyDescent="0.25">
      <c r="B146" t="s">
        <v>654</v>
      </c>
    </row>
    <row r="147" spans="2:2" x14ac:dyDescent="0.25">
      <c r="B147" t="s">
        <v>512</v>
      </c>
    </row>
    <row r="148" spans="2:2" x14ac:dyDescent="0.25">
      <c r="B148" t="s">
        <v>805</v>
      </c>
    </row>
    <row r="149" spans="2:2" x14ac:dyDescent="0.25">
      <c r="B149" t="s">
        <v>806</v>
      </c>
    </row>
    <row r="150" spans="2:2" x14ac:dyDescent="0.25">
      <c r="B150" t="s">
        <v>794</v>
      </c>
    </row>
    <row r="151" spans="2:2" x14ac:dyDescent="0.25">
      <c r="B151" t="s">
        <v>801</v>
      </c>
    </row>
    <row r="152" spans="2:2" x14ac:dyDescent="0.25">
      <c r="B152" t="s">
        <v>515</v>
      </c>
    </row>
    <row r="153" spans="2:2" x14ac:dyDescent="0.25">
      <c r="B153" t="s">
        <v>807</v>
      </c>
    </row>
    <row r="154" spans="2:2" x14ac:dyDescent="0.25">
      <c r="B154" t="s">
        <v>808</v>
      </c>
    </row>
    <row r="155" spans="2:2" x14ac:dyDescent="0.25">
      <c r="B155" t="s">
        <v>503</v>
      </c>
    </row>
    <row r="156" spans="2:2" x14ac:dyDescent="0.25">
      <c r="B156" t="s">
        <v>682</v>
      </c>
    </row>
    <row r="157" spans="2:2" x14ac:dyDescent="0.25">
      <c r="B157" t="s">
        <v>515</v>
      </c>
    </row>
    <row r="158" spans="2:2" x14ac:dyDescent="0.25">
      <c r="B158" t="s">
        <v>512</v>
      </c>
    </row>
    <row r="159" spans="2:2" x14ac:dyDescent="0.25">
      <c r="B159" t="s">
        <v>809</v>
      </c>
    </row>
    <row r="160" spans="2:2" x14ac:dyDescent="0.25">
      <c r="B160" t="s">
        <v>810</v>
      </c>
    </row>
    <row r="161" spans="2:2" x14ac:dyDescent="0.25">
      <c r="B161" t="s">
        <v>794</v>
      </c>
    </row>
    <row r="162" spans="2:2" x14ac:dyDescent="0.25">
      <c r="B162" t="s">
        <v>811</v>
      </c>
    </row>
    <row r="163" spans="2:2" x14ac:dyDescent="0.25">
      <c r="B163" t="s">
        <v>515</v>
      </c>
    </row>
    <row r="164" spans="2:2" x14ac:dyDescent="0.25">
      <c r="B164" t="s">
        <v>812</v>
      </c>
    </row>
    <row r="165" spans="2:2" x14ac:dyDescent="0.25">
      <c r="B165" t="s">
        <v>752</v>
      </c>
    </row>
    <row r="166" spans="2:2" x14ac:dyDescent="0.25">
      <c r="B166" t="s">
        <v>503</v>
      </c>
    </row>
    <row r="167" spans="2:2" x14ac:dyDescent="0.25">
      <c r="B167" t="s">
        <v>811</v>
      </c>
    </row>
    <row r="168" spans="2:2" x14ac:dyDescent="0.25">
      <c r="B168" t="s">
        <v>515</v>
      </c>
    </row>
    <row r="169" spans="2:2" x14ac:dyDescent="0.25">
      <c r="B169" t="s">
        <v>512</v>
      </c>
    </row>
    <row r="170" spans="2:2" x14ac:dyDescent="0.25">
      <c r="B170" t="s">
        <v>813</v>
      </c>
    </row>
    <row r="171" spans="2:2" x14ac:dyDescent="0.25">
      <c r="B171" t="s">
        <v>754</v>
      </c>
    </row>
    <row r="172" spans="2:2" x14ac:dyDescent="0.25">
      <c r="B172" t="s">
        <v>794</v>
      </c>
    </row>
    <row r="173" spans="2:2" x14ac:dyDescent="0.25">
      <c r="B173" t="s">
        <v>511</v>
      </c>
    </row>
    <row r="174" spans="2:2" x14ac:dyDescent="0.25">
      <c r="B174" t="s">
        <v>515</v>
      </c>
    </row>
    <row r="175" spans="2:2" x14ac:dyDescent="0.25">
      <c r="B175" t="s">
        <v>512</v>
      </c>
    </row>
    <row r="176" spans="2:2" x14ac:dyDescent="0.25">
      <c r="B176" t="s">
        <v>512</v>
      </c>
    </row>
    <row r="177" spans="2:2" x14ac:dyDescent="0.25">
      <c r="B177" t="s">
        <v>512</v>
      </c>
    </row>
    <row r="178" spans="2:2" x14ac:dyDescent="0.25">
      <c r="B178" t="s">
        <v>512</v>
      </c>
    </row>
    <row r="179" spans="2:2" x14ac:dyDescent="0.25">
      <c r="B179" t="s">
        <v>814</v>
      </c>
    </row>
    <row r="180" spans="2:2" x14ac:dyDescent="0.25">
      <c r="B180" t="s">
        <v>697</v>
      </c>
    </row>
    <row r="181" spans="2:2" x14ac:dyDescent="0.25">
      <c r="B181" t="s">
        <v>503</v>
      </c>
    </row>
    <row r="182" spans="2:2" x14ac:dyDescent="0.25">
      <c r="B182" t="s">
        <v>511</v>
      </c>
    </row>
    <row r="183" spans="2:2" x14ac:dyDescent="0.25">
      <c r="B183" t="s">
        <v>531</v>
      </c>
    </row>
    <row r="184" spans="2:2" x14ac:dyDescent="0.25">
      <c r="B184" t="s">
        <v>512</v>
      </c>
    </row>
    <row r="185" spans="2:2" x14ac:dyDescent="0.25">
      <c r="B185" t="s">
        <v>512</v>
      </c>
    </row>
    <row r="186" spans="2:2" x14ac:dyDescent="0.25">
      <c r="B186" t="s">
        <v>512</v>
      </c>
    </row>
    <row r="187" spans="2:2" x14ac:dyDescent="0.25">
      <c r="B187" t="s">
        <v>815</v>
      </c>
    </row>
    <row r="188" spans="2:2" x14ac:dyDescent="0.25">
      <c r="B188" t="s">
        <v>767</v>
      </c>
    </row>
    <row r="189" spans="2:2" x14ac:dyDescent="0.25">
      <c r="B189" t="s">
        <v>816</v>
      </c>
    </row>
    <row r="190" spans="2:2" x14ac:dyDescent="0.25">
      <c r="B190" t="s">
        <v>686</v>
      </c>
    </row>
    <row r="191" spans="2:2" x14ac:dyDescent="0.25">
      <c r="B191" t="s">
        <v>817</v>
      </c>
    </row>
    <row r="192" spans="2:2" x14ac:dyDescent="0.25">
      <c r="B192" t="s">
        <v>818</v>
      </c>
    </row>
    <row r="193" spans="2:2" x14ac:dyDescent="0.25">
      <c r="B193" t="s">
        <v>533</v>
      </c>
    </row>
    <row r="194" spans="2:2" x14ac:dyDescent="0.25">
      <c r="B194" t="s">
        <v>503</v>
      </c>
    </row>
    <row r="195" spans="2:2" x14ac:dyDescent="0.25">
      <c r="B195" t="s">
        <v>508</v>
      </c>
    </row>
    <row r="196" spans="2:2" x14ac:dyDescent="0.25">
      <c r="B196" t="s">
        <v>817</v>
      </c>
    </row>
    <row r="197" spans="2:2" x14ac:dyDescent="0.25">
      <c r="B197" t="s">
        <v>534</v>
      </c>
    </row>
    <row r="198" spans="2:2" x14ac:dyDescent="0.25">
      <c r="B198" t="s">
        <v>701</v>
      </c>
    </row>
    <row r="199" spans="2:2" x14ac:dyDescent="0.25">
      <c r="B199" t="s">
        <v>503</v>
      </c>
    </row>
    <row r="200" spans="2:2" x14ac:dyDescent="0.25">
      <c r="B200" t="s">
        <v>508</v>
      </c>
    </row>
    <row r="201" spans="2:2" x14ac:dyDescent="0.25">
      <c r="B201" t="s">
        <v>515</v>
      </c>
    </row>
    <row r="202" spans="2:2" x14ac:dyDescent="0.25">
      <c r="B202" t="s">
        <v>512</v>
      </c>
    </row>
    <row r="203" spans="2:2" x14ac:dyDescent="0.25">
      <c r="B203" t="s">
        <v>819</v>
      </c>
    </row>
    <row r="204" spans="2:2" x14ac:dyDescent="0.25">
      <c r="B204" t="s">
        <v>702</v>
      </c>
    </row>
    <row r="205" spans="2:2" x14ac:dyDescent="0.25">
      <c r="B205" t="s">
        <v>503</v>
      </c>
    </row>
    <row r="206" spans="2:2" x14ac:dyDescent="0.25">
      <c r="B206" t="s">
        <v>511</v>
      </c>
    </row>
    <row r="207" spans="2:2" x14ac:dyDescent="0.25">
      <c r="B207" t="s">
        <v>817</v>
      </c>
    </row>
    <row r="208" spans="2:2" x14ac:dyDescent="0.25">
      <c r="B208" t="s">
        <v>512</v>
      </c>
    </row>
    <row r="209" spans="2:2" x14ac:dyDescent="0.25">
      <c r="B209" t="s">
        <v>512</v>
      </c>
    </row>
    <row r="210" spans="2:2" x14ac:dyDescent="0.25">
      <c r="B210" t="s">
        <v>820</v>
      </c>
    </row>
    <row r="211" spans="2:2" x14ac:dyDescent="0.25">
      <c r="B211" t="s">
        <v>539</v>
      </c>
    </row>
    <row r="212" spans="2:2" x14ac:dyDescent="0.25">
      <c r="B212" t="s">
        <v>816</v>
      </c>
    </row>
    <row r="213" spans="2:2" x14ac:dyDescent="0.25">
      <c r="B213" t="s">
        <v>530</v>
      </c>
    </row>
    <row r="214" spans="2:2" x14ac:dyDescent="0.25">
      <c r="B214" t="s">
        <v>515</v>
      </c>
    </row>
    <row r="215" spans="2:2" x14ac:dyDescent="0.25">
      <c r="B215" t="s">
        <v>821</v>
      </c>
    </row>
    <row r="216" spans="2:2" x14ac:dyDescent="0.25">
      <c r="B216" t="s">
        <v>664</v>
      </c>
    </row>
    <row r="217" spans="2:2" x14ac:dyDescent="0.25">
      <c r="B217" t="s">
        <v>816</v>
      </c>
    </row>
    <row r="218" spans="2:2" x14ac:dyDescent="0.25">
      <c r="B218" t="s">
        <v>511</v>
      </c>
    </row>
    <row r="219" spans="2:2" x14ac:dyDescent="0.25">
      <c r="B219" t="s">
        <v>515</v>
      </c>
    </row>
    <row r="220" spans="2:2" x14ac:dyDescent="0.25">
      <c r="B220" t="s">
        <v>512</v>
      </c>
    </row>
    <row r="221" spans="2:2" x14ac:dyDescent="0.25">
      <c r="B221" t="s">
        <v>774</v>
      </c>
    </row>
    <row r="222" spans="2:2" x14ac:dyDescent="0.25">
      <c r="B222" t="s">
        <v>665</v>
      </c>
    </row>
    <row r="223" spans="2:2" x14ac:dyDescent="0.25">
      <c r="B223" t="s">
        <v>503</v>
      </c>
    </row>
    <row r="224" spans="2:2" x14ac:dyDescent="0.25">
      <c r="B224" t="s">
        <v>530</v>
      </c>
    </row>
    <row r="225" spans="2:2" x14ac:dyDescent="0.25">
      <c r="B225" t="s">
        <v>515</v>
      </c>
    </row>
    <row r="226" spans="2:2" x14ac:dyDescent="0.25">
      <c r="B226" t="s">
        <v>512</v>
      </c>
    </row>
    <row r="227" spans="2:2" x14ac:dyDescent="0.25">
      <c r="B227" t="s">
        <v>512</v>
      </c>
    </row>
    <row r="228" spans="2:2" x14ac:dyDescent="0.25">
      <c r="B228" t="s">
        <v>512</v>
      </c>
    </row>
    <row r="229" spans="2:2" x14ac:dyDescent="0.25">
      <c r="B229" t="s">
        <v>512</v>
      </c>
    </row>
    <row r="230" spans="2:2" x14ac:dyDescent="0.25">
      <c r="B230" t="s">
        <v>541</v>
      </c>
    </row>
    <row r="231" spans="2:2" x14ac:dyDescent="0.25">
      <c r="B231" t="s">
        <v>542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4'!$B$10:$B$10" display="Best Pruned Tree Rules (Using Validation Data)" xr:uid="{C8CCCD1D-23FA-4F16-A2E2-1D8560303133}"/>
    <hyperlink ref="D4" location="'CT_FullTree4'!$B$10:$B$10" display="Fully Grown Tree Rules (Using Training Data)" xr:uid="{978C0867-B12B-469D-8853-55ADF0DBC17A}"/>
    <hyperlink ref="F4" location="'CT_MinErrorTree4'!$B$10:$B$10" display="Min Error Tree Rules (Using Validation Data)" xr:uid="{C6066A6F-32BE-4018-832F-81B616AF8CAF}"/>
    <hyperlink ref="H4" location="'CT_Output4'!$B$10:$B$10" display="Inputs" xr:uid="{01E5E0CB-FDF6-48B5-AE6A-79681C5AA4D7}"/>
    <hyperlink ref="J4" location="'CT_Output4'!$B$67:$B$67" display="Feature Importance" xr:uid="{C663AE80-C6F8-44BB-AF71-BC8A2F219798}"/>
    <hyperlink ref="B5" location="'CT_Stored4'!$B$10:$B$10" display="PMML Model" xr:uid="{3EB4B980-C0CB-443A-B699-8432803C87A3}"/>
    <hyperlink ref="D5" location="'CT_TrainingScore4'!$B$10:$B$10" display="Training: Classification Summary" xr:uid="{FE399073-4481-47B8-96F5-F71ED1CC0C07}"/>
    <hyperlink ref="F5" location="'CT_ValidationScore4'!$B$10:$B$10" display="Validation: Classification Summary" xr:uid="{D05889F4-D500-4292-B901-A971643B558B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06DE-E422-454D-97E1-5AAC416434E9}">
  <dimension ref="B1:CV365"/>
  <sheetViews>
    <sheetView showGridLines="0" topLeftCell="A12" workbookViewId="0">
      <selection activeCell="H62" sqref="H62"/>
    </sheetView>
  </sheetViews>
  <sheetFormatPr defaultRowHeight="13.2" x14ac:dyDescent="0.25"/>
  <cols>
    <col min="3" max="3" width="11.5546875" customWidth="1"/>
    <col min="4" max="4" width="11.77734375" customWidth="1"/>
    <col min="5" max="5" width="17" customWidth="1"/>
    <col min="6" max="6" width="19.6640625" customWidth="1"/>
    <col min="7" max="7" width="13.88671875" customWidth="1"/>
    <col min="8" max="8" width="22.6640625" customWidth="1"/>
    <col min="9" max="9" width="20.33203125" customWidth="1"/>
    <col min="10" max="10" width="29.109375" bestFit="1" customWidth="1"/>
    <col min="11" max="11" width="19.88671875" customWidth="1"/>
    <col min="12" max="12" width="29.88671875" customWidth="1"/>
    <col min="13" max="13" width="25.33203125" customWidth="1"/>
    <col min="14" max="14" width="23.77734375" customWidth="1"/>
    <col min="15" max="15" width="14" customWidth="1"/>
    <col min="16" max="16" width="23.109375" customWidth="1"/>
    <col min="17" max="17" width="16.6640625" customWidth="1"/>
  </cols>
  <sheetData>
    <row r="1" spans="2:100" ht="18" x14ac:dyDescent="0.35">
      <c r="B1" s="12" t="s">
        <v>403</v>
      </c>
      <c r="N1" t="s">
        <v>708</v>
      </c>
      <c r="CV1" s="19" t="s">
        <v>709</v>
      </c>
    </row>
    <row r="3" spans="2:100" ht="15.6" x14ac:dyDescent="0.3">
      <c r="B3" s="21" t="s">
        <v>30</v>
      </c>
      <c r="C3" s="22"/>
      <c r="D3" s="22"/>
      <c r="E3" s="22"/>
      <c r="F3" s="22"/>
      <c r="G3" s="23"/>
      <c r="J3" s="21" t="s">
        <v>53</v>
      </c>
      <c r="K3" s="22"/>
      <c r="L3" s="22"/>
      <c r="M3" s="23"/>
    </row>
    <row r="4" spans="2:100" ht="13.8" x14ac:dyDescent="0.3">
      <c r="B4" s="20" t="s">
        <v>31</v>
      </c>
      <c r="C4" s="20"/>
      <c r="D4" s="20" t="s">
        <v>404</v>
      </c>
      <c r="E4" s="20"/>
      <c r="F4" s="20" t="s">
        <v>415</v>
      </c>
      <c r="G4" s="20"/>
      <c r="J4" s="18" t="s">
        <v>54</v>
      </c>
      <c r="K4" s="18" t="s">
        <v>55</v>
      </c>
      <c r="L4" s="18" t="s">
        <v>56</v>
      </c>
      <c r="M4" s="18" t="s">
        <v>57</v>
      </c>
    </row>
    <row r="5" spans="2:100" ht="13.8" x14ac:dyDescent="0.3">
      <c r="J5" s="16">
        <v>145</v>
      </c>
      <c r="K5" s="16">
        <v>7</v>
      </c>
      <c r="L5" s="16">
        <v>7</v>
      </c>
      <c r="M5" s="16">
        <v>159</v>
      </c>
    </row>
    <row r="10" spans="2:100" ht="18" x14ac:dyDescent="0.35">
      <c r="B10" s="13" t="s">
        <v>31</v>
      </c>
    </row>
    <row r="12" spans="2:100" ht="15.6" x14ac:dyDescent="0.3">
      <c r="C12" s="28" t="s">
        <v>33</v>
      </c>
      <c r="D12" s="28"/>
      <c r="E12" s="28"/>
      <c r="F12" s="28"/>
      <c r="G12" s="28"/>
      <c r="H12" s="28"/>
      <c r="I12" s="28"/>
    </row>
    <row r="13" spans="2:100" ht="13.8" x14ac:dyDescent="0.3">
      <c r="C13" s="24" t="s">
        <v>34</v>
      </c>
      <c r="D13" s="24"/>
      <c r="E13" s="25"/>
      <c r="F13" s="29" t="s">
        <v>48</v>
      </c>
      <c r="G13" s="29"/>
      <c r="H13" s="29"/>
      <c r="I13" s="29"/>
    </row>
    <row r="14" spans="2:100" ht="13.8" x14ac:dyDescent="0.3">
      <c r="C14" s="24" t="s">
        <v>35</v>
      </c>
      <c r="D14" s="24"/>
      <c r="E14" s="25"/>
      <c r="F14" s="29" t="s">
        <v>410</v>
      </c>
      <c r="G14" s="29"/>
      <c r="H14" s="29"/>
      <c r="I14" s="29"/>
    </row>
    <row r="15" spans="2:100" ht="13.8" x14ac:dyDescent="0.3">
      <c r="C15" s="24" t="s">
        <v>36</v>
      </c>
      <c r="D15" s="24"/>
      <c r="E15" s="25"/>
      <c r="F15" s="29" t="s">
        <v>411</v>
      </c>
      <c r="G15" s="29"/>
      <c r="H15" s="29"/>
      <c r="I15" s="29"/>
    </row>
    <row r="16" spans="2:100" ht="13.8" x14ac:dyDescent="0.3">
      <c r="C16" s="24" t="s">
        <v>37</v>
      </c>
      <c r="D16" s="24"/>
      <c r="E16" s="25"/>
      <c r="F16" s="27">
        <v>329</v>
      </c>
      <c r="G16" s="27"/>
      <c r="H16" s="27"/>
      <c r="I16" s="27"/>
    </row>
    <row r="18" spans="2:19" ht="15.6" x14ac:dyDescent="0.3">
      <c r="C18" s="28" t="s">
        <v>38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</row>
    <row r="19" spans="2:19" ht="13.8" x14ac:dyDescent="0.3">
      <c r="C19" s="24" t="s">
        <v>39</v>
      </c>
      <c r="D19" s="24"/>
      <c r="E19" s="25"/>
      <c r="F19" s="27">
        <v>14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</row>
    <row r="20" spans="2:19" ht="13.8" x14ac:dyDescent="0.3">
      <c r="C20" s="24" t="s">
        <v>40</v>
      </c>
      <c r="D20" s="24"/>
      <c r="E20" s="25"/>
      <c r="F20" s="16" t="s">
        <v>0</v>
      </c>
      <c r="G20" s="16" t="s">
        <v>61</v>
      </c>
      <c r="H20" s="16" t="s">
        <v>62</v>
      </c>
      <c r="I20" s="16" t="s">
        <v>63</v>
      </c>
      <c r="J20" s="16" t="s">
        <v>64</v>
      </c>
      <c r="K20" s="16" t="s">
        <v>65</v>
      </c>
      <c r="L20" s="16" t="s">
        <v>66</v>
      </c>
      <c r="M20" s="16" t="s">
        <v>67</v>
      </c>
      <c r="N20" s="16" t="s">
        <v>68</v>
      </c>
      <c r="O20" s="16" t="s">
        <v>69</v>
      </c>
      <c r="P20" s="16" t="s">
        <v>70</v>
      </c>
      <c r="Q20" s="16" t="s">
        <v>71</v>
      </c>
      <c r="R20" s="16" t="s">
        <v>72</v>
      </c>
      <c r="S20" s="16" t="s">
        <v>73</v>
      </c>
    </row>
    <row r="22" spans="2:19" ht="15.6" x14ac:dyDescent="0.3">
      <c r="C22" s="28" t="s">
        <v>405</v>
      </c>
      <c r="D22" s="28"/>
      <c r="E22" s="28"/>
      <c r="F22" s="28"/>
      <c r="G22" s="28"/>
      <c r="H22" s="28"/>
      <c r="I22" s="28"/>
    </row>
    <row r="23" spans="2:19" ht="13.8" x14ac:dyDescent="0.3">
      <c r="C23" s="24" t="s">
        <v>406</v>
      </c>
      <c r="D23" s="24"/>
      <c r="E23" s="25"/>
      <c r="F23" s="27" t="s">
        <v>412</v>
      </c>
      <c r="G23" s="27"/>
      <c r="H23" s="27"/>
      <c r="I23" s="27"/>
    </row>
    <row r="24" spans="2:19" ht="13.8" x14ac:dyDescent="0.3">
      <c r="C24" s="24" t="s">
        <v>407</v>
      </c>
      <c r="D24" s="24"/>
      <c r="E24" s="25"/>
      <c r="F24" s="27">
        <v>12345</v>
      </c>
      <c r="G24" s="27"/>
      <c r="H24" s="27"/>
      <c r="I24" s="27"/>
    </row>
    <row r="25" spans="2:19" ht="13.8" x14ac:dyDescent="0.3">
      <c r="C25" s="24" t="s">
        <v>408</v>
      </c>
      <c r="D25" s="24"/>
      <c r="E25" s="25"/>
      <c r="F25" s="27">
        <v>0.8</v>
      </c>
      <c r="G25" s="27"/>
      <c r="H25" s="27"/>
      <c r="I25" s="27"/>
    </row>
    <row r="26" spans="2:19" ht="13.8" x14ac:dyDescent="0.3">
      <c r="C26" s="24" t="s">
        <v>409</v>
      </c>
      <c r="D26" s="24"/>
      <c r="E26" s="25"/>
      <c r="F26" s="27">
        <v>0.2</v>
      </c>
      <c r="G26" s="27"/>
      <c r="H26" s="27"/>
      <c r="I26" s="27"/>
    </row>
    <row r="28" spans="2:19" ht="18" x14ac:dyDescent="0.35">
      <c r="B28" s="13" t="s">
        <v>404</v>
      </c>
    </row>
    <row r="30" spans="2:19" x14ac:dyDescent="0.25">
      <c r="C30" s="15" t="s">
        <v>416</v>
      </c>
      <c r="D30" t="s">
        <v>417</v>
      </c>
    </row>
    <row r="31" spans="2:19" x14ac:dyDescent="0.25">
      <c r="C31" s="15" t="s">
        <v>418</v>
      </c>
      <c r="D31">
        <v>263</v>
      </c>
    </row>
    <row r="32" spans="2:19" x14ac:dyDescent="0.25">
      <c r="C32" s="15" t="s">
        <v>419</v>
      </c>
      <c r="D32">
        <v>66</v>
      </c>
    </row>
    <row r="34" spans="2:17" ht="18" x14ac:dyDescent="0.35">
      <c r="B34" s="13" t="s">
        <v>415</v>
      </c>
    </row>
    <row r="36" spans="2:17" x14ac:dyDescent="0.25">
      <c r="C36" s="15" t="s">
        <v>60</v>
      </c>
      <c r="D36" t="s">
        <v>0</v>
      </c>
      <c r="E36" t="s">
        <v>61</v>
      </c>
      <c r="F36" t="s">
        <v>62</v>
      </c>
      <c r="G36" t="s">
        <v>63</v>
      </c>
      <c r="H36" t="s">
        <v>64</v>
      </c>
      <c r="I36" t="s">
        <v>65</v>
      </c>
      <c r="J36" t="s">
        <v>66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</row>
    <row r="37" spans="2:17" x14ac:dyDescent="0.25">
      <c r="C37" s="15" t="s">
        <v>74</v>
      </c>
      <c r="D37" s="14" t="s">
        <v>13</v>
      </c>
      <c r="E37" s="14">
        <v>14.23</v>
      </c>
      <c r="F37" s="14">
        <v>1.71</v>
      </c>
      <c r="G37" s="14">
        <v>2.4300000000000002</v>
      </c>
      <c r="H37" s="14">
        <v>15.6</v>
      </c>
      <c r="I37" s="14">
        <v>127</v>
      </c>
      <c r="J37" s="14">
        <v>2.7999999999999901</v>
      </c>
      <c r="K37" s="14">
        <v>3.06</v>
      </c>
      <c r="L37" s="14">
        <v>0.28000000000000003</v>
      </c>
      <c r="M37" s="14">
        <v>2.29</v>
      </c>
      <c r="N37" s="14">
        <v>5.6399999999999899</v>
      </c>
      <c r="O37" s="14">
        <v>1.04</v>
      </c>
      <c r="P37" s="14">
        <v>3.9199999999999902</v>
      </c>
      <c r="Q37">
        <v>1065</v>
      </c>
    </row>
    <row r="38" spans="2:17" x14ac:dyDescent="0.25">
      <c r="C38" s="15" t="s">
        <v>75</v>
      </c>
      <c r="D38" s="14" t="s">
        <v>13</v>
      </c>
      <c r="E38" s="14">
        <v>13.1999999999999</v>
      </c>
      <c r="F38" s="14">
        <v>1.78</v>
      </c>
      <c r="G38" s="14">
        <v>2.14</v>
      </c>
      <c r="H38" s="14">
        <v>11.1999999999999</v>
      </c>
      <c r="I38" s="14">
        <v>100</v>
      </c>
      <c r="J38" s="14">
        <v>2.6499999999999901</v>
      </c>
      <c r="K38" s="14">
        <v>2.75999999999999</v>
      </c>
      <c r="L38" s="14">
        <v>0.26</v>
      </c>
      <c r="M38" s="14">
        <v>1.28</v>
      </c>
      <c r="N38" s="14">
        <v>4.3799999999999901</v>
      </c>
      <c r="O38" s="14">
        <v>1.05</v>
      </c>
      <c r="P38" s="14">
        <v>3.3999999999999901</v>
      </c>
      <c r="Q38">
        <v>1050</v>
      </c>
    </row>
    <row r="39" spans="2:17" x14ac:dyDescent="0.25">
      <c r="C39" s="15" t="s">
        <v>78</v>
      </c>
      <c r="D39" s="14" t="s">
        <v>13</v>
      </c>
      <c r="E39" s="14">
        <v>13.24</v>
      </c>
      <c r="F39" s="14">
        <v>2.5899999999999901</v>
      </c>
      <c r="G39" s="14">
        <v>2.87</v>
      </c>
      <c r="H39" s="14">
        <v>21</v>
      </c>
      <c r="I39" s="14">
        <v>118</v>
      </c>
      <c r="J39" s="14">
        <v>2.7999999999999901</v>
      </c>
      <c r="K39" s="14">
        <v>2.6899999999999902</v>
      </c>
      <c r="L39" s="14">
        <v>0.39</v>
      </c>
      <c r="M39" s="14">
        <v>1.82</v>
      </c>
      <c r="N39" s="14">
        <v>4.32</v>
      </c>
      <c r="O39" s="14">
        <v>1.04</v>
      </c>
      <c r="P39" s="14">
        <v>2.93</v>
      </c>
      <c r="Q39">
        <v>735</v>
      </c>
    </row>
    <row r="40" spans="2:17" x14ac:dyDescent="0.25">
      <c r="C40" s="15" t="s">
        <v>81</v>
      </c>
      <c r="D40" s="14" t="s">
        <v>13</v>
      </c>
      <c r="E40" s="14">
        <v>14.06</v>
      </c>
      <c r="F40" s="14">
        <v>2.1499999999999901</v>
      </c>
      <c r="G40" s="14">
        <v>2.6099999999999901</v>
      </c>
      <c r="H40" s="14">
        <v>17.600000000000001</v>
      </c>
      <c r="I40" s="14">
        <v>121</v>
      </c>
      <c r="J40" s="14">
        <v>2.6</v>
      </c>
      <c r="K40" s="14">
        <v>2.50999999999999</v>
      </c>
      <c r="L40" s="14">
        <v>0.31</v>
      </c>
      <c r="M40" s="14">
        <v>1.25</v>
      </c>
      <c r="N40" s="14">
        <v>5.0499999999999901</v>
      </c>
      <c r="O40" s="14">
        <v>1.06</v>
      </c>
      <c r="P40" s="14">
        <v>3.58</v>
      </c>
      <c r="Q40">
        <v>1295</v>
      </c>
    </row>
    <row r="41" spans="2:17" x14ac:dyDescent="0.25">
      <c r="C41" s="15" t="s">
        <v>84</v>
      </c>
      <c r="D41" s="14" t="s">
        <v>13</v>
      </c>
      <c r="E41" s="14">
        <v>14.1</v>
      </c>
      <c r="F41" s="14">
        <v>2.16</v>
      </c>
      <c r="G41" s="14">
        <v>2.2999999999999901</v>
      </c>
      <c r="H41" s="14">
        <v>18</v>
      </c>
      <c r="I41" s="14">
        <v>105</v>
      </c>
      <c r="J41" s="14">
        <v>2.95</v>
      </c>
      <c r="K41" s="14">
        <v>3.3199999999999901</v>
      </c>
      <c r="L41" s="14">
        <v>0.22</v>
      </c>
      <c r="M41" s="14">
        <v>2.3799999999999901</v>
      </c>
      <c r="N41" s="14">
        <v>5.75</v>
      </c>
      <c r="O41" s="14">
        <v>1.25</v>
      </c>
      <c r="P41" s="14">
        <v>3.1699999999999902</v>
      </c>
      <c r="Q41">
        <v>1510</v>
      </c>
    </row>
    <row r="42" spans="2:17" x14ac:dyDescent="0.25">
      <c r="C42" s="15" t="s">
        <v>85</v>
      </c>
      <c r="D42" s="14" t="s">
        <v>13</v>
      </c>
      <c r="E42" s="14">
        <v>14.1199999999999</v>
      </c>
      <c r="F42" s="14">
        <v>1.48</v>
      </c>
      <c r="G42" s="14">
        <v>2.3199999999999901</v>
      </c>
      <c r="H42" s="14">
        <v>16.8</v>
      </c>
      <c r="I42" s="14">
        <v>95</v>
      </c>
      <c r="J42" s="14">
        <v>2.2000000000000002</v>
      </c>
      <c r="K42" s="14">
        <v>2.4300000000000002</v>
      </c>
      <c r="L42" s="14">
        <v>0.26</v>
      </c>
      <c r="M42" s="14">
        <v>1.57</v>
      </c>
      <c r="N42" s="14">
        <v>5</v>
      </c>
      <c r="O42" s="14">
        <v>1.1699999999999899</v>
      </c>
      <c r="P42" s="14">
        <v>2.8199999999999901</v>
      </c>
      <c r="Q42">
        <v>1280</v>
      </c>
    </row>
    <row r="43" spans="2:17" x14ac:dyDescent="0.25">
      <c r="C43" s="15" t="s">
        <v>88</v>
      </c>
      <c r="D43" s="14" t="s">
        <v>13</v>
      </c>
      <c r="E43" s="14">
        <v>14.38</v>
      </c>
      <c r="F43" s="14">
        <v>1.87</v>
      </c>
      <c r="G43" s="14">
        <v>2.3799999999999901</v>
      </c>
      <c r="H43" s="14">
        <v>12</v>
      </c>
      <c r="I43" s="14">
        <v>102</v>
      </c>
      <c r="J43" s="14">
        <v>3.2999999999999901</v>
      </c>
      <c r="K43" s="14">
        <v>3.64</v>
      </c>
      <c r="L43" s="14">
        <v>0.28999999999999898</v>
      </c>
      <c r="M43" s="14">
        <v>2.96</v>
      </c>
      <c r="N43" s="14">
        <v>7.5</v>
      </c>
      <c r="O43" s="14">
        <v>1.2</v>
      </c>
      <c r="P43" s="14">
        <v>3</v>
      </c>
      <c r="Q43">
        <v>1547</v>
      </c>
    </row>
    <row r="44" spans="2:17" x14ac:dyDescent="0.25">
      <c r="C44" s="15" t="s">
        <v>89</v>
      </c>
      <c r="D44" s="14" t="s">
        <v>13</v>
      </c>
      <c r="E44" s="14">
        <v>13.63</v>
      </c>
      <c r="F44" s="14">
        <v>1.81</v>
      </c>
      <c r="G44" s="14">
        <v>2.7</v>
      </c>
      <c r="H44" s="14">
        <v>17.1999999999999</v>
      </c>
      <c r="I44" s="14">
        <v>112</v>
      </c>
      <c r="J44" s="14">
        <v>2.85</v>
      </c>
      <c r="K44" s="14">
        <v>2.91</v>
      </c>
      <c r="L44" s="14">
        <v>0.29999999999999899</v>
      </c>
      <c r="M44" s="14">
        <v>1.46</v>
      </c>
      <c r="N44" s="14">
        <v>7.2999999999999901</v>
      </c>
      <c r="O44" s="14">
        <v>1.28</v>
      </c>
      <c r="P44" s="14">
        <v>2.8799999999999901</v>
      </c>
      <c r="Q44">
        <v>1310</v>
      </c>
    </row>
    <row r="45" spans="2:17" x14ac:dyDescent="0.25">
      <c r="C45" s="15" t="s">
        <v>91</v>
      </c>
      <c r="D45" s="14" t="s">
        <v>13</v>
      </c>
      <c r="E45" s="14">
        <v>13.83</v>
      </c>
      <c r="F45" s="14">
        <v>1.57</v>
      </c>
      <c r="G45" s="14">
        <v>2.62</v>
      </c>
      <c r="H45" s="14">
        <v>20</v>
      </c>
      <c r="I45" s="14">
        <v>115</v>
      </c>
      <c r="J45" s="14">
        <v>2.95</v>
      </c>
      <c r="K45" s="14">
        <v>3.3999999999999901</v>
      </c>
      <c r="L45" s="14">
        <v>0.4</v>
      </c>
      <c r="M45" s="14">
        <v>1.72</v>
      </c>
      <c r="N45" s="14">
        <v>6.5999999999999899</v>
      </c>
      <c r="O45" s="14">
        <v>1.1299999999999899</v>
      </c>
      <c r="P45" s="14">
        <v>2.5699999999999901</v>
      </c>
      <c r="Q45">
        <v>1130</v>
      </c>
    </row>
    <row r="46" spans="2:17" x14ac:dyDescent="0.25">
      <c r="C46" s="15" t="s">
        <v>93</v>
      </c>
      <c r="D46" s="14" t="s">
        <v>13</v>
      </c>
      <c r="E46" s="14">
        <v>13.64</v>
      </c>
      <c r="F46" s="14">
        <v>3.1</v>
      </c>
      <c r="G46" s="14">
        <v>2.56</v>
      </c>
      <c r="H46" s="14">
        <v>15.1999999999999</v>
      </c>
      <c r="I46" s="14">
        <v>116</v>
      </c>
      <c r="J46" s="14">
        <v>2.7</v>
      </c>
      <c r="K46" s="14">
        <v>3.02999999999999</v>
      </c>
      <c r="L46" s="14">
        <v>0.17</v>
      </c>
      <c r="M46" s="14">
        <v>1.6599999999999899</v>
      </c>
      <c r="N46" s="14">
        <v>5.0999999999999899</v>
      </c>
      <c r="O46" s="14">
        <v>0.95999999999999897</v>
      </c>
      <c r="P46" s="14">
        <v>3.3599999999999901</v>
      </c>
      <c r="Q46">
        <v>845</v>
      </c>
    </row>
    <row r="47" spans="2:17" x14ac:dyDescent="0.25">
      <c r="C47" s="15" t="s">
        <v>94</v>
      </c>
      <c r="D47" s="14" t="s">
        <v>13</v>
      </c>
      <c r="E47" s="14">
        <v>14.06</v>
      </c>
      <c r="F47" s="14">
        <v>1.6299999999999899</v>
      </c>
      <c r="G47" s="14">
        <v>2.27999999999999</v>
      </c>
      <c r="H47" s="14">
        <v>16</v>
      </c>
      <c r="I47" s="14">
        <v>126</v>
      </c>
      <c r="J47" s="14">
        <v>3</v>
      </c>
      <c r="K47" s="14">
        <v>3.1699999999999902</v>
      </c>
      <c r="L47" s="14">
        <v>0.23999999999999899</v>
      </c>
      <c r="M47" s="14">
        <v>2.1</v>
      </c>
      <c r="N47" s="14">
        <v>5.65</v>
      </c>
      <c r="O47" s="14">
        <v>1.0900000000000001</v>
      </c>
      <c r="P47" s="14">
        <v>3.71</v>
      </c>
      <c r="Q47">
        <v>780</v>
      </c>
    </row>
    <row r="48" spans="2:17" x14ac:dyDescent="0.25">
      <c r="C48" s="15" t="s">
        <v>95</v>
      </c>
      <c r="D48" s="14" t="s">
        <v>13</v>
      </c>
      <c r="E48" s="14">
        <v>12.93</v>
      </c>
      <c r="F48" s="14">
        <v>3.7999999999999901</v>
      </c>
      <c r="G48" s="14">
        <v>2.6499999999999901</v>
      </c>
      <c r="H48" s="14">
        <v>18.600000000000001</v>
      </c>
      <c r="I48" s="14">
        <v>102</v>
      </c>
      <c r="J48" s="14">
        <v>2.41</v>
      </c>
      <c r="K48" s="14">
        <v>2.41</v>
      </c>
      <c r="L48" s="14">
        <v>0.25</v>
      </c>
      <c r="M48" s="14">
        <v>1.98</v>
      </c>
      <c r="N48" s="14">
        <v>4.5</v>
      </c>
      <c r="O48" s="14">
        <v>1.03</v>
      </c>
      <c r="P48" s="14">
        <v>3.52</v>
      </c>
      <c r="Q48">
        <v>770</v>
      </c>
    </row>
    <row r="49" spans="3:17" x14ac:dyDescent="0.25">
      <c r="C49" s="15" t="s">
        <v>96</v>
      </c>
      <c r="D49" s="14" t="s">
        <v>13</v>
      </c>
      <c r="E49" s="14">
        <v>13.71</v>
      </c>
      <c r="F49" s="14">
        <v>1.86</v>
      </c>
      <c r="G49" s="14">
        <v>2.3599999999999901</v>
      </c>
      <c r="H49" s="14">
        <v>16.600000000000001</v>
      </c>
      <c r="I49" s="14">
        <v>101</v>
      </c>
      <c r="J49" s="14">
        <v>2.6099999999999901</v>
      </c>
      <c r="K49" s="14">
        <v>2.8799999999999901</v>
      </c>
      <c r="L49" s="14">
        <v>0.27</v>
      </c>
      <c r="M49" s="14">
        <v>1.68999999999999</v>
      </c>
      <c r="N49" s="14">
        <v>3.7999999999999901</v>
      </c>
      <c r="O49" s="14">
        <v>1.1100000000000001</v>
      </c>
      <c r="P49" s="14">
        <v>4</v>
      </c>
      <c r="Q49">
        <v>1035</v>
      </c>
    </row>
    <row r="50" spans="3:17" x14ac:dyDescent="0.25">
      <c r="C50" s="15" t="s">
        <v>97</v>
      </c>
      <c r="D50" s="14" t="s">
        <v>13</v>
      </c>
      <c r="E50" s="14">
        <v>12.85</v>
      </c>
      <c r="F50" s="14">
        <v>1.6</v>
      </c>
      <c r="G50" s="14">
        <v>2.52</v>
      </c>
      <c r="H50" s="14">
        <v>17.8</v>
      </c>
      <c r="I50" s="14">
        <v>95</v>
      </c>
      <c r="J50" s="14">
        <v>2.48</v>
      </c>
      <c r="K50" s="14">
        <v>2.37</v>
      </c>
      <c r="L50" s="14">
        <v>0.26</v>
      </c>
      <c r="M50" s="14">
        <v>1.46</v>
      </c>
      <c r="N50" s="14">
        <v>3.93</v>
      </c>
      <c r="O50" s="14">
        <v>1.0900000000000001</v>
      </c>
      <c r="P50" s="14">
        <v>3.6299999999999901</v>
      </c>
      <c r="Q50">
        <v>1015</v>
      </c>
    </row>
    <row r="51" spans="3:17" x14ac:dyDescent="0.25">
      <c r="C51" s="15" t="s">
        <v>98</v>
      </c>
      <c r="D51" s="14" t="s">
        <v>13</v>
      </c>
      <c r="E51" s="14">
        <v>13.5</v>
      </c>
      <c r="F51" s="14">
        <v>1.81</v>
      </c>
      <c r="G51" s="14">
        <v>2.6099999999999901</v>
      </c>
      <c r="H51" s="14">
        <v>20</v>
      </c>
      <c r="I51" s="14">
        <v>96</v>
      </c>
      <c r="J51" s="14">
        <v>2.52999999999999</v>
      </c>
      <c r="K51" s="14">
        <v>2.6099999999999901</v>
      </c>
      <c r="L51" s="14">
        <v>0.28000000000000003</v>
      </c>
      <c r="M51" s="14">
        <v>1.6599999999999899</v>
      </c>
      <c r="N51" s="14">
        <v>3.52</v>
      </c>
      <c r="O51" s="14">
        <v>1.1200000000000001</v>
      </c>
      <c r="P51" s="14">
        <v>3.8199999999999901</v>
      </c>
      <c r="Q51">
        <v>845</v>
      </c>
    </row>
    <row r="52" spans="3:17" x14ac:dyDescent="0.25">
      <c r="C52" s="15" t="s">
        <v>99</v>
      </c>
      <c r="D52" s="14" t="s">
        <v>13</v>
      </c>
      <c r="E52" s="14">
        <v>13.05</v>
      </c>
      <c r="F52" s="14">
        <v>2.0499999999999901</v>
      </c>
      <c r="G52" s="14">
        <v>3.22</v>
      </c>
      <c r="H52" s="14">
        <v>25</v>
      </c>
      <c r="I52" s="14">
        <v>124</v>
      </c>
      <c r="J52" s="14">
        <v>2.6299999999999901</v>
      </c>
      <c r="K52" s="14">
        <v>2.68</v>
      </c>
      <c r="L52" s="14">
        <v>0.46999999999999897</v>
      </c>
      <c r="M52" s="14">
        <v>1.9199999999999899</v>
      </c>
      <c r="N52" s="14">
        <v>3.58</v>
      </c>
      <c r="O52" s="14">
        <v>1.1299999999999899</v>
      </c>
      <c r="P52" s="14">
        <v>3.2</v>
      </c>
      <c r="Q52">
        <v>830</v>
      </c>
    </row>
    <row r="53" spans="3:17" x14ac:dyDescent="0.25">
      <c r="C53" s="15" t="s">
        <v>101</v>
      </c>
      <c r="D53" s="14" t="s">
        <v>13</v>
      </c>
      <c r="E53" s="14">
        <v>13.3</v>
      </c>
      <c r="F53" s="14">
        <v>1.72</v>
      </c>
      <c r="G53" s="14">
        <v>2.14</v>
      </c>
      <c r="H53" s="14">
        <v>17</v>
      </c>
      <c r="I53" s="14">
        <v>94</v>
      </c>
      <c r="J53" s="14">
        <v>2.3999999999999901</v>
      </c>
      <c r="K53" s="14">
        <v>2.1899999999999902</v>
      </c>
      <c r="L53" s="14">
        <v>0.27</v>
      </c>
      <c r="M53" s="14">
        <v>1.35</v>
      </c>
      <c r="N53" s="14">
        <v>3.95</v>
      </c>
      <c r="O53" s="14">
        <v>1.02</v>
      </c>
      <c r="P53" s="14">
        <v>2.77</v>
      </c>
      <c r="Q53">
        <v>1285</v>
      </c>
    </row>
    <row r="54" spans="3:17" x14ac:dyDescent="0.25">
      <c r="C54" s="15" t="s">
        <v>102</v>
      </c>
      <c r="D54" s="14" t="s">
        <v>13</v>
      </c>
      <c r="E54" s="14">
        <v>13.8699999999999</v>
      </c>
      <c r="F54" s="14">
        <v>1.8999999999999899</v>
      </c>
      <c r="G54" s="14">
        <v>2.7999999999999901</v>
      </c>
      <c r="H54" s="14">
        <v>19.399999999999899</v>
      </c>
      <c r="I54" s="14">
        <v>107</v>
      </c>
      <c r="J54" s="14">
        <v>2.95</v>
      </c>
      <c r="K54" s="14">
        <v>2.97</v>
      </c>
      <c r="L54" s="14">
        <v>0.37</v>
      </c>
      <c r="M54" s="14">
        <v>1.76</v>
      </c>
      <c r="N54" s="14">
        <v>4.5</v>
      </c>
      <c r="O54" s="14">
        <v>1.25</v>
      </c>
      <c r="P54" s="14">
        <v>3.3999999999999901</v>
      </c>
      <c r="Q54">
        <v>915</v>
      </c>
    </row>
    <row r="55" spans="3:17" x14ac:dyDescent="0.25">
      <c r="C55" s="15" t="s">
        <v>105</v>
      </c>
      <c r="D55" s="14" t="s">
        <v>13</v>
      </c>
      <c r="E55" s="14">
        <v>13.58</v>
      </c>
      <c r="F55" s="14">
        <v>1.6599999999999899</v>
      </c>
      <c r="G55" s="14">
        <v>2.3599999999999901</v>
      </c>
      <c r="H55" s="14">
        <v>19.100000000000001</v>
      </c>
      <c r="I55" s="14">
        <v>106</v>
      </c>
      <c r="J55" s="14">
        <v>2.8599999999999901</v>
      </c>
      <c r="K55" s="14">
        <v>3.1899999999999902</v>
      </c>
      <c r="L55" s="14">
        <v>0.22</v>
      </c>
      <c r="M55" s="14">
        <v>1.95</v>
      </c>
      <c r="N55" s="14">
        <v>6.9</v>
      </c>
      <c r="O55" s="14">
        <v>1.0900000000000001</v>
      </c>
      <c r="P55" s="14">
        <v>2.8799999999999901</v>
      </c>
      <c r="Q55">
        <v>1515</v>
      </c>
    </row>
    <row r="56" spans="3:17" x14ac:dyDescent="0.25">
      <c r="C56" s="15" t="s">
        <v>106</v>
      </c>
      <c r="D56" s="14" t="s">
        <v>13</v>
      </c>
      <c r="E56" s="14">
        <v>13.68</v>
      </c>
      <c r="F56" s="14">
        <v>1.83</v>
      </c>
      <c r="G56" s="14">
        <v>2.3599999999999901</v>
      </c>
      <c r="H56" s="14">
        <v>17.1999999999999</v>
      </c>
      <c r="I56" s="14">
        <v>104</v>
      </c>
      <c r="J56" s="14">
        <v>2.4199999999999902</v>
      </c>
      <c r="K56" s="14">
        <v>2.6899999999999902</v>
      </c>
      <c r="L56" s="14">
        <v>0.41999999999999899</v>
      </c>
      <c r="M56" s="14">
        <v>1.97</v>
      </c>
      <c r="N56" s="14">
        <v>3.8399999999999901</v>
      </c>
      <c r="O56" s="14">
        <v>1.23</v>
      </c>
      <c r="P56" s="14">
        <v>2.87</v>
      </c>
      <c r="Q56">
        <v>990</v>
      </c>
    </row>
    <row r="57" spans="3:17" x14ac:dyDescent="0.25">
      <c r="C57" s="15" t="s">
        <v>108</v>
      </c>
      <c r="D57" s="14" t="s">
        <v>13</v>
      </c>
      <c r="E57" s="14">
        <v>13.51</v>
      </c>
      <c r="F57" s="14">
        <v>1.8</v>
      </c>
      <c r="G57" s="14">
        <v>2.6499999999999901</v>
      </c>
      <c r="H57" s="14">
        <v>19</v>
      </c>
      <c r="I57" s="14">
        <v>110</v>
      </c>
      <c r="J57" s="14">
        <v>2.35</v>
      </c>
      <c r="K57" s="14">
        <v>2.52999999999999</v>
      </c>
      <c r="L57" s="14">
        <v>0.28999999999999898</v>
      </c>
      <c r="M57" s="14">
        <v>1.54</v>
      </c>
      <c r="N57" s="14">
        <v>4.2</v>
      </c>
      <c r="O57" s="14">
        <v>1.1000000000000001</v>
      </c>
      <c r="P57" s="14">
        <v>2.87</v>
      </c>
      <c r="Q57">
        <v>1095</v>
      </c>
    </row>
    <row r="58" spans="3:17" x14ac:dyDescent="0.25">
      <c r="C58" s="15" t="s">
        <v>110</v>
      </c>
      <c r="D58" s="14" t="s">
        <v>13</v>
      </c>
      <c r="E58" s="14">
        <v>13.2799999999999</v>
      </c>
      <c r="F58" s="14">
        <v>1.6399999999999899</v>
      </c>
      <c r="G58" s="14">
        <v>2.8399999999999901</v>
      </c>
      <c r="H58" s="14">
        <v>15.5</v>
      </c>
      <c r="I58" s="14">
        <v>110</v>
      </c>
      <c r="J58" s="14">
        <v>2.6</v>
      </c>
      <c r="K58" s="14">
        <v>2.68</v>
      </c>
      <c r="L58" s="14">
        <v>0.34</v>
      </c>
      <c r="M58" s="14">
        <v>1.36</v>
      </c>
      <c r="N58" s="14">
        <v>4.5999999999999899</v>
      </c>
      <c r="O58" s="14">
        <v>1.0900000000000001</v>
      </c>
      <c r="P58" s="14">
        <v>2.77999999999999</v>
      </c>
      <c r="Q58">
        <v>880</v>
      </c>
    </row>
    <row r="59" spans="3:17" x14ac:dyDescent="0.25">
      <c r="C59" s="15" t="s">
        <v>112</v>
      </c>
      <c r="D59" s="14" t="s">
        <v>13</v>
      </c>
      <c r="E59" s="14">
        <v>13.07</v>
      </c>
      <c r="F59" s="14">
        <v>1.5</v>
      </c>
      <c r="G59" s="14">
        <v>2.1</v>
      </c>
      <c r="H59" s="14">
        <v>15.5</v>
      </c>
      <c r="I59" s="14">
        <v>98</v>
      </c>
      <c r="J59" s="14">
        <v>2.3999999999999901</v>
      </c>
      <c r="K59" s="14">
        <v>2.64</v>
      </c>
      <c r="L59" s="14">
        <v>0.28000000000000003</v>
      </c>
      <c r="M59" s="14">
        <v>1.37</v>
      </c>
      <c r="N59" s="14">
        <v>3.7</v>
      </c>
      <c r="O59" s="14">
        <v>1.1799999999999899</v>
      </c>
      <c r="P59" s="14">
        <v>2.6899999999999902</v>
      </c>
      <c r="Q59">
        <v>1020</v>
      </c>
    </row>
    <row r="60" spans="3:17" x14ac:dyDescent="0.25">
      <c r="C60" s="15" t="s">
        <v>114</v>
      </c>
      <c r="D60" s="14" t="s">
        <v>13</v>
      </c>
      <c r="E60" s="14">
        <v>13.56</v>
      </c>
      <c r="F60" s="14">
        <v>1.71</v>
      </c>
      <c r="G60" s="14">
        <v>2.31</v>
      </c>
      <c r="H60" s="14">
        <v>16.1999999999999</v>
      </c>
      <c r="I60" s="14">
        <v>117</v>
      </c>
      <c r="J60" s="14">
        <v>3.1499999999999901</v>
      </c>
      <c r="K60" s="14">
        <v>3.29</v>
      </c>
      <c r="L60" s="14">
        <v>0.34</v>
      </c>
      <c r="M60" s="14">
        <v>2.3399999999999901</v>
      </c>
      <c r="N60" s="14">
        <v>6.1299999999999901</v>
      </c>
      <c r="O60" s="14">
        <v>0.94999999999999896</v>
      </c>
      <c r="P60" s="14">
        <v>3.3799999999999901</v>
      </c>
      <c r="Q60">
        <v>795</v>
      </c>
    </row>
    <row r="61" spans="3:17" x14ac:dyDescent="0.25">
      <c r="C61" s="15" t="s">
        <v>115</v>
      </c>
      <c r="D61" s="14" t="s">
        <v>13</v>
      </c>
      <c r="E61" s="14">
        <v>13.41</v>
      </c>
      <c r="F61" s="14">
        <v>3.8399999999999901</v>
      </c>
      <c r="G61" s="14">
        <v>2.12</v>
      </c>
      <c r="H61" s="14">
        <v>18.8</v>
      </c>
      <c r="I61" s="14">
        <v>90</v>
      </c>
      <c r="J61" s="14">
        <v>2.4500000000000002</v>
      </c>
      <c r="K61" s="14">
        <v>2.68</v>
      </c>
      <c r="L61" s="14">
        <v>0.27</v>
      </c>
      <c r="M61" s="14">
        <v>1.48</v>
      </c>
      <c r="N61" s="14">
        <v>4.28</v>
      </c>
      <c r="O61" s="14">
        <v>0.91</v>
      </c>
      <c r="P61" s="14">
        <v>3</v>
      </c>
      <c r="Q61">
        <v>1035</v>
      </c>
    </row>
    <row r="62" spans="3:17" x14ac:dyDescent="0.25">
      <c r="C62" s="15" t="s">
        <v>118</v>
      </c>
      <c r="D62" s="14" t="s">
        <v>13</v>
      </c>
      <c r="E62" s="14">
        <v>13.05</v>
      </c>
      <c r="F62" s="14">
        <v>1.77</v>
      </c>
      <c r="G62" s="14">
        <v>2.1</v>
      </c>
      <c r="H62" s="14">
        <v>17</v>
      </c>
      <c r="I62" s="14">
        <v>107</v>
      </c>
      <c r="J62" s="14">
        <v>3</v>
      </c>
      <c r="K62" s="14">
        <v>3</v>
      </c>
      <c r="L62" s="14">
        <v>0.28000000000000003</v>
      </c>
      <c r="M62" s="14">
        <v>2.02999999999999</v>
      </c>
      <c r="N62" s="14">
        <v>5.04</v>
      </c>
      <c r="O62" s="14">
        <v>0.88</v>
      </c>
      <c r="P62" s="14">
        <v>3.35</v>
      </c>
      <c r="Q62">
        <v>885</v>
      </c>
    </row>
    <row r="63" spans="3:17" x14ac:dyDescent="0.25">
      <c r="C63" s="15" t="s">
        <v>120</v>
      </c>
      <c r="D63" s="14" t="s">
        <v>13</v>
      </c>
      <c r="E63" s="14">
        <v>14.38</v>
      </c>
      <c r="F63" s="14">
        <v>3.5899999999999901</v>
      </c>
      <c r="G63" s="14">
        <v>2.27999999999999</v>
      </c>
      <c r="H63" s="14">
        <v>16</v>
      </c>
      <c r="I63" s="14">
        <v>102</v>
      </c>
      <c r="J63" s="14">
        <v>3.25</v>
      </c>
      <c r="K63" s="14">
        <v>3.1699999999999902</v>
      </c>
      <c r="L63" s="14">
        <v>0.27</v>
      </c>
      <c r="M63" s="14">
        <v>2.1899999999999902</v>
      </c>
      <c r="N63" s="14">
        <v>4.9000000000000004</v>
      </c>
      <c r="O63" s="14">
        <v>1.04</v>
      </c>
      <c r="P63" s="14">
        <v>3.4399999999999902</v>
      </c>
      <c r="Q63">
        <v>1065</v>
      </c>
    </row>
    <row r="64" spans="3:17" x14ac:dyDescent="0.25">
      <c r="C64" s="15" t="s">
        <v>121</v>
      </c>
      <c r="D64" s="14" t="s">
        <v>13</v>
      </c>
      <c r="E64" s="14">
        <v>13.9</v>
      </c>
      <c r="F64" s="14">
        <v>1.6799999999999899</v>
      </c>
      <c r="G64" s="14">
        <v>2.12</v>
      </c>
      <c r="H64" s="14">
        <v>16</v>
      </c>
      <c r="I64" s="14">
        <v>101</v>
      </c>
      <c r="J64" s="14">
        <v>3.1</v>
      </c>
      <c r="K64" s="14">
        <v>3.39</v>
      </c>
      <c r="L64" s="14">
        <v>0.20999999999999899</v>
      </c>
      <c r="M64" s="14">
        <v>2.14</v>
      </c>
      <c r="N64" s="14">
        <v>6.0999999999999899</v>
      </c>
      <c r="O64" s="14">
        <v>0.91</v>
      </c>
      <c r="P64" s="14">
        <v>3.33</v>
      </c>
      <c r="Q64">
        <v>985</v>
      </c>
    </row>
    <row r="65" spans="3:17" x14ac:dyDescent="0.25">
      <c r="C65" s="15" t="s">
        <v>122</v>
      </c>
      <c r="D65" s="14" t="s">
        <v>13</v>
      </c>
      <c r="E65" s="14">
        <v>14.1</v>
      </c>
      <c r="F65" s="14">
        <v>2.02</v>
      </c>
      <c r="G65" s="14">
        <v>2.3999999999999901</v>
      </c>
      <c r="H65" s="14">
        <v>18.8</v>
      </c>
      <c r="I65" s="14">
        <v>103</v>
      </c>
      <c r="J65" s="14">
        <v>2.75</v>
      </c>
      <c r="K65" s="14">
        <v>2.9199999999999902</v>
      </c>
      <c r="L65" s="14">
        <v>0.32</v>
      </c>
      <c r="M65" s="14">
        <v>2.3799999999999901</v>
      </c>
      <c r="N65" s="14">
        <v>6.2</v>
      </c>
      <c r="O65" s="14">
        <v>1.07</v>
      </c>
      <c r="P65" s="14">
        <v>2.75</v>
      </c>
      <c r="Q65">
        <v>1060</v>
      </c>
    </row>
    <row r="66" spans="3:17" x14ac:dyDescent="0.25">
      <c r="C66" s="15" t="s">
        <v>123</v>
      </c>
      <c r="D66" s="14" t="s">
        <v>13</v>
      </c>
      <c r="E66" s="14">
        <v>13.94</v>
      </c>
      <c r="F66" s="14">
        <v>1.73</v>
      </c>
      <c r="G66" s="14">
        <v>2.27</v>
      </c>
      <c r="H66" s="14">
        <v>17.399999999999899</v>
      </c>
      <c r="I66" s="14">
        <v>108</v>
      </c>
      <c r="J66" s="14">
        <v>2.8799999999999901</v>
      </c>
      <c r="K66" s="14">
        <v>3.54</v>
      </c>
      <c r="L66" s="14">
        <v>0.32</v>
      </c>
      <c r="M66" s="14">
        <v>2.08</v>
      </c>
      <c r="N66" s="14">
        <v>8.9</v>
      </c>
      <c r="O66" s="14">
        <v>1.1200000000000001</v>
      </c>
      <c r="P66" s="14">
        <v>3.1</v>
      </c>
      <c r="Q66">
        <v>1260</v>
      </c>
    </row>
    <row r="67" spans="3:17" x14ac:dyDescent="0.25">
      <c r="C67" s="15" t="s">
        <v>126</v>
      </c>
      <c r="D67" s="14" t="s">
        <v>13</v>
      </c>
      <c r="E67" s="14">
        <v>13.82</v>
      </c>
      <c r="F67" s="14">
        <v>1.75</v>
      </c>
      <c r="G67" s="14">
        <v>2.4199999999999902</v>
      </c>
      <c r="H67" s="14">
        <v>14</v>
      </c>
      <c r="I67" s="14">
        <v>111</v>
      </c>
      <c r="J67" s="14">
        <v>3.8799999999999901</v>
      </c>
      <c r="K67" s="14">
        <v>3.74</v>
      </c>
      <c r="L67" s="14">
        <v>0.32</v>
      </c>
      <c r="M67" s="14">
        <v>1.87</v>
      </c>
      <c r="N67" s="14">
        <v>7.0499999999999901</v>
      </c>
      <c r="O67" s="14">
        <v>1.01</v>
      </c>
      <c r="P67" s="14">
        <v>3.25999999999999</v>
      </c>
      <c r="Q67">
        <v>1190</v>
      </c>
    </row>
    <row r="68" spans="3:17" x14ac:dyDescent="0.25">
      <c r="C68" s="15" t="s">
        <v>127</v>
      </c>
      <c r="D68" s="14" t="s">
        <v>13</v>
      </c>
      <c r="E68" s="14">
        <v>13.77</v>
      </c>
      <c r="F68" s="14">
        <v>1.8999999999999899</v>
      </c>
      <c r="G68" s="14">
        <v>2.68</v>
      </c>
      <c r="H68" s="14">
        <v>17.100000000000001</v>
      </c>
      <c r="I68" s="14">
        <v>115</v>
      </c>
      <c r="J68" s="14">
        <v>3</v>
      </c>
      <c r="K68" s="14">
        <v>2.79</v>
      </c>
      <c r="L68" s="14">
        <v>0.39</v>
      </c>
      <c r="M68" s="14">
        <v>1.6799999999999899</v>
      </c>
      <c r="N68" s="14">
        <v>6.2999999999999901</v>
      </c>
      <c r="O68" s="14">
        <v>1.1299999999999899</v>
      </c>
      <c r="P68" s="14">
        <v>2.93</v>
      </c>
      <c r="Q68">
        <v>1375</v>
      </c>
    </row>
    <row r="69" spans="3:17" x14ac:dyDescent="0.25">
      <c r="C69" s="15" t="s">
        <v>128</v>
      </c>
      <c r="D69" s="14" t="s">
        <v>13</v>
      </c>
      <c r="E69" s="14">
        <v>13.74</v>
      </c>
      <c r="F69" s="14">
        <v>1.6699999999999899</v>
      </c>
      <c r="G69" s="14">
        <v>2.25</v>
      </c>
      <c r="H69" s="14">
        <v>16.399999999999899</v>
      </c>
      <c r="I69" s="14">
        <v>118</v>
      </c>
      <c r="J69" s="14">
        <v>2.6</v>
      </c>
      <c r="K69" s="14">
        <v>2.8999999999999901</v>
      </c>
      <c r="L69" s="14">
        <v>0.20999999999999899</v>
      </c>
      <c r="M69" s="14">
        <v>1.62</v>
      </c>
      <c r="N69" s="14">
        <v>5.8499999999999899</v>
      </c>
      <c r="O69" s="14">
        <v>0.92</v>
      </c>
      <c r="P69" s="14">
        <v>3.2</v>
      </c>
      <c r="Q69">
        <v>1060</v>
      </c>
    </row>
    <row r="70" spans="3:17" x14ac:dyDescent="0.25">
      <c r="C70" s="15" t="s">
        <v>129</v>
      </c>
      <c r="D70" s="14" t="s">
        <v>13</v>
      </c>
      <c r="E70" s="14">
        <v>13.56</v>
      </c>
      <c r="F70" s="14">
        <v>1.73</v>
      </c>
      <c r="G70" s="14">
        <v>2.46</v>
      </c>
      <c r="H70" s="14">
        <v>20.5</v>
      </c>
      <c r="I70" s="14">
        <v>116</v>
      </c>
      <c r="J70" s="14">
        <v>2.96</v>
      </c>
      <c r="K70" s="14">
        <v>2.77999999999999</v>
      </c>
      <c r="L70" s="14">
        <v>0.2</v>
      </c>
      <c r="M70" s="14">
        <v>2.4500000000000002</v>
      </c>
      <c r="N70" s="14">
        <v>6.25</v>
      </c>
      <c r="O70" s="14">
        <v>0.97999999999999898</v>
      </c>
      <c r="P70" s="14">
        <v>3.02999999999999</v>
      </c>
      <c r="Q70">
        <v>1120</v>
      </c>
    </row>
    <row r="71" spans="3:17" x14ac:dyDescent="0.25">
      <c r="C71" s="15" t="s">
        <v>130</v>
      </c>
      <c r="D71" s="14" t="s">
        <v>13</v>
      </c>
      <c r="E71" s="14">
        <v>14.22</v>
      </c>
      <c r="F71" s="14">
        <v>1.7</v>
      </c>
      <c r="G71" s="14">
        <v>2.2999999999999901</v>
      </c>
      <c r="H71" s="14">
        <v>16.3</v>
      </c>
      <c r="I71" s="14">
        <v>118</v>
      </c>
      <c r="J71" s="14">
        <v>3.2</v>
      </c>
      <c r="K71" s="14">
        <v>3</v>
      </c>
      <c r="L71" s="14">
        <v>0.26</v>
      </c>
      <c r="M71" s="14">
        <v>2.02999999999999</v>
      </c>
      <c r="N71" s="14">
        <v>6.3799999999999901</v>
      </c>
      <c r="O71" s="14">
        <v>0.93999999999999895</v>
      </c>
      <c r="P71" s="14">
        <v>3.31</v>
      </c>
      <c r="Q71">
        <v>970</v>
      </c>
    </row>
    <row r="72" spans="3:17" x14ac:dyDescent="0.25">
      <c r="C72" s="15" t="s">
        <v>132</v>
      </c>
      <c r="D72" s="14" t="s">
        <v>13</v>
      </c>
      <c r="E72" s="14">
        <v>13.72</v>
      </c>
      <c r="F72" s="14">
        <v>1.4299999999999899</v>
      </c>
      <c r="G72" s="14">
        <v>2.5</v>
      </c>
      <c r="H72" s="14">
        <v>16.6999999999999</v>
      </c>
      <c r="I72" s="14">
        <v>108</v>
      </c>
      <c r="J72" s="14">
        <v>3.3999999999999901</v>
      </c>
      <c r="K72" s="14">
        <v>3.6699999999999902</v>
      </c>
      <c r="L72" s="14">
        <v>0.19</v>
      </c>
      <c r="M72" s="14">
        <v>2.04</v>
      </c>
      <c r="N72" s="14">
        <v>6.7999999999999901</v>
      </c>
      <c r="O72" s="14">
        <v>0.89</v>
      </c>
      <c r="P72" s="14">
        <v>2.87</v>
      </c>
      <c r="Q72">
        <v>1285</v>
      </c>
    </row>
    <row r="73" spans="3:17" x14ac:dyDescent="0.25">
      <c r="C73" s="15" t="s">
        <v>133</v>
      </c>
      <c r="D73" s="14" t="s">
        <v>14</v>
      </c>
      <c r="E73" s="14">
        <v>12.3699999999999</v>
      </c>
      <c r="F73" s="14">
        <v>0.93999999999999895</v>
      </c>
      <c r="G73" s="14">
        <v>1.36</v>
      </c>
      <c r="H73" s="14">
        <v>10.6</v>
      </c>
      <c r="I73" s="14">
        <v>88</v>
      </c>
      <c r="J73" s="14">
        <v>1.98</v>
      </c>
      <c r="K73" s="14">
        <v>0.56999999999999895</v>
      </c>
      <c r="L73" s="14">
        <v>0.28000000000000003</v>
      </c>
      <c r="M73" s="14">
        <v>0.41999999999999899</v>
      </c>
      <c r="N73" s="14">
        <v>1.95</v>
      </c>
      <c r="O73" s="14">
        <v>1.05</v>
      </c>
      <c r="P73" s="14">
        <v>1.82</v>
      </c>
      <c r="Q73">
        <v>520</v>
      </c>
    </row>
    <row r="74" spans="3:17" x14ac:dyDescent="0.25">
      <c r="C74" s="15" t="s">
        <v>134</v>
      </c>
      <c r="D74" s="14" t="s">
        <v>14</v>
      </c>
      <c r="E74" s="14">
        <v>12.33</v>
      </c>
      <c r="F74" s="14">
        <v>1.1000000000000001</v>
      </c>
      <c r="G74" s="14">
        <v>2.27999999999999</v>
      </c>
      <c r="H74" s="14">
        <v>16</v>
      </c>
      <c r="I74" s="14">
        <v>101</v>
      </c>
      <c r="J74" s="14">
        <v>2.0499999999999901</v>
      </c>
      <c r="K74" s="14">
        <v>1.0900000000000001</v>
      </c>
      <c r="L74" s="14">
        <v>0.63</v>
      </c>
      <c r="M74" s="14">
        <v>0.40999999999999898</v>
      </c>
      <c r="N74" s="14">
        <v>3.27</v>
      </c>
      <c r="O74" s="14">
        <v>1.25</v>
      </c>
      <c r="P74" s="14">
        <v>1.6699999999999899</v>
      </c>
      <c r="Q74">
        <v>680</v>
      </c>
    </row>
    <row r="75" spans="3:17" x14ac:dyDescent="0.25">
      <c r="C75" s="15" t="s">
        <v>135</v>
      </c>
      <c r="D75" s="14" t="s">
        <v>14</v>
      </c>
      <c r="E75" s="14">
        <v>12.64</v>
      </c>
      <c r="F75" s="14">
        <v>1.36</v>
      </c>
      <c r="G75" s="14">
        <v>2.02</v>
      </c>
      <c r="H75" s="14">
        <v>16.8</v>
      </c>
      <c r="I75" s="14">
        <v>100</v>
      </c>
      <c r="J75" s="14">
        <v>2.02</v>
      </c>
      <c r="K75" s="14">
        <v>1.4099999999999899</v>
      </c>
      <c r="L75" s="14">
        <v>0.53</v>
      </c>
      <c r="M75" s="14">
        <v>0.62</v>
      </c>
      <c r="N75" s="14">
        <v>5.75</v>
      </c>
      <c r="O75" s="14">
        <v>0.97999999999999898</v>
      </c>
      <c r="P75" s="14">
        <v>1.59</v>
      </c>
      <c r="Q75">
        <v>450</v>
      </c>
    </row>
    <row r="76" spans="3:17" x14ac:dyDescent="0.25">
      <c r="C76" s="15" t="s">
        <v>138</v>
      </c>
      <c r="D76" s="14" t="s">
        <v>14</v>
      </c>
      <c r="E76" s="14">
        <v>12.17</v>
      </c>
      <c r="F76" s="14">
        <v>1.45</v>
      </c>
      <c r="G76" s="14">
        <v>2.52999999999999</v>
      </c>
      <c r="H76" s="14">
        <v>19</v>
      </c>
      <c r="I76" s="14">
        <v>104</v>
      </c>
      <c r="J76" s="14">
        <v>1.8899999999999899</v>
      </c>
      <c r="K76" s="14">
        <v>1.75</v>
      </c>
      <c r="L76" s="14">
        <v>0.45</v>
      </c>
      <c r="M76" s="14">
        <v>1.03</v>
      </c>
      <c r="N76" s="14">
        <v>2.95</v>
      </c>
      <c r="O76" s="14">
        <v>1.45</v>
      </c>
      <c r="P76" s="14">
        <v>2.23</v>
      </c>
      <c r="Q76">
        <v>355</v>
      </c>
    </row>
    <row r="77" spans="3:17" x14ac:dyDescent="0.25">
      <c r="C77" s="15" t="s">
        <v>139</v>
      </c>
      <c r="D77" s="14" t="s">
        <v>14</v>
      </c>
      <c r="E77" s="14">
        <v>12.3699999999999</v>
      </c>
      <c r="F77" s="14">
        <v>1.21</v>
      </c>
      <c r="G77" s="14">
        <v>2.56</v>
      </c>
      <c r="H77" s="14">
        <v>18.100000000000001</v>
      </c>
      <c r="I77" s="14">
        <v>98</v>
      </c>
      <c r="J77" s="14">
        <v>2.4199999999999902</v>
      </c>
      <c r="K77" s="14">
        <v>2.6499999999999901</v>
      </c>
      <c r="L77" s="14">
        <v>0.37</v>
      </c>
      <c r="M77" s="14">
        <v>2.08</v>
      </c>
      <c r="N77" s="14">
        <v>4.5999999999999899</v>
      </c>
      <c r="O77" s="14">
        <v>1.18999999999999</v>
      </c>
      <c r="P77" s="14">
        <v>2.2999999999999901</v>
      </c>
      <c r="Q77">
        <v>678</v>
      </c>
    </row>
    <row r="78" spans="3:17" x14ac:dyDescent="0.25">
      <c r="C78" s="15" t="s">
        <v>141</v>
      </c>
      <c r="D78" s="14" t="s">
        <v>14</v>
      </c>
      <c r="E78" s="14">
        <v>12.3699999999999</v>
      </c>
      <c r="F78" s="14">
        <v>1.1699999999999899</v>
      </c>
      <c r="G78" s="14">
        <v>1.9199999999999899</v>
      </c>
      <c r="H78" s="14">
        <v>19.600000000000001</v>
      </c>
      <c r="I78" s="14">
        <v>78</v>
      </c>
      <c r="J78" s="14">
        <v>2.1099999999999901</v>
      </c>
      <c r="K78" s="14">
        <v>2</v>
      </c>
      <c r="L78" s="14">
        <v>0.27</v>
      </c>
      <c r="M78" s="14">
        <v>1.04</v>
      </c>
      <c r="N78" s="14">
        <v>4.6799999999999899</v>
      </c>
      <c r="O78" s="14">
        <v>1.1200000000000001</v>
      </c>
      <c r="P78" s="14">
        <v>3.48</v>
      </c>
      <c r="Q78">
        <v>510</v>
      </c>
    </row>
    <row r="79" spans="3:17" x14ac:dyDescent="0.25">
      <c r="C79" s="15" t="s">
        <v>143</v>
      </c>
      <c r="D79" s="14" t="s">
        <v>14</v>
      </c>
      <c r="E79" s="14">
        <v>12.21</v>
      </c>
      <c r="F79" s="14">
        <v>1.18999999999999</v>
      </c>
      <c r="G79" s="14">
        <v>1.75</v>
      </c>
      <c r="H79" s="14">
        <v>16.8</v>
      </c>
      <c r="I79" s="14">
        <v>151</v>
      </c>
      <c r="J79" s="14">
        <v>1.85</v>
      </c>
      <c r="K79" s="14">
        <v>1.28</v>
      </c>
      <c r="L79" s="14">
        <v>0.14000000000000001</v>
      </c>
      <c r="M79" s="14">
        <v>2.5</v>
      </c>
      <c r="N79" s="14">
        <v>2.85</v>
      </c>
      <c r="O79" s="14">
        <v>1.28</v>
      </c>
      <c r="P79" s="14">
        <v>3.0699999999999901</v>
      </c>
      <c r="Q79">
        <v>718</v>
      </c>
    </row>
    <row r="80" spans="3:17" x14ac:dyDescent="0.25">
      <c r="C80" s="15" t="s">
        <v>144</v>
      </c>
      <c r="D80" s="14" t="s">
        <v>14</v>
      </c>
      <c r="E80" s="14">
        <v>12.2899999999999</v>
      </c>
      <c r="F80" s="14">
        <v>1.61</v>
      </c>
      <c r="G80" s="14">
        <v>2.21</v>
      </c>
      <c r="H80" s="14">
        <v>20.399999999999899</v>
      </c>
      <c r="I80" s="14">
        <v>103</v>
      </c>
      <c r="J80" s="14">
        <v>1.1000000000000001</v>
      </c>
      <c r="K80" s="14">
        <v>1.02</v>
      </c>
      <c r="L80" s="14">
        <v>0.37</v>
      </c>
      <c r="M80" s="14">
        <v>1.46</v>
      </c>
      <c r="N80" s="14">
        <v>3.0499999999999901</v>
      </c>
      <c r="O80" s="14">
        <v>0.90600000000000003</v>
      </c>
      <c r="P80" s="14">
        <v>1.82</v>
      </c>
      <c r="Q80">
        <v>870</v>
      </c>
    </row>
    <row r="81" spans="3:17" x14ac:dyDescent="0.25">
      <c r="C81" s="15" t="s">
        <v>146</v>
      </c>
      <c r="D81" s="14" t="s">
        <v>14</v>
      </c>
      <c r="E81" s="14">
        <v>13.49</v>
      </c>
      <c r="F81" s="14">
        <v>1.6599999999999899</v>
      </c>
      <c r="G81" s="14">
        <v>2.2400000000000002</v>
      </c>
      <c r="H81" s="14">
        <v>24</v>
      </c>
      <c r="I81" s="14">
        <v>87</v>
      </c>
      <c r="J81" s="14">
        <v>1.8799999999999899</v>
      </c>
      <c r="K81" s="14">
        <v>1.84</v>
      </c>
      <c r="L81" s="14">
        <v>0.27</v>
      </c>
      <c r="M81" s="14">
        <v>1.03</v>
      </c>
      <c r="N81" s="14">
        <v>3.74</v>
      </c>
      <c r="O81" s="14">
        <v>0.97999999999999898</v>
      </c>
      <c r="P81" s="14">
        <v>2.77999999999999</v>
      </c>
      <c r="Q81">
        <v>472</v>
      </c>
    </row>
    <row r="82" spans="3:17" x14ac:dyDescent="0.25">
      <c r="C82" s="15" t="s">
        <v>149</v>
      </c>
      <c r="D82" s="14" t="s">
        <v>14</v>
      </c>
      <c r="E82" s="14">
        <v>11.66</v>
      </c>
      <c r="F82" s="14">
        <v>1.8799999999999899</v>
      </c>
      <c r="G82" s="14">
        <v>1.9199999999999899</v>
      </c>
      <c r="H82" s="14">
        <v>16</v>
      </c>
      <c r="I82" s="14">
        <v>97</v>
      </c>
      <c r="J82" s="14">
        <v>1.61</v>
      </c>
      <c r="K82" s="14">
        <v>1.57</v>
      </c>
      <c r="L82" s="14">
        <v>0.34</v>
      </c>
      <c r="M82" s="14">
        <v>1.1499999999999899</v>
      </c>
      <c r="N82" s="14">
        <v>3.7999999999999901</v>
      </c>
      <c r="O82" s="14">
        <v>1.23</v>
      </c>
      <c r="P82" s="14">
        <v>2.14</v>
      </c>
      <c r="Q82">
        <v>428</v>
      </c>
    </row>
    <row r="83" spans="3:17" x14ac:dyDescent="0.25">
      <c r="C83" s="15" t="s">
        <v>150</v>
      </c>
      <c r="D83" s="14" t="s">
        <v>14</v>
      </c>
      <c r="E83" s="14">
        <v>13.0299999999999</v>
      </c>
      <c r="F83" s="14">
        <v>0.9</v>
      </c>
      <c r="G83" s="14">
        <v>1.71</v>
      </c>
      <c r="H83" s="14">
        <v>16</v>
      </c>
      <c r="I83" s="14">
        <v>86</v>
      </c>
      <c r="J83" s="14">
        <v>1.95</v>
      </c>
      <c r="K83" s="14">
        <v>2.02999999999999</v>
      </c>
      <c r="L83" s="14">
        <v>0.23999999999999899</v>
      </c>
      <c r="M83" s="14">
        <v>1.46</v>
      </c>
      <c r="N83" s="14">
        <v>4.5999999999999899</v>
      </c>
      <c r="O83" s="14">
        <v>1.18999999999999</v>
      </c>
      <c r="P83" s="14">
        <v>2.48</v>
      </c>
      <c r="Q83">
        <v>392</v>
      </c>
    </row>
    <row r="84" spans="3:17" x14ac:dyDescent="0.25">
      <c r="C84" s="15" t="s">
        <v>151</v>
      </c>
      <c r="D84" s="14" t="s">
        <v>14</v>
      </c>
      <c r="E84" s="14">
        <v>11.84</v>
      </c>
      <c r="F84" s="14">
        <v>2.89</v>
      </c>
      <c r="G84" s="14">
        <v>2.23</v>
      </c>
      <c r="H84" s="14">
        <v>18</v>
      </c>
      <c r="I84" s="14">
        <v>112</v>
      </c>
      <c r="J84" s="14">
        <v>1.72</v>
      </c>
      <c r="K84" s="14">
        <v>1.32</v>
      </c>
      <c r="L84" s="14">
        <v>0.42999999999999899</v>
      </c>
      <c r="M84" s="14">
        <v>0.94999999999999896</v>
      </c>
      <c r="N84" s="14">
        <v>2.6499999999999901</v>
      </c>
      <c r="O84" s="14">
        <v>0.95999999999999897</v>
      </c>
      <c r="P84" s="14">
        <v>2.52</v>
      </c>
      <c r="Q84">
        <v>500</v>
      </c>
    </row>
    <row r="85" spans="3:17" x14ac:dyDescent="0.25">
      <c r="C85" s="15" t="s">
        <v>153</v>
      </c>
      <c r="D85" s="14" t="s">
        <v>14</v>
      </c>
      <c r="E85" s="14">
        <v>12.6999999999999</v>
      </c>
      <c r="F85" s="14">
        <v>3.87</v>
      </c>
      <c r="G85" s="14">
        <v>2.3999999999999901</v>
      </c>
      <c r="H85" s="14">
        <v>23</v>
      </c>
      <c r="I85" s="14">
        <v>101</v>
      </c>
      <c r="J85" s="14">
        <v>2.83</v>
      </c>
      <c r="K85" s="14">
        <v>2.5499999999999901</v>
      </c>
      <c r="L85" s="14">
        <v>0.42999999999999899</v>
      </c>
      <c r="M85" s="14">
        <v>1.95</v>
      </c>
      <c r="N85" s="14">
        <v>2.5699999999999901</v>
      </c>
      <c r="O85" s="14">
        <v>1.18999999999999</v>
      </c>
      <c r="P85" s="14">
        <v>3.1299999999999901</v>
      </c>
      <c r="Q85">
        <v>463</v>
      </c>
    </row>
    <row r="86" spans="3:17" x14ac:dyDescent="0.25">
      <c r="C86" s="15" t="s">
        <v>154</v>
      </c>
      <c r="D86" s="14" t="s">
        <v>14</v>
      </c>
      <c r="E86" s="14">
        <v>12</v>
      </c>
      <c r="F86" s="14">
        <v>0.92</v>
      </c>
      <c r="G86" s="14">
        <v>2</v>
      </c>
      <c r="H86" s="14">
        <v>19</v>
      </c>
      <c r="I86" s="14">
        <v>86</v>
      </c>
      <c r="J86" s="14">
        <v>2.4199999999999902</v>
      </c>
      <c r="K86" s="14">
        <v>2.25999999999999</v>
      </c>
      <c r="L86" s="14">
        <v>0.29999999999999899</v>
      </c>
      <c r="M86" s="14">
        <v>1.4299999999999899</v>
      </c>
      <c r="N86" s="14">
        <v>2.5</v>
      </c>
      <c r="O86" s="14">
        <v>1.3799999999999899</v>
      </c>
      <c r="P86" s="14">
        <v>3.12</v>
      </c>
      <c r="Q86">
        <v>278</v>
      </c>
    </row>
    <row r="87" spans="3:17" x14ac:dyDescent="0.25">
      <c r="C87" s="15" t="s">
        <v>155</v>
      </c>
      <c r="D87" s="14" t="s">
        <v>14</v>
      </c>
      <c r="E87" s="14">
        <v>12.72</v>
      </c>
      <c r="F87" s="14">
        <v>1.81</v>
      </c>
      <c r="G87" s="14">
        <v>2.2000000000000002</v>
      </c>
      <c r="H87" s="14">
        <v>18.8</v>
      </c>
      <c r="I87" s="14">
        <v>86</v>
      </c>
      <c r="J87" s="14">
        <v>2.2000000000000002</v>
      </c>
      <c r="K87" s="14">
        <v>2.52999999999999</v>
      </c>
      <c r="L87" s="14">
        <v>0.26</v>
      </c>
      <c r="M87" s="14">
        <v>1.77</v>
      </c>
      <c r="N87" s="14">
        <v>3.8999999999999901</v>
      </c>
      <c r="O87" s="14">
        <v>1.1599999999999899</v>
      </c>
      <c r="P87" s="14">
        <v>3.14</v>
      </c>
      <c r="Q87">
        <v>714</v>
      </c>
    </row>
    <row r="88" spans="3:17" x14ac:dyDescent="0.25">
      <c r="C88" s="15" t="s">
        <v>156</v>
      </c>
      <c r="D88" s="14" t="s">
        <v>14</v>
      </c>
      <c r="E88" s="14">
        <v>12.08</v>
      </c>
      <c r="F88" s="14">
        <v>1.1299999999999899</v>
      </c>
      <c r="G88" s="14">
        <v>2.50999999999999</v>
      </c>
      <c r="H88" s="14">
        <v>24</v>
      </c>
      <c r="I88" s="14">
        <v>78</v>
      </c>
      <c r="J88" s="14">
        <v>2</v>
      </c>
      <c r="K88" s="14">
        <v>1.58</v>
      </c>
      <c r="L88" s="14">
        <v>0.4</v>
      </c>
      <c r="M88" s="14">
        <v>1.3999999999999899</v>
      </c>
      <c r="N88" s="14">
        <v>2.2000000000000002</v>
      </c>
      <c r="O88" s="14">
        <v>1.31</v>
      </c>
      <c r="P88" s="14">
        <v>2.72</v>
      </c>
      <c r="Q88">
        <v>630</v>
      </c>
    </row>
    <row r="89" spans="3:17" x14ac:dyDescent="0.25">
      <c r="C89" s="15" t="s">
        <v>157</v>
      </c>
      <c r="D89" s="14" t="s">
        <v>14</v>
      </c>
      <c r="E89" s="14">
        <v>13.05</v>
      </c>
      <c r="F89" s="14">
        <v>3.8599999999999901</v>
      </c>
      <c r="G89" s="14">
        <v>2.3199999999999901</v>
      </c>
      <c r="H89" s="14">
        <v>22.5</v>
      </c>
      <c r="I89" s="14">
        <v>85</v>
      </c>
      <c r="J89" s="14">
        <v>1.6499999999999899</v>
      </c>
      <c r="K89" s="14">
        <v>1.59</v>
      </c>
      <c r="L89" s="14">
        <v>0.60999999999999899</v>
      </c>
      <c r="M89" s="14">
        <v>1.62</v>
      </c>
      <c r="N89" s="14">
        <v>4.7999999999999901</v>
      </c>
      <c r="O89" s="14">
        <v>0.83999999999999897</v>
      </c>
      <c r="P89" s="14">
        <v>2.00999999999999</v>
      </c>
      <c r="Q89">
        <v>515</v>
      </c>
    </row>
    <row r="90" spans="3:17" x14ac:dyDescent="0.25">
      <c r="C90" s="15" t="s">
        <v>161</v>
      </c>
      <c r="D90" s="14" t="s">
        <v>14</v>
      </c>
      <c r="E90" s="14">
        <v>11.65</v>
      </c>
      <c r="F90" s="14">
        <v>1.6699999999999899</v>
      </c>
      <c r="G90" s="14">
        <v>2.62</v>
      </c>
      <c r="H90" s="14">
        <v>26</v>
      </c>
      <c r="I90" s="14">
        <v>88</v>
      </c>
      <c r="J90" s="14">
        <v>1.9199999999999899</v>
      </c>
      <c r="K90" s="14">
        <v>1.61</v>
      </c>
      <c r="L90" s="14">
        <v>0.4</v>
      </c>
      <c r="M90" s="14">
        <v>1.34</v>
      </c>
      <c r="N90" s="14">
        <v>2.6</v>
      </c>
      <c r="O90" s="14">
        <v>1.36</v>
      </c>
      <c r="P90" s="14">
        <v>3.21</v>
      </c>
      <c r="Q90">
        <v>562</v>
      </c>
    </row>
    <row r="91" spans="3:17" x14ac:dyDescent="0.25">
      <c r="C91" s="15" t="s">
        <v>162</v>
      </c>
      <c r="D91" s="14" t="s">
        <v>14</v>
      </c>
      <c r="E91" s="14">
        <v>11.64</v>
      </c>
      <c r="F91" s="14">
        <v>2.06</v>
      </c>
      <c r="G91" s="14">
        <v>2.46</v>
      </c>
      <c r="H91" s="14">
        <v>21.6</v>
      </c>
      <c r="I91" s="14">
        <v>84</v>
      </c>
      <c r="J91" s="14">
        <v>1.95</v>
      </c>
      <c r="K91" s="14">
        <v>1.68999999999999</v>
      </c>
      <c r="L91" s="14">
        <v>0.47999999999999898</v>
      </c>
      <c r="M91" s="14">
        <v>1.35</v>
      </c>
      <c r="N91" s="14">
        <v>2.7999999999999901</v>
      </c>
      <c r="O91" s="14">
        <v>1</v>
      </c>
      <c r="P91" s="14">
        <v>2.75</v>
      </c>
      <c r="Q91">
        <v>680</v>
      </c>
    </row>
    <row r="92" spans="3:17" x14ac:dyDescent="0.25">
      <c r="C92" s="15" t="s">
        <v>164</v>
      </c>
      <c r="D92" s="14" t="s">
        <v>14</v>
      </c>
      <c r="E92" s="14">
        <v>12.08</v>
      </c>
      <c r="F92" s="14">
        <v>1.83</v>
      </c>
      <c r="G92" s="14">
        <v>2.3199999999999901</v>
      </c>
      <c r="H92" s="14">
        <v>18.5</v>
      </c>
      <c r="I92" s="14">
        <v>81</v>
      </c>
      <c r="J92" s="14">
        <v>1.6</v>
      </c>
      <c r="K92" s="14">
        <v>1.5</v>
      </c>
      <c r="L92" s="14">
        <v>0.52</v>
      </c>
      <c r="M92" s="14">
        <v>1.6399999999999899</v>
      </c>
      <c r="N92" s="14">
        <v>2.3999999999999901</v>
      </c>
      <c r="O92" s="14">
        <v>1.08</v>
      </c>
      <c r="P92" s="14">
        <v>2.27</v>
      </c>
      <c r="Q92">
        <v>480</v>
      </c>
    </row>
    <row r="93" spans="3:17" x14ac:dyDescent="0.25">
      <c r="C93" s="15" t="s">
        <v>165</v>
      </c>
      <c r="D93" s="14" t="s">
        <v>14</v>
      </c>
      <c r="E93" s="14">
        <v>12</v>
      </c>
      <c r="F93" s="14">
        <v>1.51</v>
      </c>
      <c r="G93" s="14">
        <v>2.4199999999999902</v>
      </c>
      <c r="H93" s="14">
        <v>22</v>
      </c>
      <c r="I93" s="14">
        <v>86</v>
      </c>
      <c r="J93" s="14">
        <v>1.45</v>
      </c>
      <c r="K93" s="14">
        <v>1.25</v>
      </c>
      <c r="L93" s="14">
        <v>0.5</v>
      </c>
      <c r="M93" s="14">
        <v>1.6299999999999899</v>
      </c>
      <c r="N93" s="14">
        <v>3.6</v>
      </c>
      <c r="O93" s="14">
        <v>1.05</v>
      </c>
      <c r="P93" s="14">
        <v>2.6499999999999901</v>
      </c>
      <c r="Q93">
        <v>450</v>
      </c>
    </row>
    <row r="94" spans="3:17" x14ac:dyDescent="0.25">
      <c r="C94" s="15" t="s">
        <v>168</v>
      </c>
      <c r="D94" s="14" t="s">
        <v>14</v>
      </c>
      <c r="E94" s="14">
        <v>11.6199999999999</v>
      </c>
      <c r="F94" s="14">
        <v>1.99</v>
      </c>
      <c r="G94" s="14">
        <v>2.27999999999999</v>
      </c>
      <c r="H94" s="14">
        <v>18</v>
      </c>
      <c r="I94" s="14">
        <v>98</v>
      </c>
      <c r="J94" s="14">
        <v>3.02</v>
      </c>
      <c r="K94" s="14">
        <v>2.25999999999999</v>
      </c>
      <c r="L94" s="14">
        <v>0.17</v>
      </c>
      <c r="M94" s="14">
        <v>1.35</v>
      </c>
      <c r="N94" s="14">
        <v>3.25</v>
      </c>
      <c r="O94" s="14">
        <v>1.1599999999999899</v>
      </c>
      <c r="P94" s="14">
        <v>2.96</v>
      </c>
      <c r="Q94">
        <v>345</v>
      </c>
    </row>
    <row r="95" spans="3:17" x14ac:dyDescent="0.25">
      <c r="C95" s="15" t="s">
        <v>170</v>
      </c>
      <c r="D95" s="14" t="s">
        <v>14</v>
      </c>
      <c r="E95" s="14">
        <v>11.81</v>
      </c>
      <c r="F95" s="14">
        <v>2.12</v>
      </c>
      <c r="G95" s="14">
        <v>2.74</v>
      </c>
      <c r="H95" s="14">
        <v>21.5</v>
      </c>
      <c r="I95" s="14">
        <v>134</v>
      </c>
      <c r="J95" s="14">
        <v>1.6</v>
      </c>
      <c r="K95" s="14">
        <v>0.98999999999999899</v>
      </c>
      <c r="L95" s="14">
        <v>0.14000000000000001</v>
      </c>
      <c r="M95" s="14">
        <v>1.56</v>
      </c>
      <c r="N95" s="14">
        <v>2.5</v>
      </c>
      <c r="O95" s="14">
        <v>0.94999999999999896</v>
      </c>
      <c r="P95" s="14">
        <v>2.25999999999999</v>
      </c>
      <c r="Q95">
        <v>625</v>
      </c>
    </row>
    <row r="96" spans="3:17" x14ac:dyDescent="0.25">
      <c r="C96" s="15" t="s">
        <v>171</v>
      </c>
      <c r="D96" s="14" t="s">
        <v>14</v>
      </c>
      <c r="E96" s="14">
        <v>12.2899999999999</v>
      </c>
      <c r="F96" s="14">
        <v>1.4099999999999899</v>
      </c>
      <c r="G96" s="14">
        <v>1.98</v>
      </c>
      <c r="H96" s="14">
        <v>16</v>
      </c>
      <c r="I96" s="14">
        <v>85</v>
      </c>
      <c r="J96" s="14">
        <v>2.5499999999999901</v>
      </c>
      <c r="K96" s="14">
        <v>2.5</v>
      </c>
      <c r="L96" s="14">
        <v>0.28999999999999898</v>
      </c>
      <c r="M96" s="14">
        <v>1.77</v>
      </c>
      <c r="N96" s="14">
        <v>2.8999999999999901</v>
      </c>
      <c r="O96" s="14">
        <v>1.23</v>
      </c>
      <c r="P96" s="14">
        <v>2.74</v>
      </c>
      <c r="Q96">
        <v>428</v>
      </c>
    </row>
    <row r="97" spans="3:17" x14ac:dyDescent="0.25">
      <c r="C97" s="15" t="s">
        <v>173</v>
      </c>
      <c r="D97" s="14" t="s">
        <v>14</v>
      </c>
      <c r="E97" s="14">
        <v>12.2899999999999</v>
      </c>
      <c r="F97" s="14">
        <v>3.1699999999999902</v>
      </c>
      <c r="G97" s="14">
        <v>2.21</v>
      </c>
      <c r="H97" s="14">
        <v>18</v>
      </c>
      <c r="I97" s="14">
        <v>88</v>
      </c>
      <c r="J97" s="14">
        <v>2.85</v>
      </c>
      <c r="K97" s="14">
        <v>2.99</v>
      </c>
      <c r="L97" s="14">
        <v>0.45</v>
      </c>
      <c r="M97" s="14">
        <v>2.81</v>
      </c>
      <c r="N97" s="14">
        <v>2.2999999999999901</v>
      </c>
      <c r="O97" s="14">
        <v>1.4199999999999899</v>
      </c>
      <c r="P97" s="14">
        <v>2.83</v>
      </c>
      <c r="Q97">
        <v>406</v>
      </c>
    </row>
    <row r="98" spans="3:17" x14ac:dyDescent="0.25">
      <c r="C98" s="15" t="s">
        <v>177</v>
      </c>
      <c r="D98" s="14" t="s">
        <v>14</v>
      </c>
      <c r="E98" s="14">
        <v>11.82</v>
      </c>
      <c r="F98" s="14">
        <v>1.72</v>
      </c>
      <c r="G98" s="14">
        <v>1.8799999999999899</v>
      </c>
      <c r="H98" s="14">
        <v>19.5</v>
      </c>
      <c r="I98" s="14">
        <v>86</v>
      </c>
      <c r="J98" s="14">
        <v>2.5</v>
      </c>
      <c r="K98" s="14">
        <v>1.6399999999999899</v>
      </c>
      <c r="L98" s="14">
        <v>0.37</v>
      </c>
      <c r="M98" s="14">
        <v>1.4199999999999899</v>
      </c>
      <c r="N98" s="14">
        <v>2.06</v>
      </c>
      <c r="O98" s="14">
        <v>0.93999999999999895</v>
      </c>
      <c r="P98" s="14">
        <v>2.4399999999999902</v>
      </c>
      <c r="Q98">
        <v>415</v>
      </c>
    </row>
    <row r="99" spans="3:17" x14ac:dyDescent="0.25">
      <c r="C99" s="15" t="s">
        <v>178</v>
      </c>
      <c r="D99" s="14" t="s">
        <v>14</v>
      </c>
      <c r="E99" s="14">
        <v>12.51</v>
      </c>
      <c r="F99" s="14">
        <v>1.73</v>
      </c>
      <c r="G99" s="14">
        <v>1.98</v>
      </c>
      <c r="H99" s="14">
        <v>20.5</v>
      </c>
      <c r="I99" s="14">
        <v>85</v>
      </c>
      <c r="J99" s="14">
        <v>2.2000000000000002</v>
      </c>
      <c r="K99" s="14">
        <v>1.9199999999999899</v>
      </c>
      <c r="L99" s="14">
        <v>0.32</v>
      </c>
      <c r="M99" s="14">
        <v>1.48</v>
      </c>
      <c r="N99" s="14">
        <v>2.9399999999999902</v>
      </c>
      <c r="O99" s="14">
        <v>1.04</v>
      </c>
      <c r="P99" s="14">
        <v>3.5699999999999901</v>
      </c>
      <c r="Q99">
        <v>672</v>
      </c>
    </row>
    <row r="100" spans="3:17" x14ac:dyDescent="0.25">
      <c r="C100" s="15" t="s">
        <v>179</v>
      </c>
      <c r="D100" s="14" t="s">
        <v>14</v>
      </c>
      <c r="E100" s="14">
        <v>12.42</v>
      </c>
      <c r="F100" s="14">
        <v>2.5499999999999901</v>
      </c>
      <c r="G100" s="14">
        <v>2.27</v>
      </c>
      <c r="H100" s="14">
        <v>22</v>
      </c>
      <c r="I100" s="14">
        <v>90</v>
      </c>
      <c r="J100" s="14">
        <v>1.6799999999999899</v>
      </c>
      <c r="K100" s="14">
        <v>1.84</v>
      </c>
      <c r="L100" s="14">
        <v>0.66</v>
      </c>
      <c r="M100" s="14">
        <v>1.4199999999999899</v>
      </c>
      <c r="N100" s="14">
        <v>2.7</v>
      </c>
      <c r="O100" s="14">
        <v>0.85999999999999899</v>
      </c>
      <c r="P100" s="14">
        <v>3.2999999999999901</v>
      </c>
      <c r="Q100">
        <v>315</v>
      </c>
    </row>
    <row r="101" spans="3:17" x14ac:dyDescent="0.25">
      <c r="C101" s="15" t="s">
        <v>180</v>
      </c>
      <c r="D101" s="14" t="s">
        <v>14</v>
      </c>
      <c r="E101" s="14">
        <v>12.25</v>
      </c>
      <c r="F101" s="14">
        <v>1.73</v>
      </c>
      <c r="G101" s="14">
        <v>2.12</v>
      </c>
      <c r="H101" s="14">
        <v>19</v>
      </c>
      <c r="I101" s="14">
        <v>80</v>
      </c>
      <c r="J101" s="14">
        <v>1.6499999999999899</v>
      </c>
      <c r="K101" s="14">
        <v>2.02999999999999</v>
      </c>
      <c r="L101" s="14">
        <v>0.37</v>
      </c>
      <c r="M101" s="14">
        <v>1.6299999999999899</v>
      </c>
      <c r="N101" s="14">
        <v>3.3999999999999901</v>
      </c>
      <c r="O101" s="14">
        <v>1</v>
      </c>
      <c r="P101" s="14">
        <v>3.1699999999999902</v>
      </c>
      <c r="Q101">
        <v>510</v>
      </c>
    </row>
    <row r="102" spans="3:17" x14ac:dyDescent="0.25">
      <c r="C102" s="15" t="s">
        <v>181</v>
      </c>
      <c r="D102" s="14" t="s">
        <v>14</v>
      </c>
      <c r="E102" s="14">
        <v>12.72</v>
      </c>
      <c r="F102" s="14">
        <v>1.75</v>
      </c>
      <c r="G102" s="14">
        <v>2.27999999999999</v>
      </c>
      <c r="H102" s="14">
        <v>22.5</v>
      </c>
      <c r="I102" s="14">
        <v>84</v>
      </c>
      <c r="J102" s="14">
        <v>1.3799999999999899</v>
      </c>
      <c r="K102" s="14">
        <v>1.76</v>
      </c>
      <c r="L102" s="14">
        <v>0.47999999999999898</v>
      </c>
      <c r="M102" s="14">
        <v>1.6299999999999899</v>
      </c>
      <c r="N102" s="14">
        <v>3.2999999999999901</v>
      </c>
      <c r="O102" s="14">
        <v>0.88</v>
      </c>
      <c r="P102" s="14">
        <v>2.4199999999999902</v>
      </c>
      <c r="Q102">
        <v>488</v>
      </c>
    </row>
    <row r="103" spans="3:17" x14ac:dyDescent="0.25">
      <c r="C103" s="15" t="s">
        <v>182</v>
      </c>
      <c r="D103" s="14" t="s">
        <v>14</v>
      </c>
      <c r="E103" s="14">
        <v>12.22</v>
      </c>
      <c r="F103" s="14">
        <v>1.29</v>
      </c>
      <c r="G103" s="14">
        <v>1.93999999999999</v>
      </c>
      <c r="H103" s="14">
        <v>19</v>
      </c>
      <c r="I103" s="14">
        <v>92</v>
      </c>
      <c r="J103" s="14">
        <v>2.3599999999999901</v>
      </c>
      <c r="K103" s="14">
        <v>2.04</v>
      </c>
      <c r="L103" s="14">
        <v>0.39</v>
      </c>
      <c r="M103" s="14">
        <v>2.08</v>
      </c>
      <c r="N103" s="14">
        <v>2.7</v>
      </c>
      <c r="O103" s="14">
        <v>0.85999999999999899</v>
      </c>
      <c r="P103" s="14">
        <v>3.02</v>
      </c>
      <c r="Q103">
        <v>312</v>
      </c>
    </row>
    <row r="104" spans="3:17" x14ac:dyDescent="0.25">
      <c r="C104" s="15" t="s">
        <v>183</v>
      </c>
      <c r="D104" s="14" t="s">
        <v>14</v>
      </c>
      <c r="E104" s="14">
        <v>11.6099999999999</v>
      </c>
      <c r="F104" s="14">
        <v>1.35</v>
      </c>
      <c r="G104" s="14">
        <v>2.7</v>
      </c>
      <c r="H104" s="14">
        <v>20</v>
      </c>
      <c r="I104" s="14">
        <v>94</v>
      </c>
      <c r="J104" s="14">
        <v>2.74</v>
      </c>
      <c r="K104" s="14">
        <v>2.9199999999999902</v>
      </c>
      <c r="L104" s="14">
        <v>0.28999999999999898</v>
      </c>
      <c r="M104" s="14">
        <v>2.4900000000000002</v>
      </c>
      <c r="N104" s="14">
        <v>2.6499999999999901</v>
      </c>
      <c r="O104" s="14">
        <v>0.95999999999999897</v>
      </c>
      <c r="P104" s="14">
        <v>3.25999999999999</v>
      </c>
      <c r="Q104">
        <v>680</v>
      </c>
    </row>
    <row r="105" spans="3:17" x14ac:dyDescent="0.25">
      <c r="C105" s="15" t="s">
        <v>185</v>
      </c>
      <c r="D105" s="14" t="s">
        <v>14</v>
      </c>
      <c r="E105" s="14">
        <v>12.52</v>
      </c>
      <c r="F105" s="14">
        <v>2.4300000000000002</v>
      </c>
      <c r="G105" s="14">
        <v>2.1699999999999902</v>
      </c>
      <c r="H105" s="14">
        <v>21</v>
      </c>
      <c r="I105" s="14">
        <v>88</v>
      </c>
      <c r="J105" s="14">
        <v>2.5499999999999901</v>
      </c>
      <c r="K105" s="14">
        <v>2.27</v>
      </c>
      <c r="L105" s="14">
        <v>0.26</v>
      </c>
      <c r="M105" s="14">
        <v>1.22</v>
      </c>
      <c r="N105" s="14">
        <v>2</v>
      </c>
      <c r="O105" s="14">
        <v>0.9</v>
      </c>
      <c r="P105" s="14">
        <v>2.77999999999999</v>
      </c>
      <c r="Q105">
        <v>325</v>
      </c>
    </row>
    <row r="106" spans="3:17" x14ac:dyDescent="0.25">
      <c r="C106" s="15" t="s">
        <v>186</v>
      </c>
      <c r="D106" s="14" t="s">
        <v>14</v>
      </c>
      <c r="E106" s="14">
        <v>11.76</v>
      </c>
      <c r="F106" s="14">
        <v>2.68</v>
      </c>
      <c r="G106" s="14">
        <v>2.9199999999999902</v>
      </c>
      <c r="H106" s="14">
        <v>20</v>
      </c>
      <c r="I106" s="14">
        <v>103</v>
      </c>
      <c r="J106" s="14">
        <v>1.75</v>
      </c>
      <c r="K106" s="14">
        <v>2.02999999999999</v>
      </c>
      <c r="L106" s="14">
        <v>0.59999999999999898</v>
      </c>
      <c r="M106" s="14">
        <v>1.05</v>
      </c>
      <c r="N106" s="14">
        <v>3.7999999999999901</v>
      </c>
      <c r="O106" s="14">
        <v>1.23</v>
      </c>
      <c r="P106" s="14">
        <v>2.5</v>
      </c>
      <c r="Q106">
        <v>607</v>
      </c>
    </row>
    <row r="107" spans="3:17" x14ac:dyDescent="0.25">
      <c r="C107" s="15" t="s">
        <v>187</v>
      </c>
      <c r="D107" s="14" t="s">
        <v>14</v>
      </c>
      <c r="E107" s="14">
        <v>11.41</v>
      </c>
      <c r="F107" s="14">
        <v>0.73999999999999899</v>
      </c>
      <c r="G107" s="14">
        <v>2.5</v>
      </c>
      <c r="H107" s="14">
        <v>21</v>
      </c>
      <c r="I107" s="14">
        <v>88</v>
      </c>
      <c r="J107" s="14">
        <v>2.48</v>
      </c>
      <c r="K107" s="14">
        <v>2.00999999999999</v>
      </c>
      <c r="L107" s="14">
        <v>0.41999999999999899</v>
      </c>
      <c r="M107" s="14">
        <v>1.43999999999999</v>
      </c>
      <c r="N107" s="14">
        <v>3.08</v>
      </c>
      <c r="O107" s="14">
        <v>1.1000000000000001</v>
      </c>
      <c r="P107" s="14">
        <v>2.31</v>
      </c>
      <c r="Q107">
        <v>434</v>
      </c>
    </row>
    <row r="108" spans="3:17" x14ac:dyDescent="0.25">
      <c r="C108" s="15" t="s">
        <v>188</v>
      </c>
      <c r="D108" s="14" t="s">
        <v>14</v>
      </c>
      <c r="E108" s="14">
        <v>12.08</v>
      </c>
      <c r="F108" s="14">
        <v>1.3899999999999899</v>
      </c>
      <c r="G108" s="14">
        <v>2.5</v>
      </c>
      <c r="H108" s="14">
        <v>22.5</v>
      </c>
      <c r="I108" s="14">
        <v>84</v>
      </c>
      <c r="J108" s="14">
        <v>2.56</v>
      </c>
      <c r="K108" s="14">
        <v>2.29</v>
      </c>
      <c r="L108" s="14">
        <v>0.42999999999999899</v>
      </c>
      <c r="M108" s="14">
        <v>1.04</v>
      </c>
      <c r="N108" s="14">
        <v>2.8999999999999901</v>
      </c>
      <c r="O108" s="14">
        <v>0.93</v>
      </c>
      <c r="P108" s="14">
        <v>3.1899999999999902</v>
      </c>
      <c r="Q108">
        <v>385</v>
      </c>
    </row>
    <row r="109" spans="3:17" x14ac:dyDescent="0.25">
      <c r="C109" s="15" t="s">
        <v>190</v>
      </c>
      <c r="D109" s="14" t="s">
        <v>14</v>
      </c>
      <c r="E109" s="14">
        <v>11.82</v>
      </c>
      <c r="F109" s="14">
        <v>1.47</v>
      </c>
      <c r="G109" s="14">
        <v>1.99</v>
      </c>
      <c r="H109" s="14">
        <v>20.8</v>
      </c>
      <c r="I109" s="14">
        <v>86</v>
      </c>
      <c r="J109" s="14">
        <v>1.98</v>
      </c>
      <c r="K109" s="14">
        <v>1.6</v>
      </c>
      <c r="L109" s="14">
        <v>0.29999999999999899</v>
      </c>
      <c r="M109" s="14">
        <v>1.53</v>
      </c>
      <c r="N109" s="14">
        <v>1.95</v>
      </c>
      <c r="O109" s="14">
        <v>0.94999999999999896</v>
      </c>
      <c r="P109" s="14">
        <v>3.33</v>
      </c>
      <c r="Q109">
        <v>495</v>
      </c>
    </row>
    <row r="110" spans="3:17" x14ac:dyDescent="0.25">
      <c r="C110" s="15" t="s">
        <v>191</v>
      </c>
      <c r="D110" s="14" t="s">
        <v>14</v>
      </c>
      <c r="E110" s="14">
        <v>12.42</v>
      </c>
      <c r="F110" s="14">
        <v>1.61</v>
      </c>
      <c r="G110" s="14">
        <v>2.1899999999999902</v>
      </c>
      <c r="H110" s="14">
        <v>22.5</v>
      </c>
      <c r="I110" s="14">
        <v>108</v>
      </c>
      <c r="J110" s="14">
        <v>2</v>
      </c>
      <c r="K110" s="14">
        <v>2.0899999999999901</v>
      </c>
      <c r="L110" s="14">
        <v>0.34</v>
      </c>
      <c r="M110" s="14">
        <v>1.61</v>
      </c>
      <c r="N110" s="14">
        <v>2.06</v>
      </c>
      <c r="O110" s="14">
        <v>1.06</v>
      </c>
      <c r="P110" s="14">
        <v>2.96</v>
      </c>
      <c r="Q110">
        <v>345</v>
      </c>
    </row>
    <row r="111" spans="3:17" x14ac:dyDescent="0.25">
      <c r="C111" s="15" t="s">
        <v>192</v>
      </c>
      <c r="D111" s="14" t="s">
        <v>14</v>
      </c>
      <c r="E111" s="14">
        <v>12.77</v>
      </c>
      <c r="F111" s="14">
        <v>3.43</v>
      </c>
      <c r="G111" s="14">
        <v>1.98</v>
      </c>
      <c r="H111" s="14">
        <v>16</v>
      </c>
      <c r="I111" s="14">
        <v>80</v>
      </c>
      <c r="J111" s="14">
        <v>1.6299999999999899</v>
      </c>
      <c r="K111" s="14">
        <v>1.25</v>
      </c>
      <c r="L111" s="14">
        <v>0.42999999999999899</v>
      </c>
      <c r="M111" s="14">
        <v>0.82999999999999896</v>
      </c>
      <c r="N111" s="14">
        <v>3.3999999999999901</v>
      </c>
      <c r="O111" s="14">
        <v>0.69999999999999896</v>
      </c>
      <c r="P111" s="14">
        <v>2.12</v>
      </c>
      <c r="Q111">
        <v>372</v>
      </c>
    </row>
    <row r="112" spans="3:17" x14ac:dyDescent="0.25">
      <c r="C112" s="15" t="s">
        <v>193</v>
      </c>
      <c r="D112" s="14" t="s">
        <v>14</v>
      </c>
      <c r="E112" s="14">
        <v>12</v>
      </c>
      <c r="F112" s="14">
        <v>3.43</v>
      </c>
      <c r="G112" s="14">
        <v>2</v>
      </c>
      <c r="H112" s="14">
        <v>19</v>
      </c>
      <c r="I112" s="14">
        <v>87</v>
      </c>
      <c r="J112" s="14">
        <v>2</v>
      </c>
      <c r="K112" s="14">
        <v>1.6399999999999899</v>
      </c>
      <c r="L112" s="14">
        <v>0.37</v>
      </c>
      <c r="M112" s="14">
        <v>1.87</v>
      </c>
      <c r="N112" s="14">
        <v>1.28</v>
      </c>
      <c r="O112" s="14">
        <v>0.93</v>
      </c>
      <c r="P112" s="14">
        <v>3.0499999999999901</v>
      </c>
      <c r="Q112">
        <v>564</v>
      </c>
    </row>
    <row r="113" spans="3:17" x14ac:dyDescent="0.25">
      <c r="C113" s="15" t="s">
        <v>195</v>
      </c>
      <c r="D113" s="14" t="s">
        <v>14</v>
      </c>
      <c r="E113" s="14">
        <v>11.56</v>
      </c>
      <c r="F113" s="14">
        <v>2.0499999999999901</v>
      </c>
      <c r="G113" s="14">
        <v>3.23</v>
      </c>
      <c r="H113" s="14">
        <v>28.5</v>
      </c>
      <c r="I113" s="14">
        <v>119</v>
      </c>
      <c r="J113" s="14">
        <v>3.18</v>
      </c>
      <c r="K113" s="14">
        <v>5.08</v>
      </c>
      <c r="L113" s="14">
        <v>0.46999999999999897</v>
      </c>
      <c r="M113" s="14">
        <v>1.87</v>
      </c>
      <c r="N113" s="14">
        <v>6</v>
      </c>
      <c r="O113" s="14">
        <v>0.93</v>
      </c>
      <c r="P113" s="14">
        <v>3.6899999999999902</v>
      </c>
      <c r="Q113">
        <v>465</v>
      </c>
    </row>
    <row r="114" spans="3:17" x14ac:dyDescent="0.25">
      <c r="C114" s="15" t="s">
        <v>196</v>
      </c>
      <c r="D114" s="14" t="s">
        <v>14</v>
      </c>
      <c r="E114" s="14">
        <v>12.42</v>
      </c>
      <c r="F114" s="14">
        <v>4.4299999999999899</v>
      </c>
      <c r="G114" s="14">
        <v>2.73</v>
      </c>
      <c r="H114" s="14">
        <v>26.5</v>
      </c>
      <c r="I114" s="14">
        <v>102</v>
      </c>
      <c r="J114" s="14">
        <v>2.2000000000000002</v>
      </c>
      <c r="K114" s="14">
        <v>2.1299999999999901</v>
      </c>
      <c r="L114" s="14">
        <v>0.42999999999999899</v>
      </c>
      <c r="M114" s="14">
        <v>1.71</v>
      </c>
      <c r="N114" s="14">
        <v>2.08</v>
      </c>
      <c r="O114" s="14">
        <v>0.92</v>
      </c>
      <c r="P114" s="14">
        <v>3.12</v>
      </c>
      <c r="Q114">
        <v>365</v>
      </c>
    </row>
    <row r="115" spans="3:17" x14ac:dyDescent="0.25">
      <c r="C115" s="15" t="s">
        <v>198</v>
      </c>
      <c r="D115" s="14" t="s">
        <v>14</v>
      </c>
      <c r="E115" s="14">
        <v>11.8699999999999</v>
      </c>
      <c r="F115" s="14">
        <v>4.3099999999999898</v>
      </c>
      <c r="G115" s="14">
        <v>2.39</v>
      </c>
      <c r="H115" s="14">
        <v>21</v>
      </c>
      <c r="I115" s="14">
        <v>82</v>
      </c>
      <c r="J115" s="14">
        <v>2.8599999999999901</v>
      </c>
      <c r="K115" s="14">
        <v>3.02999999999999</v>
      </c>
      <c r="L115" s="14">
        <v>0.20999999999999899</v>
      </c>
      <c r="M115" s="14">
        <v>2.91</v>
      </c>
      <c r="N115" s="14">
        <v>2.7999999999999901</v>
      </c>
      <c r="O115" s="14">
        <v>0.75</v>
      </c>
      <c r="P115" s="14">
        <v>3.64</v>
      </c>
      <c r="Q115">
        <v>380</v>
      </c>
    </row>
    <row r="116" spans="3:17" x14ac:dyDescent="0.25">
      <c r="C116" s="15" t="s">
        <v>201</v>
      </c>
      <c r="D116" s="14" t="s">
        <v>14</v>
      </c>
      <c r="E116" s="14">
        <v>11.7899999999999</v>
      </c>
      <c r="F116" s="14">
        <v>2.1299999999999901</v>
      </c>
      <c r="G116" s="14">
        <v>2.77999999999999</v>
      </c>
      <c r="H116" s="14">
        <v>28.5</v>
      </c>
      <c r="I116" s="14">
        <v>92</v>
      </c>
      <c r="J116" s="14">
        <v>2.1299999999999901</v>
      </c>
      <c r="K116" s="14">
        <v>2.2400000000000002</v>
      </c>
      <c r="L116" s="14">
        <v>0.57999999999999896</v>
      </c>
      <c r="M116" s="14">
        <v>1.76</v>
      </c>
      <c r="N116" s="14">
        <v>3</v>
      </c>
      <c r="O116" s="14">
        <v>0.96999999999999897</v>
      </c>
      <c r="P116" s="14">
        <v>2.4399999999999902</v>
      </c>
      <c r="Q116">
        <v>466</v>
      </c>
    </row>
    <row r="117" spans="3:17" x14ac:dyDescent="0.25">
      <c r="C117" s="15" t="s">
        <v>202</v>
      </c>
      <c r="D117" s="14" t="s">
        <v>14</v>
      </c>
      <c r="E117" s="14">
        <v>12.3699999999999</v>
      </c>
      <c r="F117" s="14">
        <v>1.6299999999999899</v>
      </c>
      <c r="G117" s="14">
        <v>2.2999999999999901</v>
      </c>
      <c r="H117" s="14">
        <v>24.5</v>
      </c>
      <c r="I117" s="14">
        <v>88</v>
      </c>
      <c r="J117" s="14">
        <v>2.2200000000000002</v>
      </c>
      <c r="K117" s="14">
        <v>2.4500000000000002</v>
      </c>
      <c r="L117" s="14">
        <v>0.4</v>
      </c>
      <c r="M117" s="14">
        <v>1.8999999999999899</v>
      </c>
      <c r="N117" s="14">
        <v>2.12</v>
      </c>
      <c r="O117" s="14">
        <v>0.89</v>
      </c>
      <c r="P117" s="14">
        <v>2.77999999999999</v>
      </c>
      <c r="Q117">
        <v>342</v>
      </c>
    </row>
    <row r="118" spans="3:17" x14ac:dyDescent="0.25">
      <c r="C118" s="15" t="s">
        <v>203</v>
      </c>
      <c r="D118" s="14" t="s">
        <v>14</v>
      </c>
      <c r="E118" s="14">
        <v>12.0399999999999</v>
      </c>
      <c r="F118" s="14">
        <v>4.2999999999999901</v>
      </c>
      <c r="G118" s="14">
        <v>2.3799999999999901</v>
      </c>
      <c r="H118" s="14">
        <v>22</v>
      </c>
      <c r="I118" s="14">
        <v>80</v>
      </c>
      <c r="J118" s="14">
        <v>2.1</v>
      </c>
      <c r="K118" s="14">
        <v>1.75</v>
      </c>
      <c r="L118" s="14">
        <v>0.41999999999999899</v>
      </c>
      <c r="M118" s="14">
        <v>1.35</v>
      </c>
      <c r="N118" s="14">
        <v>2.6</v>
      </c>
      <c r="O118" s="14">
        <v>0.79</v>
      </c>
      <c r="P118" s="14">
        <v>2.5699999999999901</v>
      </c>
      <c r="Q118">
        <v>580</v>
      </c>
    </row>
    <row r="119" spans="3:17" x14ac:dyDescent="0.25">
      <c r="C119" s="15" t="s">
        <v>205</v>
      </c>
      <c r="D119" s="14" t="s">
        <v>15</v>
      </c>
      <c r="E119" s="14">
        <v>12.88</v>
      </c>
      <c r="F119" s="14">
        <v>2.99</v>
      </c>
      <c r="G119" s="14">
        <v>2.3999999999999901</v>
      </c>
      <c r="H119" s="14">
        <v>20</v>
      </c>
      <c r="I119" s="14">
        <v>104</v>
      </c>
      <c r="J119" s="14">
        <v>1.3</v>
      </c>
      <c r="K119" s="14">
        <v>1.22</v>
      </c>
      <c r="L119" s="14">
        <v>0.23999999999999899</v>
      </c>
      <c r="M119" s="14">
        <v>0.82999999999999896</v>
      </c>
      <c r="N119" s="14">
        <v>5.4</v>
      </c>
      <c r="O119" s="14">
        <v>0.73999999999999899</v>
      </c>
      <c r="P119" s="14">
        <v>1.4199999999999899</v>
      </c>
      <c r="Q119">
        <v>530</v>
      </c>
    </row>
    <row r="120" spans="3:17" x14ac:dyDescent="0.25">
      <c r="C120" s="15" t="s">
        <v>206</v>
      </c>
      <c r="D120" s="14" t="s">
        <v>15</v>
      </c>
      <c r="E120" s="14">
        <v>12.81</v>
      </c>
      <c r="F120" s="14">
        <v>2.31</v>
      </c>
      <c r="G120" s="14">
        <v>2.3999999999999901</v>
      </c>
      <c r="H120" s="14">
        <v>24</v>
      </c>
      <c r="I120" s="14">
        <v>98</v>
      </c>
      <c r="J120" s="14">
        <v>1.1499999999999899</v>
      </c>
      <c r="K120" s="14">
        <v>1.0900000000000001</v>
      </c>
      <c r="L120" s="14">
        <v>0.27</v>
      </c>
      <c r="M120" s="14">
        <v>0.82999999999999896</v>
      </c>
      <c r="N120" s="14">
        <v>5.7</v>
      </c>
      <c r="O120" s="14">
        <v>0.66</v>
      </c>
      <c r="P120" s="14">
        <v>1.36</v>
      </c>
      <c r="Q120">
        <v>560</v>
      </c>
    </row>
    <row r="121" spans="3:17" x14ac:dyDescent="0.25">
      <c r="C121" s="15" t="s">
        <v>207</v>
      </c>
      <c r="D121" s="14" t="s">
        <v>15</v>
      </c>
      <c r="E121" s="14">
        <v>12.6999999999999</v>
      </c>
      <c r="F121" s="14">
        <v>3.5499999999999901</v>
      </c>
      <c r="G121" s="14">
        <v>2.3599999999999901</v>
      </c>
      <c r="H121" s="14">
        <v>21.5</v>
      </c>
      <c r="I121" s="14">
        <v>106</v>
      </c>
      <c r="J121" s="14">
        <v>1.7</v>
      </c>
      <c r="K121" s="14">
        <v>1.2</v>
      </c>
      <c r="L121" s="14">
        <v>0.17</v>
      </c>
      <c r="M121" s="14">
        <v>0.83999999999999897</v>
      </c>
      <c r="N121" s="14">
        <v>5</v>
      </c>
      <c r="O121" s="14">
        <v>0.78</v>
      </c>
      <c r="P121" s="14">
        <v>1.29</v>
      </c>
      <c r="Q121">
        <v>600</v>
      </c>
    </row>
    <row r="122" spans="3:17" x14ac:dyDescent="0.25">
      <c r="C122" s="15" t="s">
        <v>209</v>
      </c>
      <c r="D122" s="14" t="s">
        <v>15</v>
      </c>
      <c r="E122" s="14">
        <v>12.6</v>
      </c>
      <c r="F122" s="14">
        <v>2.46</v>
      </c>
      <c r="G122" s="14">
        <v>2.2000000000000002</v>
      </c>
      <c r="H122" s="14">
        <v>18.5</v>
      </c>
      <c r="I122" s="14">
        <v>94</v>
      </c>
      <c r="J122" s="14">
        <v>1.62</v>
      </c>
      <c r="K122" s="14">
        <v>0.66</v>
      </c>
      <c r="L122" s="14">
        <v>0.63</v>
      </c>
      <c r="M122" s="14">
        <v>0.93999999999999895</v>
      </c>
      <c r="N122" s="14">
        <v>7.0999999999999899</v>
      </c>
      <c r="O122" s="14">
        <v>0.72999999999999898</v>
      </c>
      <c r="P122" s="14">
        <v>1.58</v>
      </c>
      <c r="Q122">
        <v>695</v>
      </c>
    </row>
    <row r="123" spans="3:17" x14ac:dyDescent="0.25">
      <c r="C123" s="15" t="s">
        <v>214</v>
      </c>
      <c r="D123" s="14" t="s">
        <v>15</v>
      </c>
      <c r="E123" s="14">
        <v>12.93</v>
      </c>
      <c r="F123" s="14">
        <v>2.81</v>
      </c>
      <c r="G123" s="14">
        <v>2.7</v>
      </c>
      <c r="H123" s="14">
        <v>21</v>
      </c>
      <c r="I123" s="14">
        <v>96</v>
      </c>
      <c r="J123" s="14">
        <v>1.54</v>
      </c>
      <c r="K123" s="14">
        <v>0.5</v>
      </c>
      <c r="L123" s="14">
        <v>0.53</v>
      </c>
      <c r="M123" s="14">
        <v>0.75</v>
      </c>
      <c r="N123" s="14">
        <v>4.5999999999999899</v>
      </c>
      <c r="O123" s="14">
        <v>0.77</v>
      </c>
      <c r="P123" s="14">
        <v>2.31</v>
      </c>
      <c r="Q123">
        <v>600</v>
      </c>
    </row>
    <row r="124" spans="3:17" x14ac:dyDescent="0.25">
      <c r="C124" s="15" t="s">
        <v>215</v>
      </c>
      <c r="D124" s="14" t="s">
        <v>15</v>
      </c>
      <c r="E124" s="14">
        <v>13.3599999999999</v>
      </c>
      <c r="F124" s="14">
        <v>2.56</v>
      </c>
      <c r="G124" s="14">
        <v>2.35</v>
      </c>
      <c r="H124" s="14">
        <v>20</v>
      </c>
      <c r="I124" s="14">
        <v>89</v>
      </c>
      <c r="J124" s="14">
        <v>1.3999999999999899</v>
      </c>
      <c r="K124" s="14">
        <v>0.5</v>
      </c>
      <c r="L124" s="14">
        <v>0.37</v>
      </c>
      <c r="M124" s="14">
        <v>0.64</v>
      </c>
      <c r="N124" s="14">
        <v>5.5999999999999899</v>
      </c>
      <c r="O124" s="14">
        <v>0.69999999999999896</v>
      </c>
      <c r="P124" s="14">
        <v>2.4700000000000002</v>
      </c>
      <c r="Q124">
        <v>780</v>
      </c>
    </row>
    <row r="125" spans="3:17" x14ac:dyDescent="0.25">
      <c r="C125" s="15" t="s">
        <v>216</v>
      </c>
      <c r="D125" s="14" t="s">
        <v>15</v>
      </c>
      <c r="E125" s="14">
        <v>13.52</v>
      </c>
      <c r="F125" s="14">
        <v>3.1699999999999902</v>
      </c>
      <c r="G125" s="14">
        <v>2.72</v>
      </c>
      <c r="H125" s="14">
        <v>23.5</v>
      </c>
      <c r="I125" s="14">
        <v>97</v>
      </c>
      <c r="J125" s="14">
        <v>1.55</v>
      </c>
      <c r="K125" s="14">
        <v>0.52</v>
      </c>
      <c r="L125" s="14">
        <v>0.5</v>
      </c>
      <c r="M125" s="14">
        <v>0.55000000000000004</v>
      </c>
      <c r="N125" s="14">
        <v>4.3499999999999899</v>
      </c>
      <c r="O125" s="14">
        <v>0.89</v>
      </c>
      <c r="P125" s="14">
        <v>2.06</v>
      </c>
      <c r="Q125">
        <v>520</v>
      </c>
    </row>
    <row r="126" spans="3:17" x14ac:dyDescent="0.25">
      <c r="C126" s="15" t="s">
        <v>218</v>
      </c>
      <c r="D126" s="14" t="s">
        <v>15</v>
      </c>
      <c r="E126" s="14">
        <v>12.25</v>
      </c>
      <c r="F126" s="14">
        <v>3.8799999999999901</v>
      </c>
      <c r="G126" s="14">
        <v>2.2000000000000002</v>
      </c>
      <c r="H126" s="14">
        <v>18.5</v>
      </c>
      <c r="I126" s="14">
        <v>112</v>
      </c>
      <c r="J126" s="14">
        <v>1.3799999999999899</v>
      </c>
      <c r="K126" s="14">
        <v>0.78</v>
      </c>
      <c r="L126" s="14">
        <v>0.28999999999999898</v>
      </c>
      <c r="M126" s="14">
        <v>1.1399999999999899</v>
      </c>
      <c r="N126" s="14">
        <v>8.2100000000000009</v>
      </c>
      <c r="O126" s="14">
        <v>0.65</v>
      </c>
      <c r="P126" s="14">
        <v>2</v>
      </c>
      <c r="Q126">
        <v>855</v>
      </c>
    </row>
    <row r="127" spans="3:17" x14ac:dyDescent="0.25">
      <c r="C127" s="15" t="s">
        <v>219</v>
      </c>
      <c r="D127" s="14" t="s">
        <v>15</v>
      </c>
      <c r="E127" s="14">
        <v>13.16</v>
      </c>
      <c r="F127" s="14">
        <v>3.5699999999999901</v>
      </c>
      <c r="G127" s="14">
        <v>2.1499999999999901</v>
      </c>
      <c r="H127" s="14">
        <v>21</v>
      </c>
      <c r="I127" s="14">
        <v>102</v>
      </c>
      <c r="J127" s="14">
        <v>1.5</v>
      </c>
      <c r="K127" s="14">
        <v>0.55000000000000004</v>
      </c>
      <c r="L127" s="14">
        <v>0.42999999999999899</v>
      </c>
      <c r="M127" s="14">
        <v>1.3</v>
      </c>
      <c r="N127" s="14">
        <v>4</v>
      </c>
      <c r="O127" s="14">
        <v>0.59999999999999898</v>
      </c>
      <c r="P127" s="14">
        <v>1.6799999999999899</v>
      </c>
      <c r="Q127">
        <v>830</v>
      </c>
    </row>
    <row r="128" spans="3:17" x14ac:dyDescent="0.25">
      <c r="C128" s="15" t="s">
        <v>221</v>
      </c>
      <c r="D128" s="14" t="s">
        <v>15</v>
      </c>
      <c r="E128" s="14">
        <v>12.8699999999999</v>
      </c>
      <c r="F128" s="14">
        <v>4.6100000000000003</v>
      </c>
      <c r="G128" s="14">
        <v>2.48</v>
      </c>
      <c r="H128" s="14">
        <v>21.5</v>
      </c>
      <c r="I128" s="14">
        <v>86</v>
      </c>
      <c r="J128" s="14">
        <v>1.7</v>
      </c>
      <c r="K128" s="14">
        <v>0.65</v>
      </c>
      <c r="L128" s="14">
        <v>0.46999999999999897</v>
      </c>
      <c r="M128" s="14">
        <v>0.85999999999999899</v>
      </c>
      <c r="N128" s="14">
        <v>7.65</v>
      </c>
      <c r="O128" s="14">
        <v>0.54</v>
      </c>
      <c r="P128" s="14">
        <v>1.86</v>
      </c>
      <c r="Q128">
        <v>625</v>
      </c>
    </row>
    <row r="129" spans="3:17" x14ac:dyDescent="0.25">
      <c r="C129" s="15" t="s">
        <v>223</v>
      </c>
      <c r="D129" s="14" t="s">
        <v>15</v>
      </c>
      <c r="E129" s="14">
        <v>13.08</v>
      </c>
      <c r="F129" s="14">
        <v>3.8999999999999901</v>
      </c>
      <c r="G129" s="14">
        <v>2.3599999999999901</v>
      </c>
      <c r="H129" s="14">
        <v>21.5</v>
      </c>
      <c r="I129" s="14">
        <v>113</v>
      </c>
      <c r="J129" s="14">
        <v>1.4099999999999899</v>
      </c>
      <c r="K129" s="14">
        <v>1.3899999999999899</v>
      </c>
      <c r="L129" s="14">
        <v>0.34</v>
      </c>
      <c r="M129" s="14">
        <v>1.1399999999999899</v>
      </c>
      <c r="N129" s="14">
        <v>9.4</v>
      </c>
      <c r="O129" s="14">
        <v>0.56999999999999895</v>
      </c>
      <c r="P129" s="14">
        <v>1.33</v>
      </c>
      <c r="Q129">
        <v>550</v>
      </c>
    </row>
    <row r="130" spans="3:17" x14ac:dyDescent="0.25">
      <c r="C130" s="15" t="s">
        <v>226</v>
      </c>
      <c r="D130" s="14" t="s">
        <v>15</v>
      </c>
      <c r="E130" s="14">
        <v>13.1099999999999</v>
      </c>
      <c r="F130" s="14">
        <v>1.8999999999999899</v>
      </c>
      <c r="G130" s="14">
        <v>2.75</v>
      </c>
      <c r="H130" s="14">
        <v>25.5</v>
      </c>
      <c r="I130" s="14">
        <v>116</v>
      </c>
      <c r="J130" s="14">
        <v>2.2000000000000002</v>
      </c>
      <c r="K130" s="14">
        <v>1.28</v>
      </c>
      <c r="L130" s="14">
        <v>0.26</v>
      </c>
      <c r="M130" s="14">
        <v>1.56</v>
      </c>
      <c r="N130" s="14">
        <v>7.0999999999999899</v>
      </c>
      <c r="O130" s="14">
        <v>0.60999999999999899</v>
      </c>
      <c r="P130" s="14">
        <v>1.33</v>
      </c>
      <c r="Q130">
        <v>425</v>
      </c>
    </row>
    <row r="131" spans="3:17" x14ac:dyDescent="0.25">
      <c r="C131" s="15" t="s">
        <v>227</v>
      </c>
      <c r="D131" s="14" t="s">
        <v>15</v>
      </c>
      <c r="E131" s="14">
        <v>13.23</v>
      </c>
      <c r="F131" s="14">
        <v>3.2999999999999901</v>
      </c>
      <c r="G131" s="14">
        <v>2.27999999999999</v>
      </c>
      <c r="H131" s="14">
        <v>18.5</v>
      </c>
      <c r="I131" s="14">
        <v>98</v>
      </c>
      <c r="J131" s="14">
        <v>1.8</v>
      </c>
      <c r="K131" s="14">
        <v>0.82999999999999896</v>
      </c>
      <c r="L131" s="14">
        <v>0.60999999999999899</v>
      </c>
      <c r="M131" s="14">
        <v>1.87</v>
      </c>
      <c r="N131" s="14">
        <v>10.52</v>
      </c>
      <c r="O131" s="14">
        <v>0.56000000000000005</v>
      </c>
      <c r="P131" s="14">
        <v>1.51</v>
      </c>
      <c r="Q131">
        <v>675</v>
      </c>
    </row>
    <row r="132" spans="3:17" x14ac:dyDescent="0.25">
      <c r="C132" s="15" t="s">
        <v>229</v>
      </c>
      <c r="D132" s="14" t="s">
        <v>15</v>
      </c>
      <c r="E132" s="14">
        <v>13.17</v>
      </c>
      <c r="F132" s="14">
        <v>5.19</v>
      </c>
      <c r="G132" s="14">
        <v>2.3199999999999901</v>
      </c>
      <c r="H132" s="14">
        <v>22</v>
      </c>
      <c r="I132" s="14">
        <v>93</v>
      </c>
      <c r="J132" s="14">
        <v>1.74</v>
      </c>
      <c r="K132" s="14">
        <v>0.63</v>
      </c>
      <c r="L132" s="14">
        <v>0.60999999999999899</v>
      </c>
      <c r="M132" s="14">
        <v>1.55</v>
      </c>
      <c r="N132" s="14">
        <v>7.9</v>
      </c>
      <c r="O132" s="14">
        <v>0.59999999999999898</v>
      </c>
      <c r="P132" s="14">
        <v>1.48</v>
      </c>
      <c r="Q132">
        <v>725</v>
      </c>
    </row>
    <row r="133" spans="3:17" x14ac:dyDescent="0.25">
      <c r="C133" s="15" t="s">
        <v>230</v>
      </c>
      <c r="D133" s="14" t="s">
        <v>15</v>
      </c>
      <c r="E133" s="14">
        <v>13.84</v>
      </c>
      <c r="F133" s="14">
        <v>4.12</v>
      </c>
      <c r="G133" s="14">
        <v>2.3799999999999901</v>
      </c>
      <c r="H133" s="14">
        <v>19.5</v>
      </c>
      <c r="I133" s="14">
        <v>89</v>
      </c>
      <c r="J133" s="14">
        <v>1.8</v>
      </c>
      <c r="K133" s="14">
        <v>0.82999999999999896</v>
      </c>
      <c r="L133" s="14">
        <v>0.47999999999999898</v>
      </c>
      <c r="M133" s="14">
        <v>1.56</v>
      </c>
      <c r="N133" s="14">
        <v>9.0099999999999891</v>
      </c>
      <c r="O133" s="14">
        <v>0.56999999999999895</v>
      </c>
      <c r="P133" s="14">
        <v>1.6399999999999899</v>
      </c>
      <c r="Q133">
        <v>480</v>
      </c>
    </row>
    <row r="134" spans="3:17" x14ac:dyDescent="0.25">
      <c r="C134" s="15" t="s">
        <v>231</v>
      </c>
      <c r="D134" s="14" t="s">
        <v>15</v>
      </c>
      <c r="E134" s="14">
        <v>12.4499999999999</v>
      </c>
      <c r="F134" s="14">
        <v>3.02999999999999</v>
      </c>
      <c r="G134" s="14">
        <v>2.64</v>
      </c>
      <c r="H134" s="14">
        <v>27</v>
      </c>
      <c r="I134" s="14">
        <v>97</v>
      </c>
      <c r="J134" s="14">
        <v>1.8999999999999899</v>
      </c>
      <c r="K134" s="14">
        <v>0.57999999999999896</v>
      </c>
      <c r="L134" s="14">
        <v>0.63</v>
      </c>
      <c r="M134" s="14">
        <v>1.1399999999999899</v>
      </c>
      <c r="N134" s="14">
        <v>7.5</v>
      </c>
      <c r="O134" s="14">
        <v>0.67</v>
      </c>
      <c r="P134" s="14">
        <v>1.73</v>
      </c>
      <c r="Q134">
        <v>880</v>
      </c>
    </row>
    <row r="135" spans="3:17" x14ac:dyDescent="0.25">
      <c r="C135" s="15" t="s">
        <v>232</v>
      </c>
      <c r="D135" s="14" t="s">
        <v>15</v>
      </c>
      <c r="E135" s="14">
        <v>14.34</v>
      </c>
      <c r="F135" s="14">
        <v>1.6799999999999899</v>
      </c>
      <c r="G135" s="14">
        <v>2.7</v>
      </c>
      <c r="H135" s="14">
        <v>25</v>
      </c>
      <c r="I135" s="14">
        <v>98</v>
      </c>
      <c r="J135" s="14">
        <v>2.7999999999999901</v>
      </c>
      <c r="K135" s="14">
        <v>1.31</v>
      </c>
      <c r="L135" s="14">
        <v>0.53</v>
      </c>
      <c r="M135" s="14">
        <v>2.7</v>
      </c>
      <c r="N135" s="14">
        <v>13</v>
      </c>
      <c r="O135" s="14">
        <v>0.56999999999999895</v>
      </c>
      <c r="P135" s="14">
        <v>1.96</v>
      </c>
      <c r="Q135">
        <v>660</v>
      </c>
    </row>
    <row r="136" spans="3:17" x14ac:dyDescent="0.25">
      <c r="C136" s="15" t="s">
        <v>234</v>
      </c>
      <c r="D136" s="14" t="s">
        <v>15</v>
      </c>
      <c r="E136" s="14">
        <v>12.3599999999999</v>
      </c>
      <c r="F136" s="14">
        <v>3.83</v>
      </c>
      <c r="G136" s="14">
        <v>2.3799999999999901</v>
      </c>
      <c r="H136" s="14">
        <v>21</v>
      </c>
      <c r="I136" s="14">
        <v>88</v>
      </c>
      <c r="J136" s="14">
        <v>2.2999999999999901</v>
      </c>
      <c r="K136" s="14">
        <v>0.92</v>
      </c>
      <c r="L136" s="14">
        <v>0.5</v>
      </c>
      <c r="M136" s="14">
        <v>1.04</v>
      </c>
      <c r="N136" s="14">
        <v>7.65</v>
      </c>
      <c r="O136" s="14">
        <v>0.56000000000000005</v>
      </c>
      <c r="P136" s="14">
        <v>1.58</v>
      </c>
      <c r="Q136">
        <v>520</v>
      </c>
    </row>
    <row r="137" spans="3:17" x14ac:dyDescent="0.25">
      <c r="C137" s="15" t="s">
        <v>236</v>
      </c>
      <c r="D137" s="14" t="s">
        <v>15</v>
      </c>
      <c r="E137" s="14">
        <v>12.85</v>
      </c>
      <c r="F137" s="14">
        <v>3.27</v>
      </c>
      <c r="G137" s="14">
        <v>2.58</v>
      </c>
      <c r="H137" s="14">
        <v>22</v>
      </c>
      <c r="I137" s="14">
        <v>106</v>
      </c>
      <c r="J137" s="14">
        <v>1.6499999999999899</v>
      </c>
      <c r="K137" s="14">
        <v>0.59999999999999898</v>
      </c>
      <c r="L137" s="14">
        <v>0.59999999999999898</v>
      </c>
      <c r="M137" s="14">
        <v>0.95999999999999897</v>
      </c>
      <c r="N137" s="14">
        <v>5.58</v>
      </c>
      <c r="O137" s="14">
        <v>0.87</v>
      </c>
      <c r="P137" s="14">
        <v>2.1099999999999901</v>
      </c>
      <c r="Q137">
        <v>570</v>
      </c>
    </row>
    <row r="138" spans="3:17" x14ac:dyDescent="0.25">
      <c r="C138" s="15" t="s">
        <v>237</v>
      </c>
      <c r="D138" s="14" t="s">
        <v>15</v>
      </c>
      <c r="E138" s="14">
        <v>12.96</v>
      </c>
      <c r="F138" s="14">
        <v>3.45</v>
      </c>
      <c r="G138" s="14">
        <v>2.35</v>
      </c>
      <c r="H138" s="14">
        <v>18.5</v>
      </c>
      <c r="I138" s="14">
        <v>106</v>
      </c>
      <c r="J138" s="14">
        <v>1.3899999999999899</v>
      </c>
      <c r="K138" s="14">
        <v>0.69999999999999896</v>
      </c>
      <c r="L138" s="14">
        <v>0.4</v>
      </c>
      <c r="M138" s="14">
        <v>0.93999999999999895</v>
      </c>
      <c r="N138" s="14">
        <v>5.28</v>
      </c>
      <c r="O138" s="14">
        <v>0.68</v>
      </c>
      <c r="P138" s="14">
        <v>1.75</v>
      </c>
      <c r="Q138">
        <v>675</v>
      </c>
    </row>
    <row r="139" spans="3:17" x14ac:dyDescent="0.25">
      <c r="C139" s="15" t="s">
        <v>239</v>
      </c>
      <c r="D139" s="14" t="s">
        <v>15</v>
      </c>
      <c r="E139" s="14">
        <v>13.73</v>
      </c>
      <c r="F139" s="14">
        <v>4.3600000000000003</v>
      </c>
      <c r="G139" s="14">
        <v>2.25999999999999</v>
      </c>
      <c r="H139" s="14">
        <v>22.5</v>
      </c>
      <c r="I139" s="14">
        <v>88</v>
      </c>
      <c r="J139" s="14">
        <v>1.28</v>
      </c>
      <c r="K139" s="14">
        <v>0.46999999999999897</v>
      </c>
      <c r="L139" s="14">
        <v>0.52</v>
      </c>
      <c r="M139" s="14">
        <v>1.1499999999999899</v>
      </c>
      <c r="N139" s="14">
        <v>6.62</v>
      </c>
      <c r="O139" s="14">
        <v>0.78</v>
      </c>
      <c r="P139" s="14">
        <v>1.75</v>
      </c>
      <c r="Q139">
        <v>520</v>
      </c>
    </row>
    <row r="140" spans="3:17" x14ac:dyDescent="0.25">
      <c r="C140" s="15" t="s">
        <v>240</v>
      </c>
      <c r="D140" s="14" t="s">
        <v>15</v>
      </c>
      <c r="E140" s="14">
        <v>13.4499999999999</v>
      </c>
      <c r="F140" s="14">
        <v>3.7</v>
      </c>
      <c r="G140" s="14">
        <v>2.6</v>
      </c>
      <c r="H140" s="14">
        <v>23</v>
      </c>
      <c r="I140" s="14">
        <v>111</v>
      </c>
      <c r="J140" s="14">
        <v>1.7</v>
      </c>
      <c r="K140" s="14">
        <v>0.92</v>
      </c>
      <c r="L140" s="14">
        <v>0.42999999999999899</v>
      </c>
      <c r="M140" s="14">
        <v>1.46</v>
      </c>
      <c r="N140" s="14">
        <v>10.68</v>
      </c>
      <c r="O140" s="14">
        <v>0.84999999999999898</v>
      </c>
      <c r="P140" s="14">
        <v>1.56</v>
      </c>
      <c r="Q140">
        <v>695</v>
      </c>
    </row>
    <row r="141" spans="3:17" x14ac:dyDescent="0.25">
      <c r="C141" s="15" t="s">
        <v>241</v>
      </c>
      <c r="D141" s="14" t="s">
        <v>15</v>
      </c>
      <c r="E141" s="14">
        <v>12.82</v>
      </c>
      <c r="F141" s="14">
        <v>3.37</v>
      </c>
      <c r="G141" s="14">
        <v>2.2999999999999901</v>
      </c>
      <c r="H141" s="14">
        <v>19.5</v>
      </c>
      <c r="I141" s="14">
        <v>88</v>
      </c>
      <c r="J141" s="14">
        <v>1.48</v>
      </c>
      <c r="K141" s="14">
        <v>0.66</v>
      </c>
      <c r="L141" s="14">
        <v>0.4</v>
      </c>
      <c r="M141" s="14">
        <v>0.96999999999999897</v>
      </c>
      <c r="N141" s="14">
        <v>10.26</v>
      </c>
      <c r="O141" s="14">
        <v>0.71999999999999897</v>
      </c>
      <c r="P141" s="14">
        <v>1.75</v>
      </c>
      <c r="Q141">
        <v>685</v>
      </c>
    </row>
    <row r="142" spans="3:17" x14ac:dyDescent="0.25">
      <c r="C142" s="15" t="s">
        <v>242</v>
      </c>
      <c r="D142" s="14" t="s">
        <v>15</v>
      </c>
      <c r="E142" s="14">
        <v>13.58</v>
      </c>
      <c r="F142" s="14">
        <v>2.58</v>
      </c>
      <c r="G142" s="14">
        <v>2.6899999999999902</v>
      </c>
      <c r="H142" s="14">
        <v>24.5</v>
      </c>
      <c r="I142" s="14">
        <v>105</v>
      </c>
      <c r="J142" s="14">
        <v>1.55</v>
      </c>
      <c r="K142" s="14">
        <v>0.83999999999999897</v>
      </c>
      <c r="L142" s="14">
        <v>0.39</v>
      </c>
      <c r="M142" s="14">
        <v>1.54</v>
      </c>
      <c r="N142" s="14">
        <v>8.66</v>
      </c>
      <c r="O142" s="14">
        <v>0.73999999999999899</v>
      </c>
      <c r="P142" s="14">
        <v>1.8</v>
      </c>
      <c r="Q142">
        <v>750</v>
      </c>
    </row>
    <row r="143" spans="3:17" x14ac:dyDescent="0.25">
      <c r="C143" s="15" t="s">
        <v>244</v>
      </c>
      <c r="D143" s="14" t="s">
        <v>15</v>
      </c>
      <c r="E143" s="14">
        <v>12.1999999999999</v>
      </c>
      <c r="F143" s="14">
        <v>3.02999999999999</v>
      </c>
      <c r="G143" s="14">
        <v>2.3199999999999901</v>
      </c>
      <c r="H143" s="14">
        <v>19</v>
      </c>
      <c r="I143" s="14">
        <v>96</v>
      </c>
      <c r="J143" s="14">
        <v>1.25</v>
      </c>
      <c r="K143" s="14">
        <v>0.48999999999999899</v>
      </c>
      <c r="L143" s="14">
        <v>0.4</v>
      </c>
      <c r="M143" s="14">
        <v>0.72999999999999898</v>
      </c>
      <c r="N143" s="14">
        <v>5.5</v>
      </c>
      <c r="O143" s="14">
        <v>0.66</v>
      </c>
      <c r="P143" s="14">
        <v>1.83</v>
      </c>
      <c r="Q143">
        <v>510</v>
      </c>
    </row>
    <row r="144" spans="3:17" x14ac:dyDescent="0.25">
      <c r="C144" s="15" t="s">
        <v>247</v>
      </c>
      <c r="D144" s="14" t="s">
        <v>15</v>
      </c>
      <c r="E144" s="14">
        <v>13.71</v>
      </c>
      <c r="F144" s="14">
        <v>5.65</v>
      </c>
      <c r="G144" s="14">
        <v>2.4500000000000002</v>
      </c>
      <c r="H144" s="14">
        <v>20.5</v>
      </c>
      <c r="I144" s="14">
        <v>95</v>
      </c>
      <c r="J144" s="14">
        <v>1.6799999999999899</v>
      </c>
      <c r="K144" s="14">
        <v>0.60999999999999899</v>
      </c>
      <c r="L144" s="14">
        <v>0.52</v>
      </c>
      <c r="M144" s="14">
        <v>1.06</v>
      </c>
      <c r="N144" s="14">
        <v>7.7</v>
      </c>
      <c r="O144" s="14">
        <v>0.64</v>
      </c>
      <c r="P144" s="14">
        <v>1.74</v>
      </c>
      <c r="Q144">
        <v>740</v>
      </c>
    </row>
    <row r="145" spans="3:17" x14ac:dyDescent="0.25">
      <c r="C145" s="15" t="s">
        <v>252</v>
      </c>
      <c r="D145" s="14" t="s">
        <v>13</v>
      </c>
      <c r="E145" s="14">
        <v>12.85</v>
      </c>
      <c r="F145" s="14">
        <v>1.6</v>
      </c>
      <c r="G145" s="14">
        <v>2.52</v>
      </c>
      <c r="H145" s="14">
        <v>17.8</v>
      </c>
      <c r="I145" s="14">
        <v>95</v>
      </c>
      <c r="J145" s="14">
        <v>2.48</v>
      </c>
      <c r="K145" s="14">
        <v>2.37</v>
      </c>
      <c r="L145" s="14">
        <v>0.26</v>
      </c>
      <c r="M145" s="14">
        <v>1.46</v>
      </c>
      <c r="N145" s="14">
        <v>3.93</v>
      </c>
      <c r="O145" s="14">
        <v>1.0900000000000001</v>
      </c>
      <c r="P145" s="14">
        <v>3.6299999999999901</v>
      </c>
      <c r="Q145">
        <v>1015</v>
      </c>
    </row>
    <row r="146" spans="3:17" x14ac:dyDescent="0.25">
      <c r="C146" s="15" t="s">
        <v>254</v>
      </c>
      <c r="D146" s="14" t="s">
        <v>13</v>
      </c>
      <c r="E146" s="14">
        <v>13.05</v>
      </c>
      <c r="F146" s="14">
        <v>2.0499999999999901</v>
      </c>
      <c r="G146" s="14">
        <v>3.22</v>
      </c>
      <c r="H146" s="14">
        <v>25</v>
      </c>
      <c r="I146" s="14">
        <v>124</v>
      </c>
      <c r="J146" s="14">
        <v>2.6299999999999901</v>
      </c>
      <c r="K146" s="14">
        <v>2.68</v>
      </c>
      <c r="L146" s="14">
        <v>0.46999999999999897</v>
      </c>
      <c r="M146" s="14">
        <v>1.9199999999999899</v>
      </c>
      <c r="N146" s="14">
        <v>3.58</v>
      </c>
      <c r="O146" s="14">
        <v>1.1299999999999899</v>
      </c>
      <c r="P146" s="14">
        <v>3.2</v>
      </c>
      <c r="Q146">
        <v>830</v>
      </c>
    </row>
    <row r="147" spans="3:17" x14ac:dyDescent="0.25">
      <c r="C147" s="15" t="s">
        <v>255</v>
      </c>
      <c r="D147" s="14" t="s">
        <v>13</v>
      </c>
      <c r="E147" s="14">
        <v>13.39</v>
      </c>
      <c r="F147" s="14">
        <v>1.77</v>
      </c>
      <c r="G147" s="14">
        <v>2.62</v>
      </c>
      <c r="H147" s="14">
        <v>16.100000000000001</v>
      </c>
      <c r="I147" s="14">
        <v>93</v>
      </c>
      <c r="J147" s="14">
        <v>2.85</v>
      </c>
      <c r="K147" s="14">
        <v>2.9399999999999902</v>
      </c>
      <c r="L147" s="14">
        <v>0.34</v>
      </c>
      <c r="M147" s="14">
        <v>1.45</v>
      </c>
      <c r="N147" s="14">
        <v>4.7999999999999901</v>
      </c>
      <c r="O147" s="14">
        <v>0.92</v>
      </c>
      <c r="P147" s="14">
        <v>3.22</v>
      </c>
      <c r="Q147">
        <v>1195</v>
      </c>
    </row>
    <row r="148" spans="3:17" x14ac:dyDescent="0.25">
      <c r="C148" s="15" t="s">
        <v>257</v>
      </c>
      <c r="D148" s="14" t="s">
        <v>13</v>
      </c>
      <c r="E148" s="14">
        <v>13.8699999999999</v>
      </c>
      <c r="F148" s="14">
        <v>1.8999999999999899</v>
      </c>
      <c r="G148" s="14">
        <v>2.7999999999999901</v>
      </c>
      <c r="H148" s="14">
        <v>19.399999999999899</v>
      </c>
      <c r="I148" s="14">
        <v>107</v>
      </c>
      <c r="J148" s="14">
        <v>2.95</v>
      </c>
      <c r="K148" s="14">
        <v>2.97</v>
      </c>
      <c r="L148" s="14">
        <v>0.37</v>
      </c>
      <c r="M148" s="14">
        <v>1.76</v>
      </c>
      <c r="N148" s="14">
        <v>4.5</v>
      </c>
      <c r="O148" s="14">
        <v>1.25</v>
      </c>
      <c r="P148" s="14">
        <v>3.3999999999999901</v>
      </c>
      <c r="Q148">
        <v>915</v>
      </c>
    </row>
    <row r="149" spans="3:17" x14ac:dyDescent="0.25">
      <c r="C149" s="15" t="s">
        <v>258</v>
      </c>
      <c r="D149" s="14" t="s">
        <v>13</v>
      </c>
      <c r="E149" s="14">
        <v>14.02</v>
      </c>
      <c r="F149" s="14">
        <v>1.6799999999999899</v>
      </c>
      <c r="G149" s="14">
        <v>2.21</v>
      </c>
      <c r="H149" s="14">
        <v>16</v>
      </c>
      <c r="I149" s="14">
        <v>96</v>
      </c>
      <c r="J149" s="14">
        <v>2.6499999999999901</v>
      </c>
      <c r="K149" s="14">
        <v>2.33</v>
      </c>
      <c r="L149" s="14">
        <v>0.26</v>
      </c>
      <c r="M149" s="14">
        <v>1.98</v>
      </c>
      <c r="N149" s="14">
        <v>4.7</v>
      </c>
      <c r="O149" s="14">
        <v>1.04</v>
      </c>
      <c r="P149" s="14">
        <v>3.5899999999999901</v>
      </c>
      <c r="Q149">
        <v>1035</v>
      </c>
    </row>
    <row r="150" spans="3:17" x14ac:dyDescent="0.25">
      <c r="C150" s="15" t="s">
        <v>259</v>
      </c>
      <c r="D150" s="14" t="s">
        <v>13</v>
      </c>
      <c r="E150" s="14">
        <v>13.73</v>
      </c>
      <c r="F150" s="14">
        <v>1.5</v>
      </c>
      <c r="G150" s="14">
        <v>2.7</v>
      </c>
      <c r="H150" s="14">
        <v>22.5</v>
      </c>
      <c r="I150" s="14">
        <v>101</v>
      </c>
      <c r="J150" s="14">
        <v>3</v>
      </c>
      <c r="K150" s="14">
        <v>3.25</v>
      </c>
      <c r="L150" s="14">
        <v>0.28999999999999898</v>
      </c>
      <c r="M150" s="14">
        <v>2.3799999999999901</v>
      </c>
      <c r="N150" s="14">
        <v>5.7</v>
      </c>
      <c r="O150" s="14">
        <v>1.18999999999999</v>
      </c>
      <c r="P150" s="14">
        <v>2.71</v>
      </c>
      <c r="Q150">
        <v>1285</v>
      </c>
    </row>
    <row r="151" spans="3:17" x14ac:dyDescent="0.25">
      <c r="C151" s="15" t="s">
        <v>260</v>
      </c>
      <c r="D151" s="14" t="s">
        <v>13</v>
      </c>
      <c r="E151" s="14">
        <v>13.58</v>
      </c>
      <c r="F151" s="14">
        <v>1.6599999999999899</v>
      </c>
      <c r="G151" s="14">
        <v>2.3599999999999901</v>
      </c>
      <c r="H151" s="14">
        <v>19.100000000000001</v>
      </c>
      <c r="I151" s="14">
        <v>106</v>
      </c>
      <c r="J151" s="14">
        <v>2.8599999999999901</v>
      </c>
      <c r="K151" s="14">
        <v>3.1899999999999902</v>
      </c>
      <c r="L151" s="14">
        <v>0.22</v>
      </c>
      <c r="M151" s="14">
        <v>1.95</v>
      </c>
      <c r="N151" s="14">
        <v>6.9</v>
      </c>
      <c r="O151" s="14">
        <v>1.0900000000000001</v>
      </c>
      <c r="P151" s="14">
        <v>2.8799999999999901</v>
      </c>
      <c r="Q151">
        <v>1515</v>
      </c>
    </row>
    <row r="152" spans="3:17" x14ac:dyDescent="0.25">
      <c r="C152" s="15" t="s">
        <v>261</v>
      </c>
      <c r="D152" s="14" t="s">
        <v>13</v>
      </c>
      <c r="E152" s="14">
        <v>13.68</v>
      </c>
      <c r="F152" s="14">
        <v>1.83</v>
      </c>
      <c r="G152" s="14">
        <v>2.3599999999999901</v>
      </c>
      <c r="H152" s="14">
        <v>17.1999999999999</v>
      </c>
      <c r="I152" s="14">
        <v>104</v>
      </c>
      <c r="J152" s="14">
        <v>2.4199999999999902</v>
      </c>
      <c r="K152" s="14">
        <v>2.6899999999999902</v>
      </c>
      <c r="L152" s="14">
        <v>0.41999999999999899</v>
      </c>
      <c r="M152" s="14">
        <v>1.97</v>
      </c>
      <c r="N152" s="14">
        <v>3.8399999999999901</v>
      </c>
      <c r="O152" s="14">
        <v>1.23</v>
      </c>
      <c r="P152" s="14">
        <v>2.87</v>
      </c>
      <c r="Q152">
        <v>990</v>
      </c>
    </row>
    <row r="153" spans="3:17" x14ac:dyDescent="0.25">
      <c r="C153" s="15" t="s">
        <v>262</v>
      </c>
      <c r="D153" s="14" t="s">
        <v>13</v>
      </c>
      <c r="E153" s="14">
        <v>13.76</v>
      </c>
      <c r="F153" s="14">
        <v>1.53</v>
      </c>
      <c r="G153" s="14">
        <v>2.7</v>
      </c>
      <c r="H153" s="14">
        <v>19.5</v>
      </c>
      <c r="I153" s="14">
        <v>132</v>
      </c>
      <c r="J153" s="14">
        <v>2.95</v>
      </c>
      <c r="K153" s="14">
        <v>2.74</v>
      </c>
      <c r="L153" s="14">
        <v>0.5</v>
      </c>
      <c r="M153" s="14">
        <v>1.35</v>
      </c>
      <c r="N153" s="14">
        <v>5.4</v>
      </c>
      <c r="O153" s="14">
        <v>1.25</v>
      </c>
      <c r="P153" s="14">
        <v>3</v>
      </c>
      <c r="Q153">
        <v>1235</v>
      </c>
    </row>
    <row r="154" spans="3:17" x14ac:dyDescent="0.25">
      <c r="C154" s="15" t="s">
        <v>263</v>
      </c>
      <c r="D154" s="14" t="s">
        <v>13</v>
      </c>
      <c r="E154" s="14">
        <v>13.51</v>
      </c>
      <c r="F154" s="14">
        <v>1.8</v>
      </c>
      <c r="G154" s="14">
        <v>2.6499999999999901</v>
      </c>
      <c r="H154" s="14">
        <v>19</v>
      </c>
      <c r="I154" s="14">
        <v>110</v>
      </c>
      <c r="J154" s="14">
        <v>2.35</v>
      </c>
      <c r="K154" s="14">
        <v>2.52999999999999</v>
      </c>
      <c r="L154" s="14">
        <v>0.28999999999999898</v>
      </c>
      <c r="M154" s="14">
        <v>1.54</v>
      </c>
      <c r="N154" s="14">
        <v>4.2</v>
      </c>
      <c r="O154" s="14">
        <v>1.1000000000000001</v>
      </c>
      <c r="P154" s="14">
        <v>2.87</v>
      </c>
      <c r="Q154">
        <v>1095</v>
      </c>
    </row>
    <row r="155" spans="3:17" x14ac:dyDescent="0.25">
      <c r="C155" s="15" t="s">
        <v>265</v>
      </c>
      <c r="D155" s="14" t="s">
        <v>13</v>
      </c>
      <c r="E155" s="14">
        <v>13.2799999999999</v>
      </c>
      <c r="F155" s="14">
        <v>1.6399999999999899</v>
      </c>
      <c r="G155" s="14">
        <v>2.8399999999999901</v>
      </c>
      <c r="H155" s="14">
        <v>15.5</v>
      </c>
      <c r="I155" s="14">
        <v>110</v>
      </c>
      <c r="J155" s="14">
        <v>2.6</v>
      </c>
      <c r="K155" s="14">
        <v>2.68</v>
      </c>
      <c r="L155" s="14">
        <v>0.34</v>
      </c>
      <c r="M155" s="14">
        <v>1.36</v>
      </c>
      <c r="N155" s="14">
        <v>4.5999999999999899</v>
      </c>
      <c r="O155" s="14">
        <v>1.0900000000000001</v>
      </c>
      <c r="P155" s="14">
        <v>2.77999999999999</v>
      </c>
      <c r="Q155">
        <v>880</v>
      </c>
    </row>
    <row r="156" spans="3:17" x14ac:dyDescent="0.25">
      <c r="C156" s="15" t="s">
        <v>266</v>
      </c>
      <c r="D156" s="14" t="s">
        <v>13</v>
      </c>
      <c r="E156" s="14">
        <v>13.05</v>
      </c>
      <c r="F156" s="14">
        <v>1.6499999999999899</v>
      </c>
      <c r="G156" s="14">
        <v>2.5499999999999901</v>
      </c>
      <c r="H156" s="14">
        <v>18</v>
      </c>
      <c r="I156" s="14">
        <v>98</v>
      </c>
      <c r="J156" s="14">
        <v>2.4500000000000002</v>
      </c>
      <c r="K156" s="14">
        <v>2.4300000000000002</v>
      </c>
      <c r="L156" s="14">
        <v>0.28999999999999898</v>
      </c>
      <c r="M156" s="14">
        <v>1.43999999999999</v>
      </c>
      <c r="N156" s="14">
        <v>4.25</v>
      </c>
      <c r="O156" s="14">
        <v>1.1200000000000001</v>
      </c>
      <c r="P156" s="14">
        <v>2.50999999999999</v>
      </c>
      <c r="Q156">
        <v>1105</v>
      </c>
    </row>
    <row r="157" spans="3:17" x14ac:dyDescent="0.25">
      <c r="C157" s="15" t="s">
        <v>268</v>
      </c>
      <c r="D157" s="14" t="s">
        <v>13</v>
      </c>
      <c r="E157" s="14">
        <v>14.22</v>
      </c>
      <c r="F157" s="14">
        <v>3.99</v>
      </c>
      <c r="G157" s="14">
        <v>2.50999999999999</v>
      </c>
      <c r="H157" s="14">
        <v>13.1999999999999</v>
      </c>
      <c r="I157" s="14">
        <v>128</v>
      </c>
      <c r="J157" s="14">
        <v>3</v>
      </c>
      <c r="K157" s="14">
        <v>3.04</v>
      </c>
      <c r="L157" s="14">
        <v>0.2</v>
      </c>
      <c r="M157" s="14">
        <v>2.08</v>
      </c>
      <c r="N157" s="14">
        <v>5.0999999999999899</v>
      </c>
      <c r="O157" s="14">
        <v>0.89</v>
      </c>
      <c r="P157" s="14">
        <v>3.52999999999999</v>
      </c>
      <c r="Q157">
        <v>760</v>
      </c>
    </row>
    <row r="158" spans="3:17" x14ac:dyDescent="0.25">
      <c r="C158" s="15" t="s">
        <v>269</v>
      </c>
      <c r="D158" s="14" t="s">
        <v>13</v>
      </c>
      <c r="E158" s="14">
        <v>13.56</v>
      </c>
      <c r="F158" s="14">
        <v>1.71</v>
      </c>
      <c r="G158" s="14">
        <v>2.31</v>
      </c>
      <c r="H158" s="14">
        <v>16.1999999999999</v>
      </c>
      <c r="I158" s="14">
        <v>117</v>
      </c>
      <c r="J158" s="14">
        <v>3.1499999999999901</v>
      </c>
      <c r="K158" s="14">
        <v>3.29</v>
      </c>
      <c r="L158" s="14">
        <v>0.34</v>
      </c>
      <c r="M158" s="14">
        <v>2.3399999999999901</v>
      </c>
      <c r="N158" s="14">
        <v>6.1299999999999901</v>
      </c>
      <c r="O158" s="14">
        <v>0.94999999999999896</v>
      </c>
      <c r="P158" s="14">
        <v>3.3799999999999901</v>
      </c>
      <c r="Q158">
        <v>795</v>
      </c>
    </row>
    <row r="159" spans="3:17" x14ac:dyDescent="0.25">
      <c r="C159" s="15" t="s">
        <v>273</v>
      </c>
      <c r="D159" s="14" t="s">
        <v>13</v>
      </c>
      <c r="E159" s="14">
        <v>13.05</v>
      </c>
      <c r="F159" s="14">
        <v>1.77</v>
      </c>
      <c r="G159" s="14">
        <v>2.1</v>
      </c>
      <c r="H159" s="14">
        <v>17</v>
      </c>
      <c r="I159" s="14">
        <v>107</v>
      </c>
      <c r="J159" s="14">
        <v>3</v>
      </c>
      <c r="K159" s="14">
        <v>3</v>
      </c>
      <c r="L159" s="14">
        <v>0.28000000000000003</v>
      </c>
      <c r="M159" s="14">
        <v>2.02999999999999</v>
      </c>
      <c r="N159" s="14">
        <v>5.04</v>
      </c>
      <c r="O159" s="14">
        <v>0.88</v>
      </c>
      <c r="P159" s="14">
        <v>3.35</v>
      </c>
      <c r="Q159">
        <v>885</v>
      </c>
    </row>
    <row r="160" spans="3:17" x14ac:dyDescent="0.25">
      <c r="C160" s="15" t="s">
        <v>274</v>
      </c>
      <c r="D160" s="14" t="s">
        <v>13</v>
      </c>
      <c r="E160" s="14">
        <v>14.21</v>
      </c>
      <c r="F160" s="14">
        <v>4.04</v>
      </c>
      <c r="G160" s="14">
        <v>2.4399999999999902</v>
      </c>
      <c r="H160" s="14">
        <v>18.899999999999899</v>
      </c>
      <c r="I160" s="14">
        <v>111</v>
      </c>
      <c r="J160" s="14">
        <v>2.85</v>
      </c>
      <c r="K160" s="14">
        <v>2.6499999999999901</v>
      </c>
      <c r="L160" s="14">
        <v>0.29999999999999899</v>
      </c>
      <c r="M160" s="14">
        <v>1.25</v>
      </c>
      <c r="N160" s="14">
        <v>5.24</v>
      </c>
      <c r="O160" s="14">
        <v>0.87</v>
      </c>
      <c r="P160" s="14">
        <v>3.33</v>
      </c>
      <c r="Q160">
        <v>1080</v>
      </c>
    </row>
    <row r="161" spans="3:17" x14ac:dyDescent="0.25">
      <c r="C161" s="15" t="s">
        <v>275</v>
      </c>
      <c r="D161" s="14" t="s">
        <v>13</v>
      </c>
      <c r="E161" s="14">
        <v>14.38</v>
      </c>
      <c r="F161" s="14">
        <v>3.5899999999999901</v>
      </c>
      <c r="G161" s="14">
        <v>2.27999999999999</v>
      </c>
      <c r="H161" s="14">
        <v>16</v>
      </c>
      <c r="I161" s="14">
        <v>102</v>
      </c>
      <c r="J161" s="14">
        <v>3.25</v>
      </c>
      <c r="K161" s="14">
        <v>3.1699999999999902</v>
      </c>
      <c r="L161" s="14">
        <v>0.27</v>
      </c>
      <c r="M161" s="14">
        <v>2.1899999999999902</v>
      </c>
      <c r="N161" s="14">
        <v>4.9000000000000004</v>
      </c>
      <c r="O161" s="14">
        <v>1.04</v>
      </c>
      <c r="P161" s="14">
        <v>3.4399999999999902</v>
      </c>
      <c r="Q161">
        <v>1065</v>
      </c>
    </row>
    <row r="162" spans="3:17" x14ac:dyDescent="0.25">
      <c r="C162" s="15" t="s">
        <v>278</v>
      </c>
      <c r="D162" s="14" t="s">
        <v>13</v>
      </c>
      <c r="E162" s="14">
        <v>13.94</v>
      </c>
      <c r="F162" s="14">
        <v>1.73</v>
      </c>
      <c r="G162" s="14">
        <v>2.27</v>
      </c>
      <c r="H162" s="14">
        <v>17.399999999999899</v>
      </c>
      <c r="I162" s="14">
        <v>108</v>
      </c>
      <c r="J162" s="14">
        <v>2.8799999999999901</v>
      </c>
      <c r="K162" s="14">
        <v>3.54</v>
      </c>
      <c r="L162" s="14">
        <v>0.32</v>
      </c>
      <c r="M162" s="14">
        <v>2.08</v>
      </c>
      <c r="N162" s="14">
        <v>8.9</v>
      </c>
      <c r="O162" s="14">
        <v>1.1200000000000001</v>
      </c>
      <c r="P162" s="14">
        <v>3.1</v>
      </c>
      <c r="Q162">
        <v>1260</v>
      </c>
    </row>
    <row r="163" spans="3:17" x14ac:dyDescent="0.25">
      <c r="C163" s="15" t="s">
        <v>281</v>
      </c>
      <c r="D163" s="14" t="s">
        <v>13</v>
      </c>
      <c r="E163" s="14">
        <v>13.82</v>
      </c>
      <c r="F163" s="14">
        <v>1.75</v>
      </c>
      <c r="G163" s="14">
        <v>2.4199999999999902</v>
      </c>
      <c r="H163" s="14">
        <v>14</v>
      </c>
      <c r="I163" s="14">
        <v>111</v>
      </c>
      <c r="J163" s="14">
        <v>3.8799999999999901</v>
      </c>
      <c r="K163" s="14">
        <v>3.74</v>
      </c>
      <c r="L163" s="14">
        <v>0.32</v>
      </c>
      <c r="M163" s="14">
        <v>1.87</v>
      </c>
      <c r="N163" s="14">
        <v>7.0499999999999901</v>
      </c>
      <c r="O163" s="14">
        <v>1.01</v>
      </c>
      <c r="P163" s="14">
        <v>3.25999999999999</v>
      </c>
      <c r="Q163">
        <v>1190</v>
      </c>
    </row>
    <row r="164" spans="3:17" x14ac:dyDescent="0.25">
      <c r="C164" s="15" t="s">
        <v>282</v>
      </c>
      <c r="D164" s="14" t="s">
        <v>13</v>
      </c>
      <c r="E164" s="14">
        <v>13.77</v>
      </c>
      <c r="F164" s="14">
        <v>1.8999999999999899</v>
      </c>
      <c r="G164" s="14">
        <v>2.68</v>
      </c>
      <c r="H164" s="14">
        <v>17.100000000000001</v>
      </c>
      <c r="I164" s="14">
        <v>115</v>
      </c>
      <c r="J164" s="14">
        <v>3</v>
      </c>
      <c r="K164" s="14">
        <v>2.79</v>
      </c>
      <c r="L164" s="14">
        <v>0.39</v>
      </c>
      <c r="M164" s="14">
        <v>1.6799999999999899</v>
      </c>
      <c r="N164" s="14">
        <v>6.2999999999999901</v>
      </c>
      <c r="O164" s="14">
        <v>1.1299999999999899</v>
      </c>
      <c r="P164" s="14">
        <v>2.93</v>
      </c>
      <c r="Q164">
        <v>1375</v>
      </c>
    </row>
    <row r="165" spans="3:17" x14ac:dyDescent="0.25">
      <c r="C165" s="15" t="s">
        <v>283</v>
      </c>
      <c r="D165" s="14" t="s">
        <v>13</v>
      </c>
      <c r="E165" s="14">
        <v>13.74</v>
      </c>
      <c r="F165" s="14">
        <v>1.6699999999999899</v>
      </c>
      <c r="G165" s="14">
        <v>2.25</v>
      </c>
      <c r="H165" s="14">
        <v>16.399999999999899</v>
      </c>
      <c r="I165" s="14">
        <v>118</v>
      </c>
      <c r="J165" s="14">
        <v>2.6</v>
      </c>
      <c r="K165" s="14">
        <v>2.8999999999999901</v>
      </c>
      <c r="L165" s="14">
        <v>0.20999999999999899</v>
      </c>
      <c r="M165" s="14">
        <v>1.62</v>
      </c>
      <c r="N165" s="14">
        <v>5.8499999999999899</v>
      </c>
      <c r="O165" s="14">
        <v>0.92</v>
      </c>
      <c r="P165" s="14">
        <v>3.2</v>
      </c>
      <c r="Q165">
        <v>1060</v>
      </c>
    </row>
    <row r="166" spans="3:17" x14ac:dyDescent="0.25">
      <c r="C166" s="15" t="s">
        <v>284</v>
      </c>
      <c r="D166" s="14" t="s">
        <v>13</v>
      </c>
      <c r="E166" s="14">
        <v>13.56</v>
      </c>
      <c r="F166" s="14">
        <v>1.73</v>
      </c>
      <c r="G166" s="14">
        <v>2.46</v>
      </c>
      <c r="H166" s="14">
        <v>20.5</v>
      </c>
      <c r="I166" s="14">
        <v>116</v>
      </c>
      <c r="J166" s="14">
        <v>2.96</v>
      </c>
      <c r="K166" s="14">
        <v>2.77999999999999</v>
      </c>
      <c r="L166" s="14">
        <v>0.2</v>
      </c>
      <c r="M166" s="14">
        <v>2.4500000000000002</v>
      </c>
      <c r="N166" s="14">
        <v>6.25</v>
      </c>
      <c r="O166" s="14">
        <v>0.97999999999999898</v>
      </c>
      <c r="P166" s="14">
        <v>3.02999999999999</v>
      </c>
      <c r="Q166">
        <v>1120</v>
      </c>
    </row>
    <row r="167" spans="3:17" x14ac:dyDescent="0.25">
      <c r="C167" s="15" t="s">
        <v>285</v>
      </c>
      <c r="D167" s="14" t="s">
        <v>13</v>
      </c>
      <c r="E167" s="14">
        <v>14.22</v>
      </c>
      <c r="F167" s="14">
        <v>1.7</v>
      </c>
      <c r="G167" s="14">
        <v>2.2999999999999901</v>
      </c>
      <c r="H167" s="14">
        <v>16.3</v>
      </c>
      <c r="I167" s="14">
        <v>118</v>
      </c>
      <c r="J167" s="14">
        <v>3.2</v>
      </c>
      <c r="K167" s="14">
        <v>3</v>
      </c>
      <c r="L167" s="14">
        <v>0.26</v>
      </c>
      <c r="M167" s="14">
        <v>2.02999999999999</v>
      </c>
      <c r="N167" s="14">
        <v>6.3799999999999901</v>
      </c>
      <c r="O167" s="14">
        <v>0.93999999999999895</v>
      </c>
      <c r="P167" s="14">
        <v>3.31</v>
      </c>
      <c r="Q167">
        <v>970</v>
      </c>
    </row>
    <row r="168" spans="3:17" x14ac:dyDescent="0.25">
      <c r="C168" s="15" t="s">
        <v>287</v>
      </c>
      <c r="D168" s="14" t="s">
        <v>13</v>
      </c>
      <c r="E168" s="14">
        <v>13.72</v>
      </c>
      <c r="F168" s="14">
        <v>1.4299999999999899</v>
      </c>
      <c r="G168" s="14">
        <v>2.5</v>
      </c>
      <c r="H168" s="14">
        <v>16.6999999999999</v>
      </c>
      <c r="I168" s="14">
        <v>108</v>
      </c>
      <c r="J168" s="14">
        <v>3.3999999999999901</v>
      </c>
      <c r="K168" s="14">
        <v>3.6699999999999902</v>
      </c>
      <c r="L168" s="14">
        <v>0.19</v>
      </c>
      <c r="M168" s="14">
        <v>2.04</v>
      </c>
      <c r="N168" s="14">
        <v>6.7999999999999901</v>
      </c>
      <c r="O168" s="14">
        <v>0.89</v>
      </c>
      <c r="P168" s="14">
        <v>2.87</v>
      </c>
      <c r="Q168">
        <v>1285</v>
      </c>
    </row>
    <row r="169" spans="3:17" x14ac:dyDescent="0.25">
      <c r="C169" s="15" t="s">
        <v>288</v>
      </c>
      <c r="D169" s="14" t="s">
        <v>14</v>
      </c>
      <c r="E169" s="14">
        <v>12.3699999999999</v>
      </c>
      <c r="F169" s="14">
        <v>0.93999999999999895</v>
      </c>
      <c r="G169" s="14">
        <v>1.36</v>
      </c>
      <c r="H169" s="14">
        <v>10.6</v>
      </c>
      <c r="I169" s="14">
        <v>88</v>
      </c>
      <c r="J169" s="14">
        <v>1.98</v>
      </c>
      <c r="K169" s="14">
        <v>0.56999999999999895</v>
      </c>
      <c r="L169" s="14">
        <v>0.28000000000000003</v>
      </c>
      <c r="M169" s="14">
        <v>0.41999999999999899</v>
      </c>
      <c r="N169" s="14">
        <v>1.95</v>
      </c>
      <c r="O169" s="14">
        <v>1.05</v>
      </c>
      <c r="P169" s="14">
        <v>1.82</v>
      </c>
      <c r="Q169">
        <v>520</v>
      </c>
    </row>
    <row r="170" spans="3:17" x14ac:dyDescent="0.25">
      <c r="C170" s="15" t="s">
        <v>290</v>
      </c>
      <c r="D170" s="14" t="s">
        <v>14</v>
      </c>
      <c r="E170" s="14">
        <v>12.64</v>
      </c>
      <c r="F170" s="14">
        <v>1.36</v>
      </c>
      <c r="G170" s="14">
        <v>2.02</v>
      </c>
      <c r="H170" s="14">
        <v>16.8</v>
      </c>
      <c r="I170" s="14">
        <v>100</v>
      </c>
      <c r="J170" s="14">
        <v>2.02</v>
      </c>
      <c r="K170" s="14">
        <v>1.4099999999999899</v>
      </c>
      <c r="L170" s="14">
        <v>0.53</v>
      </c>
      <c r="M170" s="14">
        <v>0.62</v>
      </c>
      <c r="N170" s="14">
        <v>5.75</v>
      </c>
      <c r="O170" s="14">
        <v>0.97999999999999898</v>
      </c>
      <c r="P170" s="14">
        <v>1.59</v>
      </c>
      <c r="Q170">
        <v>450</v>
      </c>
    </row>
    <row r="171" spans="3:17" x14ac:dyDescent="0.25">
      <c r="C171" s="15" t="s">
        <v>291</v>
      </c>
      <c r="D171" s="14" t="s">
        <v>14</v>
      </c>
      <c r="E171" s="14">
        <v>13.67</v>
      </c>
      <c r="F171" s="14">
        <v>1.25</v>
      </c>
      <c r="G171" s="14">
        <v>1.9199999999999899</v>
      </c>
      <c r="H171" s="14">
        <v>18</v>
      </c>
      <c r="I171" s="14">
        <v>94</v>
      </c>
      <c r="J171" s="14">
        <v>2.1</v>
      </c>
      <c r="K171" s="14">
        <v>1.79</v>
      </c>
      <c r="L171" s="14">
        <v>0.32</v>
      </c>
      <c r="M171" s="14">
        <v>0.72999999999999898</v>
      </c>
      <c r="N171" s="14">
        <v>3.7999999999999901</v>
      </c>
      <c r="O171" s="14">
        <v>1.23</v>
      </c>
      <c r="P171" s="14">
        <v>2.46</v>
      </c>
      <c r="Q171">
        <v>630</v>
      </c>
    </row>
    <row r="172" spans="3:17" x14ac:dyDescent="0.25">
      <c r="C172" s="15" t="s">
        <v>292</v>
      </c>
      <c r="D172" s="14" t="s">
        <v>14</v>
      </c>
      <c r="E172" s="14">
        <v>12.3699999999999</v>
      </c>
      <c r="F172" s="14">
        <v>1.1299999999999899</v>
      </c>
      <c r="G172" s="14">
        <v>2.16</v>
      </c>
      <c r="H172" s="14">
        <v>19</v>
      </c>
      <c r="I172" s="14">
        <v>87</v>
      </c>
      <c r="J172" s="14">
        <v>3.5</v>
      </c>
      <c r="K172" s="14">
        <v>3.1</v>
      </c>
      <c r="L172" s="14">
        <v>0.19</v>
      </c>
      <c r="M172" s="14">
        <v>1.87</v>
      </c>
      <c r="N172" s="14">
        <v>4.45</v>
      </c>
      <c r="O172" s="14">
        <v>1.22</v>
      </c>
      <c r="P172" s="14">
        <v>2.87</v>
      </c>
      <c r="Q172">
        <v>420</v>
      </c>
    </row>
    <row r="173" spans="3:17" x14ac:dyDescent="0.25">
      <c r="C173" s="15" t="s">
        <v>293</v>
      </c>
      <c r="D173" s="14" t="s">
        <v>14</v>
      </c>
      <c r="E173" s="14">
        <v>12.17</v>
      </c>
      <c r="F173" s="14">
        <v>1.45</v>
      </c>
      <c r="G173" s="14">
        <v>2.52999999999999</v>
      </c>
      <c r="H173" s="14">
        <v>19</v>
      </c>
      <c r="I173" s="14">
        <v>104</v>
      </c>
      <c r="J173" s="14">
        <v>1.8899999999999899</v>
      </c>
      <c r="K173" s="14">
        <v>1.75</v>
      </c>
      <c r="L173" s="14">
        <v>0.45</v>
      </c>
      <c r="M173" s="14">
        <v>1.03</v>
      </c>
      <c r="N173" s="14">
        <v>2.95</v>
      </c>
      <c r="O173" s="14">
        <v>1.45</v>
      </c>
      <c r="P173" s="14">
        <v>2.23</v>
      </c>
      <c r="Q173">
        <v>355</v>
      </c>
    </row>
    <row r="174" spans="3:17" x14ac:dyDescent="0.25">
      <c r="C174" s="15" t="s">
        <v>294</v>
      </c>
      <c r="D174" s="14" t="s">
        <v>14</v>
      </c>
      <c r="E174" s="14">
        <v>12.3699999999999</v>
      </c>
      <c r="F174" s="14">
        <v>1.21</v>
      </c>
      <c r="G174" s="14">
        <v>2.56</v>
      </c>
      <c r="H174" s="14">
        <v>18.100000000000001</v>
      </c>
      <c r="I174" s="14">
        <v>98</v>
      </c>
      <c r="J174" s="14">
        <v>2.4199999999999902</v>
      </c>
      <c r="K174" s="14">
        <v>2.6499999999999901</v>
      </c>
      <c r="L174" s="14">
        <v>0.37</v>
      </c>
      <c r="M174" s="14">
        <v>2.08</v>
      </c>
      <c r="N174" s="14">
        <v>4.5999999999999899</v>
      </c>
      <c r="O174" s="14">
        <v>1.18999999999999</v>
      </c>
      <c r="P174" s="14">
        <v>2.2999999999999901</v>
      </c>
      <c r="Q174">
        <v>678</v>
      </c>
    </row>
    <row r="175" spans="3:17" x14ac:dyDescent="0.25">
      <c r="C175" s="15" t="s">
        <v>295</v>
      </c>
      <c r="D175" s="14" t="s">
        <v>14</v>
      </c>
      <c r="E175" s="14">
        <v>13.1099999999999</v>
      </c>
      <c r="F175" s="14">
        <v>1.01</v>
      </c>
      <c r="G175" s="14">
        <v>1.7</v>
      </c>
      <c r="H175" s="14">
        <v>15</v>
      </c>
      <c r="I175" s="14">
        <v>78</v>
      </c>
      <c r="J175" s="14">
        <v>2.98</v>
      </c>
      <c r="K175" s="14">
        <v>3.18</v>
      </c>
      <c r="L175" s="14">
        <v>0.26</v>
      </c>
      <c r="M175" s="14">
        <v>2.27999999999999</v>
      </c>
      <c r="N175" s="14">
        <v>5.2999999999999901</v>
      </c>
      <c r="O175" s="14">
        <v>1.1200000000000001</v>
      </c>
      <c r="P175" s="14">
        <v>3.18</v>
      </c>
      <c r="Q175">
        <v>502</v>
      </c>
    </row>
    <row r="176" spans="3:17" x14ac:dyDescent="0.25">
      <c r="C176" s="15" t="s">
        <v>297</v>
      </c>
      <c r="D176" s="14" t="s">
        <v>14</v>
      </c>
      <c r="E176" s="14">
        <v>13.34</v>
      </c>
      <c r="F176" s="14">
        <v>0.93999999999999895</v>
      </c>
      <c r="G176" s="14">
        <v>2.3599999999999901</v>
      </c>
      <c r="H176" s="14">
        <v>17</v>
      </c>
      <c r="I176" s="14">
        <v>110</v>
      </c>
      <c r="J176" s="14">
        <v>2.52999999999999</v>
      </c>
      <c r="K176" s="14">
        <v>1.3</v>
      </c>
      <c r="L176" s="14">
        <v>0.55000000000000004</v>
      </c>
      <c r="M176" s="14">
        <v>0.41999999999999899</v>
      </c>
      <c r="N176" s="14">
        <v>3.1699999999999902</v>
      </c>
      <c r="O176" s="14">
        <v>1.02</v>
      </c>
      <c r="P176" s="14">
        <v>1.9299999999999899</v>
      </c>
      <c r="Q176">
        <v>750</v>
      </c>
    </row>
    <row r="177" spans="3:17" x14ac:dyDescent="0.25">
      <c r="C177" s="15" t="s">
        <v>302</v>
      </c>
      <c r="D177" s="14" t="s">
        <v>14</v>
      </c>
      <c r="E177" s="14">
        <v>12.99</v>
      </c>
      <c r="F177" s="14">
        <v>1.6699999999999899</v>
      </c>
      <c r="G177" s="14">
        <v>2.6</v>
      </c>
      <c r="H177" s="14">
        <v>30</v>
      </c>
      <c r="I177" s="14">
        <v>139</v>
      </c>
      <c r="J177" s="14">
        <v>3.2999999999999901</v>
      </c>
      <c r="K177" s="14">
        <v>2.89</v>
      </c>
      <c r="L177" s="14">
        <v>0.20999999999999899</v>
      </c>
      <c r="M177" s="14">
        <v>1.96</v>
      </c>
      <c r="N177" s="14">
        <v>3.35</v>
      </c>
      <c r="O177" s="14">
        <v>1.31</v>
      </c>
      <c r="P177" s="14">
        <v>3.5</v>
      </c>
      <c r="Q177">
        <v>985</v>
      </c>
    </row>
    <row r="178" spans="3:17" x14ac:dyDescent="0.25">
      <c r="C178" s="15" t="s">
        <v>303</v>
      </c>
      <c r="D178" s="14" t="s">
        <v>14</v>
      </c>
      <c r="E178" s="14">
        <v>11.96</v>
      </c>
      <c r="F178" s="14">
        <v>1.0900000000000001</v>
      </c>
      <c r="G178" s="14">
        <v>2.2999999999999901</v>
      </c>
      <c r="H178" s="14">
        <v>21</v>
      </c>
      <c r="I178" s="14">
        <v>101</v>
      </c>
      <c r="J178" s="14">
        <v>3.3799999999999901</v>
      </c>
      <c r="K178" s="14">
        <v>2.14</v>
      </c>
      <c r="L178" s="14">
        <v>0.13</v>
      </c>
      <c r="M178" s="14">
        <v>1.6499999999999899</v>
      </c>
      <c r="N178" s="14">
        <v>3.21</v>
      </c>
      <c r="O178" s="14">
        <v>0.98999999999999899</v>
      </c>
      <c r="P178" s="14">
        <v>3.1299999999999901</v>
      </c>
      <c r="Q178">
        <v>886</v>
      </c>
    </row>
    <row r="179" spans="3:17" x14ac:dyDescent="0.25">
      <c r="C179" s="15" t="s">
        <v>305</v>
      </c>
      <c r="D179" s="14" t="s">
        <v>14</v>
      </c>
      <c r="E179" s="14">
        <v>13.0299999999999</v>
      </c>
      <c r="F179" s="14">
        <v>0.9</v>
      </c>
      <c r="G179" s="14">
        <v>1.71</v>
      </c>
      <c r="H179" s="14">
        <v>16</v>
      </c>
      <c r="I179" s="14">
        <v>86</v>
      </c>
      <c r="J179" s="14">
        <v>1.95</v>
      </c>
      <c r="K179" s="14">
        <v>2.02999999999999</v>
      </c>
      <c r="L179" s="14">
        <v>0.23999999999999899</v>
      </c>
      <c r="M179" s="14">
        <v>1.46</v>
      </c>
      <c r="N179" s="14">
        <v>4.5999999999999899</v>
      </c>
      <c r="O179" s="14">
        <v>1.18999999999999</v>
      </c>
      <c r="P179" s="14">
        <v>2.48</v>
      </c>
      <c r="Q179">
        <v>392</v>
      </c>
    </row>
    <row r="180" spans="3:17" x14ac:dyDescent="0.25">
      <c r="C180" s="15" t="s">
        <v>307</v>
      </c>
      <c r="D180" s="14" t="s">
        <v>14</v>
      </c>
      <c r="E180" s="14">
        <v>12.33</v>
      </c>
      <c r="F180" s="14">
        <v>0.98999999999999899</v>
      </c>
      <c r="G180" s="14">
        <v>1.95</v>
      </c>
      <c r="H180" s="14">
        <v>14.8</v>
      </c>
      <c r="I180" s="14">
        <v>136</v>
      </c>
      <c r="J180" s="14">
        <v>1.8999999999999899</v>
      </c>
      <c r="K180" s="14">
        <v>1.85</v>
      </c>
      <c r="L180" s="14">
        <v>0.34999999999999898</v>
      </c>
      <c r="M180" s="14">
        <v>2.75999999999999</v>
      </c>
      <c r="N180" s="14">
        <v>3.3999999999999901</v>
      </c>
      <c r="O180" s="14">
        <v>1.06</v>
      </c>
      <c r="P180" s="14">
        <v>2.31</v>
      </c>
      <c r="Q180">
        <v>750</v>
      </c>
    </row>
    <row r="181" spans="3:17" x14ac:dyDescent="0.25">
      <c r="C181" s="15" t="s">
        <v>309</v>
      </c>
      <c r="D181" s="14" t="s">
        <v>14</v>
      </c>
      <c r="E181" s="14">
        <v>12</v>
      </c>
      <c r="F181" s="14">
        <v>0.92</v>
      </c>
      <c r="G181" s="14">
        <v>2</v>
      </c>
      <c r="H181" s="14">
        <v>19</v>
      </c>
      <c r="I181" s="14">
        <v>86</v>
      </c>
      <c r="J181" s="14">
        <v>2.4199999999999902</v>
      </c>
      <c r="K181" s="14">
        <v>2.25999999999999</v>
      </c>
      <c r="L181" s="14">
        <v>0.29999999999999899</v>
      </c>
      <c r="M181" s="14">
        <v>1.4299999999999899</v>
      </c>
      <c r="N181" s="14">
        <v>2.5</v>
      </c>
      <c r="O181" s="14">
        <v>1.3799999999999899</v>
      </c>
      <c r="P181" s="14">
        <v>3.12</v>
      </c>
      <c r="Q181">
        <v>278</v>
      </c>
    </row>
    <row r="182" spans="3:17" x14ac:dyDescent="0.25">
      <c r="C182" s="15" t="s">
        <v>312</v>
      </c>
      <c r="D182" s="14" t="s">
        <v>14</v>
      </c>
      <c r="E182" s="14">
        <v>13.05</v>
      </c>
      <c r="F182" s="14">
        <v>3.8599999999999901</v>
      </c>
      <c r="G182" s="14">
        <v>2.3199999999999901</v>
      </c>
      <c r="H182" s="14">
        <v>22.5</v>
      </c>
      <c r="I182" s="14">
        <v>85</v>
      </c>
      <c r="J182" s="14">
        <v>1.6499999999999899</v>
      </c>
      <c r="K182" s="14">
        <v>1.59</v>
      </c>
      <c r="L182" s="14">
        <v>0.60999999999999899</v>
      </c>
      <c r="M182" s="14">
        <v>1.62</v>
      </c>
      <c r="N182" s="14">
        <v>4.7999999999999901</v>
      </c>
      <c r="O182" s="14">
        <v>0.83999999999999897</v>
      </c>
      <c r="P182" s="14">
        <v>2.00999999999999</v>
      </c>
      <c r="Q182">
        <v>515</v>
      </c>
    </row>
    <row r="183" spans="3:17" x14ac:dyDescent="0.25">
      <c r="C183" s="15" t="s">
        <v>313</v>
      </c>
      <c r="D183" s="14" t="s">
        <v>14</v>
      </c>
      <c r="E183" s="14">
        <v>11.84</v>
      </c>
      <c r="F183" s="14">
        <v>0.89</v>
      </c>
      <c r="G183" s="14">
        <v>2.58</v>
      </c>
      <c r="H183" s="14">
        <v>18</v>
      </c>
      <c r="I183" s="14">
        <v>94</v>
      </c>
      <c r="J183" s="14">
        <v>2.2000000000000002</v>
      </c>
      <c r="K183" s="14">
        <v>2.21</v>
      </c>
      <c r="L183" s="14">
        <v>0.22</v>
      </c>
      <c r="M183" s="14">
        <v>2.35</v>
      </c>
      <c r="N183" s="14">
        <v>3.0499999999999901</v>
      </c>
      <c r="O183" s="14">
        <v>0.79</v>
      </c>
      <c r="P183" s="14">
        <v>3.08</v>
      </c>
      <c r="Q183">
        <v>520</v>
      </c>
    </row>
    <row r="184" spans="3:17" x14ac:dyDescent="0.25">
      <c r="C184" s="15" t="s">
        <v>314</v>
      </c>
      <c r="D184" s="14" t="s">
        <v>14</v>
      </c>
      <c r="E184" s="14">
        <v>12.67</v>
      </c>
      <c r="F184" s="14">
        <v>0.97999999999999898</v>
      </c>
      <c r="G184" s="14">
        <v>2.2400000000000002</v>
      </c>
      <c r="H184" s="14">
        <v>18</v>
      </c>
      <c r="I184" s="14">
        <v>99</v>
      </c>
      <c r="J184" s="14">
        <v>2.2000000000000002</v>
      </c>
      <c r="K184" s="14">
        <v>1.93999999999999</v>
      </c>
      <c r="L184" s="14">
        <v>0.29999999999999899</v>
      </c>
      <c r="M184" s="14">
        <v>1.46</v>
      </c>
      <c r="N184" s="14">
        <v>2.62</v>
      </c>
      <c r="O184" s="14">
        <v>1.23</v>
      </c>
      <c r="P184" s="14">
        <v>3.16</v>
      </c>
      <c r="Q184">
        <v>450</v>
      </c>
    </row>
    <row r="185" spans="3:17" x14ac:dyDescent="0.25">
      <c r="C185" s="15" t="s">
        <v>315</v>
      </c>
      <c r="D185" s="14" t="s">
        <v>14</v>
      </c>
      <c r="E185" s="14">
        <v>12.16</v>
      </c>
      <c r="F185" s="14">
        <v>1.61</v>
      </c>
      <c r="G185" s="14">
        <v>2.31</v>
      </c>
      <c r="H185" s="14">
        <v>22.8</v>
      </c>
      <c r="I185" s="14">
        <v>90</v>
      </c>
      <c r="J185" s="14">
        <v>1.78</v>
      </c>
      <c r="K185" s="14">
        <v>1.68999999999999</v>
      </c>
      <c r="L185" s="14">
        <v>0.42999999999999899</v>
      </c>
      <c r="M185" s="14">
        <v>1.56</v>
      </c>
      <c r="N185" s="14">
        <v>2.4500000000000002</v>
      </c>
      <c r="O185" s="14">
        <v>1.33</v>
      </c>
      <c r="P185" s="14">
        <v>2.25999999999999</v>
      </c>
      <c r="Q185">
        <v>495</v>
      </c>
    </row>
    <row r="186" spans="3:17" x14ac:dyDescent="0.25">
      <c r="C186" s="15" t="s">
        <v>317</v>
      </c>
      <c r="D186" s="14" t="s">
        <v>14</v>
      </c>
      <c r="E186" s="14">
        <v>11.64</v>
      </c>
      <c r="F186" s="14">
        <v>2.06</v>
      </c>
      <c r="G186" s="14">
        <v>2.46</v>
      </c>
      <c r="H186" s="14">
        <v>21.6</v>
      </c>
      <c r="I186" s="14">
        <v>84</v>
      </c>
      <c r="J186" s="14">
        <v>1.95</v>
      </c>
      <c r="K186" s="14">
        <v>1.68999999999999</v>
      </c>
      <c r="L186" s="14">
        <v>0.47999999999999898</v>
      </c>
      <c r="M186" s="14">
        <v>1.35</v>
      </c>
      <c r="N186" s="14">
        <v>2.7999999999999901</v>
      </c>
      <c r="O186" s="14">
        <v>1</v>
      </c>
      <c r="P186" s="14">
        <v>2.75</v>
      </c>
      <c r="Q186">
        <v>680</v>
      </c>
    </row>
    <row r="187" spans="3:17" x14ac:dyDescent="0.25">
      <c r="C187" s="15" t="s">
        <v>318</v>
      </c>
      <c r="D187" s="14" t="s">
        <v>14</v>
      </c>
      <c r="E187" s="14">
        <v>12.08</v>
      </c>
      <c r="F187" s="14">
        <v>1.33</v>
      </c>
      <c r="G187" s="14">
        <v>2.2999999999999901</v>
      </c>
      <c r="H187" s="14">
        <v>23.6</v>
      </c>
      <c r="I187" s="14">
        <v>70</v>
      </c>
      <c r="J187" s="14">
        <v>2.2000000000000002</v>
      </c>
      <c r="K187" s="14">
        <v>1.59</v>
      </c>
      <c r="L187" s="14">
        <v>0.41999999999999899</v>
      </c>
      <c r="M187" s="14">
        <v>1.3799999999999899</v>
      </c>
      <c r="N187" s="14">
        <v>1.74</v>
      </c>
      <c r="O187" s="14">
        <v>1.07</v>
      </c>
      <c r="P187" s="14">
        <v>3.21</v>
      </c>
      <c r="Q187">
        <v>625</v>
      </c>
    </row>
    <row r="188" spans="3:17" x14ac:dyDescent="0.25">
      <c r="C188" s="15" t="s">
        <v>319</v>
      </c>
      <c r="D188" s="14" t="s">
        <v>14</v>
      </c>
      <c r="E188" s="14">
        <v>12.08</v>
      </c>
      <c r="F188" s="14">
        <v>1.83</v>
      </c>
      <c r="G188" s="14">
        <v>2.3199999999999901</v>
      </c>
      <c r="H188" s="14">
        <v>18.5</v>
      </c>
      <c r="I188" s="14">
        <v>81</v>
      </c>
      <c r="J188" s="14">
        <v>1.6</v>
      </c>
      <c r="K188" s="14">
        <v>1.5</v>
      </c>
      <c r="L188" s="14">
        <v>0.52</v>
      </c>
      <c r="M188" s="14">
        <v>1.6399999999999899</v>
      </c>
      <c r="N188" s="14">
        <v>2.3999999999999901</v>
      </c>
      <c r="O188" s="14">
        <v>1.08</v>
      </c>
      <c r="P188" s="14">
        <v>2.27</v>
      </c>
      <c r="Q188">
        <v>480</v>
      </c>
    </row>
    <row r="189" spans="3:17" x14ac:dyDescent="0.25">
      <c r="C189" s="15" t="s">
        <v>322</v>
      </c>
      <c r="D189" s="14" t="s">
        <v>14</v>
      </c>
      <c r="E189" s="14">
        <v>12.2899999999999</v>
      </c>
      <c r="F189" s="14">
        <v>2.83</v>
      </c>
      <c r="G189" s="14">
        <v>2.2200000000000002</v>
      </c>
      <c r="H189" s="14">
        <v>18</v>
      </c>
      <c r="I189" s="14">
        <v>88</v>
      </c>
      <c r="J189" s="14">
        <v>2.4500000000000002</v>
      </c>
      <c r="K189" s="14">
        <v>2.25</v>
      </c>
      <c r="L189" s="14">
        <v>0.25</v>
      </c>
      <c r="M189" s="14">
        <v>1.99</v>
      </c>
      <c r="N189" s="14">
        <v>2.1499999999999901</v>
      </c>
      <c r="O189" s="14">
        <v>1.1499999999999899</v>
      </c>
      <c r="P189" s="14">
        <v>3.2999999999999901</v>
      </c>
      <c r="Q189">
        <v>290</v>
      </c>
    </row>
    <row r="190" spans="3:17" x14ac:dyDescent="0.25">
      <c r="C190" s="15" t="s">
        <v>323</v>
      </c>
      <c r="D190" s="14" t="s">
        <v>14</v>
      </c>
      <c r="E190" s="14">
        <v>11.6199999999999</v>
      </c>
      <c r="F190" s="14">
        <v>1.99</v>
      </c>
      <c r="G190" s="14">
        <v>2.27999999999999</v>
      </c>
      <c r="H190" s="14">
        <v>18</v>
      </c>
      <c r="I190" s="14">
        <v>98</v>
      </c>
      <c r="J190" s="14">
        <v>3.02</v>
      </c>
      <c r="K190" s="14">
        <v>2.25999999999999</v>
      </c>
      <c r="L190" s="14">
        <v>0.17</v>
      </c>
      <c r="M190" s="14">
        <v>1.35</v>
      </c>
      <c r="N190" s="14">
        <v>3.25</v>
      </c>
      <c r="O190" s="14">
        <v>1.1599999999999899</v>
      </c>
      <c r="P190" s="14">
        <v>2.96</v>
      </c>
      <c r="Q190">
        <v>345</v>
      </c>
    </row>
    <row r="191" spans="3:17" x14ac:dyDescent="0.25">
      <c r="C191" s="15" t="s">
        <v>325</v>
      </c>
      <c r="D191" s="14" t="s">
        <v>14</v>
      </c>
      <c r="E191" s="14">
        <v>11.81</v>
      </c>
      <c r="F191" s="14">
        <v>2.12</v>
      </c>
      <c r="G191" s="14">
        <v>2.74</v>
      </c>
      <c r="H191" s="14">
        <v>21.5</v>
      </c>
      <c r="I191" s="14">
        <v>134</v>
      </c>
      <c r="J191" s="14">
        <v>1.6</v>
      </c>
      <c r="K191" s="14">
        <v>0.98999999999999899</v>
      </c>
      <c r="L191" s="14">
        <v>0.14000000000000001</v>
      </c>
      <c r="M191" s="14">
        <v>1.56</v>
      </c>
      <c r="N191" s="14">
        <v>2.5</v>
      </c>
      <c r="O191" s="14">
        <v>0.94999999999999896</v>
      </c>
      <c r="P191" s="14">
        <v>2.25999999999999</v>
      </c>
      <c r="Q191">
        <v>625</v>
      </c>
    </row>
    <row r="192" spans="3:17" x14ac:dyDescent="0.25">
      <c r="C192" s="15" t="s">
        <v>327</v>
      </c>
      <c r="D192" s="14" t="s">
        <v>14</v>
      </c>
      <c r="E192" s="14">
        <v>12.3699999999999</v>
      </c>
      <c r="F192" s="14">
        <v>1.07</v>
      </c>
      <c r="G192" s="14">
        <v>2.1</v>
      </c>
      <c r="H192" s="14">
        <v>18.5</v>
      </c>
      <c r="I192" s="14">
        <v>88</v>
      </c>
      <c r="J192" s="14">
        <v>3.52</v>
      </c>
      <c r="K192" s="14">
        <v>3.75</v>
      </c>
      <c r="L192" s="14">
        <v>0.23999999999999899</v>
      </c>
      <c r="M192" s="14">
        <v>1.95</v>
      </c>
      <c r="N192" s="14">
        <v>4.5</v>
      </c>
      <c r="O192" s="14">
        <v>1.04</v>
      </c>
      <c r="P192" s="14">
        <v>2.77</v>
      </c>
      <c r="Q192">
        <v>660</v>
      </c>
    </row>
    <row r="193" spans="3:17" x14ac:dyDescent="0.25">
      <c r="C193" s="15" t="s">
        <v>329</v>
      </c>
      <c r="D193" s="14" t="s">
        <v>14</v>
      </c>
      <c r="E193" s="14">
        <v>12.08</v>
      </c>
      <c r="F193" s="14">
        <v>2.08</v>
      </c>
      <c r="G193" s="14">
        <v>1.7</v>
      </c>
      <c r="H193" s="14">
        <v>17.5</v>
      </c>
      <c r="I193" s="14">
        <v>97</v>
      </c>
      <c r="J193" s="14">
        <v>2.23</v>
      </c>
      <c r="K193" s="14">
        <v>2.1699999999999902</v>
      </c>
      <c r="L193" s="14">
        <v>0.26</v>
      </c>
      <c r="M193" s="14">
        <v>1.3999999999999899</v>
      </c>
      <c r="N193" s="14">
        <v>3.2999999999999901</v>
      </c>
      <c r="O193" s="14">
        <v>1.27</v>
      </c>
      <c r="P193" s="14">
        <v>2.96</v>
      </c>
      <c r="Q193">
        <v>710</v>
      </c>
    </row>
    <row r="194" spans="3:17" x14ac:dyDescent="0.25">
      <c r="C194" s="15" t="s">
        <v>330</v>
      </c>
      <c r="D194" s="14" t="s">
        <v>14</v>
      </c>
      <c r="E194" s="14">
        <v>12.6</v>
      </c>
      <c r="F194" s="14">
        <v>1.34</v>
      </c>
      <c r="G194" s="14">
        <v>1.8999999999999899</v>
      </c>
      <c r="H194" s="14">
        <v>18.5</v>
      </c>
      <c r="I194" s="14">
        <v>88</v>
      </c>
      <c r="J194" s="14">
        <v>1.45</v>
      </c>
      <c r="K194" s="14">
        <v>1.36</v>
      </c>
      <c r="L194" s="14">
        <v>0.28999999999999898</v>
      </c>
      <c r="M194" s="14">
        <v>1.35</v>
      </c>
      <c r="N194" s="14">
        <v>2.4500000000000002</v>
      </c>
      <c r="O194" s="14">
        <v>1.04</v>
      </c>
      <c r="P194" s="14">
        <v>2.77</v>
      </c>
      <c r="Q194">
        <v>562</v>
      </c>
    </row>
    <row r="195" spans="3:17" x14ac:dyDescent="0.25">
      <c r="C195" s="15" t="s">
        <v>333</v>
      </c>
      <c r="D195" s="14" t="s">
        <v>14</v>
      </c>
      <c r="E195" s="14">
        <v>12.51</v>
      </c>
      <c r="F195" s="14">
        <v>1.73</v>
      </c>
      <c r="G195" s="14">
        <v>1.98</v>
      </c>
      <c r="H195" s="14">
        <v>20.5</v>
      </c>
      <c r="I195" s="14">
        <v>85</v>
      </c>
      <c r="J195" s="14">
        <v>2.2000000000000002</v>
      </c>
      <c r="K195" s="14">
        <v>1.9199999999999899</v>
      </c>
      <c r="L195" s="14">
        <v>0.32</v>
      </c>
      <c r="M195" s="14">
        <v>1.48</v>
      </c>
      <c r="N195" s="14">
        <v>2.9399999999999902</v>
      </c>
      <c r="O195" s="14">
        <v>1.04</v>
      </c>
      <c r="P195" s="14">
        <v>3.5699999999999901</v>
      </c>
      <c r="Q195">
        <v>672</v>
      </c>
    </row>
    <row r="196" spans="3:17" x14ac:dyDescent="0.25">
      <c r="C196" s="15" t="s">
        <v>334</v>
      </c>
      <c r="D196" s="14" t="s">
        <v>14</v>
      </c>
      <c r="E196" s="14">
        <v>12.42</v>
      </c>
      <c r="F196" s="14">
        <v>2.5499999999999901</v>
      </c>
      <c r="G196" s="14">
        <v>2.27</v>
      </c>
      <c r="H196" s="14">
        <v>22</v>
      </c>
      <c r="I196" s="14">
        <v>90</v>
      </c>
      <c r="J196" s="14">
        <v>1.6799999999999899</v>
      </c>
      <c r="K196" s="14">
        <v>1.84</v>
      </c>
      <c r="L196" s="14">
        <v>0.66</v>
      </c>
      <c r="M196" s="14">
        <v>1.4199999999999899</v>
      </c>
      <c r="N196" s="14">
        <v>2.7</v>
      </c>
      <c r="O196" s="14">
        <v>0.85999999999999899</v>
      </c>
      <c r="P196" s="14">
        <v>3.2999999999999901</v>
      </c>
      <c r="Q196">
        <v>315</v>
      </c>
    </row>
    <row r="197" spans="3:17" x14ac:dyDescent="0.25">
      <c r="C197" s="15" t="s">
        <v>335</v>
      </c>
      <c r="D197" s="14" t="s">
        <v>14</v>
      </c>
      <c r="E197" s="14">
        <v>12.25</v>
      </c>
      <c r="F197" s="14">
        <v>1.73</v>
      </c>
      <c r="G197" s="14">
        <v>2.12</v>
      </c>
      <c r="H197" s="14">
        <v>19</v>
      </c>
      <c r="I197" s="14">
        <v>80</v>
      </c>
      <c r="J197" s="14">
        <v>1.6499999999999899</v>
      </c>
      <c r="K197" s="14">
        <v>2.02999999999999</v>
      </c>
      <c r="L197" s="14">
        <v>0.37</v>
      </c>
      <c r="M197" s="14">
        <v>1.6299999999999899</v>
      </c>
      <c r="N197" s="14">
        <v>3.3999999999999901</v>
      </c>
      <c r="O197" s="14">
        <v>1</v>
      </c>
      <c r="P197" s="14">
        <v>3.1699999999999902</v>
      </c>
      <c r="Q197">
        <v>510</v>
      </c>
    </row>
    <row r="198" spans="3:17" x14ac:dyDescent="0.25">
      <c r="C198" s="15" t="s">
        <v>336</v>
      </c>
      <c r="D198" s="14" t="s">
        <v>14</v>
      </c>
      <c r="E198" s="14">
        <v>12.72</v>
      </c>
      <c r="F198" s="14">
        <v>1.75</v>
      </c>
      <c r="G198" s="14">
        <v>2.27999999999999</v>
      </c>
      <c r="H198" s="14">
        <v>22.5</v>
      </c>
      <c r="I198" s="14">
        <v>84</v>
      </c>
      <c r="J198" s="14">
        <v>1.3799999999999899</v>
      </c>
      <c r="K198" s="14">
        <v>1.76</v>
      </c>
      <c r="L198" s="14">
        <v>0.47999999999999898</v>
      </c>
      <c r="M198" s="14">
        <v>1.6299999999999899</v>
      </c>
      <c r="N198" s="14">
        <v>3.2999999999999901</v>
      </c>
      <c r="O198" s="14">
        <v>0.88</v>
      </c>
      <c r="P198" s="14">
        <v>2.4199999999999902</v>
      </c>
      <c r="Q198">
        <v>488</v>
      </c>
    </row>
    <row r="199" spans="3:17" x14ac:dyDescent="0.25">
      <c r="C199" s="15" t="s">
        <v>337</v>
      </c>
      <c r="D199" s="14" t="s">
        <v>14</v>
      </c>
      <c r="E199" s="14">
        <v>12.22</v>
      </c>
      <c r="F199" s="14">
        <v>1.29</v>
      </c>
      <c r="G199" s="14">
        <v>1.93999999999999</v>
      </c>
      <c r="H199" s="14">
        <v>19</v>
      </c>
      <c r="I199" s="14">
        <v>92</v>
      </c>
      <c r="J199" s="14">
        <v>2.3599999999999901</v>
      </c>
      <c r="K199" s="14">
        <v>2.04</v>
      </c>
      <c r="L199" s="14">
        <v>0.39</v>
      </c>
      <c r="M199" s="14">
        <v>2.08</v>
      </c>
      <c r="N199" s="14">
        <v>2.7</v>
      </c>
      <c r="O199" s="14">
        <v>0.85999999999999899</v>
      </c>
      <c r="P199" s="14">
        <v>3.02</v>
      </c>
      <c r="Q199">
        <v>312</v>
      </c>
    </row>
    <row r="200" spans="3:17" x14ac:dyDescent="0.25">
      <c r="C200" s="15" t="s">
        <v>339</v>
      </c>
      <c r="D200" s="14" t="s">
        <v>14</v>
      </c>
      <c r="E200" s="14">
        <v>11.46</v>
      </c>
      <c r="F200" s="14">
        <v>3.74</v>
      </c>
      <c r="G200" s="14">
        <v>1.82</v>
      </c>
      <c r="H200" s="14">
        <v>19.5</v>
      </c>
      <c r="I200" s="14">
        <v>107</v>
      </c>
      <c r="J200" s="14">
        <v>3.18</v>
      </c>
      <c r="K200" s="14">
        <v>2.58</v>
      </c>
      <c r="L200" s="14">
        <v>0.23999999999999899</v>
      </c>
      <c r="M200" s="14">
        <v>3.58</v>
      </c>
      <c r="N200" s="14">
        <v>2.8999999999999901</v>
      </c>
      <c r="O200" s="14">
        <v>0.75</v>
      </c>
      <c r="P200" s="14">
        <v>2.81</v>
      </c>
      <c r="Q200">
        <v>562</v>
      </c>
    </row>
    <row r="201" spans="3:17" x14ac:dyDescent="0.25">
      <c r="C201" s="15" t="s">
        <v>340</v>
      </c>
      <c r="D201" s="14" t="s">
        <v>14</v>
      </c>
      <c r="E201" s="14">
        <v>12.52</v>
      </c>
      <c r="F201" s="14">
        <v>2.4300000000000002</v>
      </c>
      <c r="G201" s="14">
        <v>2.1699999999999902</v>
      </c>
      <c r="H201" s="14">
        <v>21</v>
      </c>
      <c r="I201" s="14">
        <v>88</v>
      </c>
      <c r="J201" s="14">
        <v>2.5499999999999901</v>
      </c>
      <c r="K201" s="14">
        <v>2.27</v>
      </c>
      <c r="L201" s="14">
        <v>0.26</v>
      </c>
      <c r="M201" s="14">
        <v>1.22</v>
      </c>
      <c r="N201" s="14">
        <v>2</v>
      </c>
      <c r="O201" s="14">
        <v>0.9</v>
      </c>
      <c r="P201" s="14">
        <v>2.77999999999999</v>
      </c>
      <c r="Q201">
        <v>325</v>
      </c>
    </row>
    <row r="202" spans="3:17" x14ac:dyDescent="0.25">
      <c r="C202" s="15" t="s">
        <v>342</v>
      </c>
      <c r="D202" s="14" t="s">
        <v>14</v>
      </c>
      <c r="E202" s="14">
        <v>11.41</v>
      </c>
      <c r="F202" s="14">
        <v>0.73999999999999899</v>
      </c>
      <c r="G202" s="14">
        <v>2.5</v>
      </c>
      <c r="H202" s="14">
        <v>21</v>
      </c>
      <c r="I202" s="14">
        <v>88</v>
      </c>
      <c r="J202" s="14">
        <v>2.48</v>
      </c>
      <c r="K202" s="14">
        <v>2.00999999999999</v>
      </c>
      <c r="L202" s="14">
        <v>0.41999999999999899</v>
      </c>
      <c r="M202" s="14">
        <v>1.43999999999999</v>
      </c>
      <c r="N202" s="14">
        <v>3.08</v>
      </c>
      <c r="O202" s="14">
        <v>1.1000000000000001</v>
      </c>
      <c r="P202" s="14">
        <v>2.31</v>
      </c>
      <c r="Q202">
        <v>434</v>
      </c>
    </row>
    <row r="203" spans="3:17" x14ac:dyDescent="0.25">
      <c r="C203" s="15" t="s">
        <v>343</v>
      </c>
      <c r="D203" s="14" t="s">
        <v>14</v>
      </c>
      <c r="E203" s="14">
        <v>12.08</v>
      </c>
      <c r="F203" s="14">
        <v>1.3899999999999899</v>
      </c>
      <c r="G203" s="14">
        <v>2.5</v>
      </c>
      <c r="H203" s="14">
        <v>22.5</v>
      </c>
      <c r="I203" s="14">
        <v>84</v>
      </c>
      <c r="J203" s="14">
        <v>2.56</v>
      </c>
      <c r="K203" s="14">
        <v>2.29</v>
      </c>
      <c r="L203" s="14">
        <v>0.42999999999999899</v>
      </c>
      <c r="M203" s="14">
        <v>1.04</v>
      </c>
      <c r="N203" s="14">
        <v>2.8999999999999901</v>
      </c>
      <c r="O203" s="14">
        <v>0.93</v>
      </c>
      <c r="P203" s="14">
        <v>3.1899999999999902</v>
      </c>
      <c r="Q203">
        <v>385</v>
      </c>
    </row>
    <row r="204" spans="3:17" x14ac:dyDescent="0.25">
      <c r="C204" s="15" t="s">
        <v>345</v>
      </c>
      <c r="D204" s="14" t="s">
        <v>14</v>
      </c>
      <c r="E204" s="14">
        <v>11.82</v>
      </c>
      <c r="F204" s="14">
        <v>1.47</v>
      </c>
      <c r="G204" s="14">
        <v>1.99</v>
      </c>
      <c r="H204" s="14">
        <v>20.8</v>
      </c>
      <c r="I204" s="14">
        <v>86</v>
      </c>
      <c r="J204" s="14">
        <v>1.98</v>
      </c>
      <c r="K204" s="14">
        <v>1.6</v>
      </c>
      <c r="L204" s="14">
        <v>0.29999999999999899</v>
      </c>
      <c r="M204" s="14">
        <v>1.53</v>
      </c>
      <c r="N204" s="14">
        <v>1.95</v>
      </c>
      <c r="O204" s="14">
        <v>0.94999999999999896</v>
      </c>
      <c r="P204" s="14">
        <v>3.33</v>
      </c>
      <c r="Q204">
        <v>495</v>
      </c>
    </row>
    <row r="205" spans="3:17" x14ac:dyDescent="0.25">
      <c r="C205" s="15" t="s">
        <v>347</v>
      </c>
      <c r="D205" s="14" t="s">
        <v>14</v>
      </c>
      <c r="E205" s="14">
        <v>12.77</v>
      </c>
      <c r="F205" s="14">
        <v>3.43</v>
      </c>
      <c r="G205" s="14">
        <v>1.98</v>
      </c>
      <c r="H205" s="14">
        <v>16</v>
      </c>
      <c r="I205" s="14">
        <v>80</v>
      </c>
      <c r="J205" s="14">
        <v>1.6299999999999899</v>
      </c>
      <c r="K205" s="14">
        <v>1.25</v>
      </c>
      <c r="L205" s="14">
        <v>0.42999999999999899</v>
      </c>
      <c r="M205" s="14">
        <v>0.82999999999999896</v>
      </c>
      <c r="N205" s="14">
        <v>3.3999999999999901</v>
      </c>
      <c r="O205" s="14">
        <v>0.69999999999999896</v>
      </c>
      <c r="P205" s="14">
        <v>2.12</v>
      </c>
      <c r="Q205">
        <v>372</v>
      </c>
    </row>
    <row r="206" spans="3:17" x14ac:dyDescent="0.25">
      <c r="C206" s="15" t="s">
        <v>350</v>
      </c>
      <c r="D206" s="14" t="s">
        <v>14</v>
      </c>
      <c r="E206" s="14">
        <v>11.56</v>
      </c>
      <c r="F206" s="14">
        <v>2.0499999999999901</v>
      </c>
      <c r="G206" s="14">
        <v>3.23</v>
      </c>
      <c r="H206" s="14">
        <v>28.5</v>
      </c>
      <c r="I206" s="14">
        <v>119</v>
      </c>
      <c r="J206" s="14">
        <v>3.18</v>
      </c>
      <c r="K206" s="14">
        <v>5.08</v>
      </c>
      <c r="L206" s="14">
        <v>0.46999999999999897</v>
      </c>
      <c r="M206" s="14">
        <v>1.87</v>
      </c>
      <c r="N206" s="14">
        <v>6</v>
      </c>
      <c r="O206" s="14">
        <v>0.93</v>
      </c>
      <c r="P206" s="14">
        <v>3.6899999999999902</v>
      </c>
      <c r="Q206">
        <v>465</v>
      </c>
    </row>
    <row r="207" spans="3:17" x14ac:dyDescent="0.25">
      <c r="C207" s="15" t="s">
        <v>351</v>
      </c>
      <c r="D207" s="14" t="s">
        <v>14</v>
      </c>
      <c r="E207" s="14">
        <v>12.42</v>
      </c>
      <c r="F207" s="14">
        <v>4.4299999999999899</v>
      </c>
      <c r="G207" s="14">
        <v>2.73</v>
      </c>
      <c r="H207" s="14">
        <v>26.5</v>
      </c>
      <c r="I207" s="14">
        <v>102</v>
      </c>
      <c r="J207" s="14">
        <v>2.2000000000000002</v>
      </c>
      <c r="K207" s="14">
        <v>2.1299999999999901</v>
      </c>
      <c r="L207" s="14">
        <v>0.42999999999999899</v>
      </c>
      <c r="M207" s="14">
        <v>1.71</v>
      </c>
      <c r="N207" s="14">
        <v>2.08</v>
      </c>
      <c r="O207" s="14">
        <v>0.92</v>
      </c>
      <c r="P207" s="14">
        <v>3.12</v>
      </c>
      <c r="Q207">
        <v>365</v>
      </c>
    </row>
    <row r="208" spans="3:17" x14ac:dyDescent="0.25">
      <c r="C208" s="15" t="s">
        <v>353</v>
      </c>
      <c r="D208" s="14" t="s">
        <v>14</v>
      </c>
      <c r="E208" s="14">
        <v>11.8699999999999</v>
      </c>
      <c r="F208" s="14">
        <v>4.3099999999999898</v>
      </c>
      <c r="G208" s="14">
        <v>2.39</v>
      </c>
      <c r="H208" s="14">
        <v>21</v>
      </c>
      <c r="I208" s="14">
        <v>82</v>
      </c>
      <c r="J208" s="14">
        <v>2.8599999999999901</v>
      </c>
      <c r="K208" s="14">
        <v>3.02999999999999</v>
      </c>
      <c r="L208" s="14">
        <v>0.20999999999999899</v>
      </c>
      <c r="M208" s="14">
        <v>2.91</v>
      </c>
      <c r="N208" s="14">
        <v>2.7999999999999901</v>
      </c>
      <c r="O208" s="14">
        <v>0.75</v>
      </c>
      <c r="P208" s="14">
        <v>3.64</v>
      </c>
      <c r="Q208">
        <v>380</v>
      </c>
    </row>
    <row r="209" spans="3:17" x14ac:dyDescent="0.25">
      <c r="C209" s="15" t="s">
        <v>355</v>
      </c>
      <c r="D209" s="14" t="s">
        <v>14</v>
      </c>
      <c r="E209" s="14">
        <v>12.43</v>
      </c>
      <c r="F209" s="14">
        <v>1.53</v>
      </c>
      <c r="G209" s="14">
        <v>2.29</v>
      </c>
      <c r="H209" s="14">
        <v>21.5</v>
      </c>
      <c r="I209" s="14">
        <v>86</v>
      </c>
      <c r="J209" s="14">
        <v>2.74</v>
      </c>
      <c r="K209" s="14">
        <v>3.1499999999999901</v>
      </c>
      <c r="L209" s="14">
        <v>0.39</v>
      </c>
      <c r="M209" s="14">
        <v>1.77</v>
      </c>
      <c r="N209" s="14">
        <v>3.9399999999999902</v>
      </c>
      <c r="O209" s="14">
        <v>0.68999999999999895</v>
      </c>
      <c r="P209" s="14">
        <v>2.8399999999999901</v>
      </c>
      <c r="Q209">
        <v>352</v>
      </c>
    </row>
    <row r="210" spans="3:17" x14ac:dyDescent="0.25">
      <c r="C210" s="15" t="s">
        <v>359</v>
      </c>
      <c r="D210" s="14" t="s">
        <v>15</v>
      </c>
      <c r="E210" s="14">
        <v>12.8599999999999</v>
      </c>
      <c r="F210" s="14">
        <v>1.35</v>
      </c>
      <c r="G210" s="14">
        <v>2.3199999999999901</v>
      </c>
      <c r="H210" s="14">
        <v>18</v>
      </c>
      <c r="I210" s="14">
        <v>122</v>
      </c>
      <c r="J210" s="14">
        <v>1.51</v>
      </c>
      <c r="K210" s="14">
        <v>1.25</v>
      </c>
      <c r="L210" s="14">
        <v>0.20999999999999899</v>
      </c>
      <c r="M210" s="14">
        <v>0.93999999999999895</v>
      </c>
      <c r="N210" s="14">
        <v>4.0999999999999899</v>
      </c>
      <c r="O210" s="14">
        <v>0.76</v>
      </c>
      <c r="P210" s="14">
        <v>1.29</v>
      </c>
      <c r="Q210">
        <v>630</v>
      </c>
    </row>
    <row r="211" spans="3:17" x14ac:dyDescent="0.25">
      <c r="C211" s="15" t="s">
        <v>360</v>
      </c>
      <c r="D211" s="14" t="s">
        <v>15</v>
      </c>
      <c r="E211" s="14">
        <v>12.88</v>
      </c>
      <c r="F211" s="14">
        <v>2.99</v>
      </c>
      <c r="G211" s="14">
        <v>2.3999999999999901</v>
      </c>
      <c r="H211" s="14">
        <v>20</v>
      </c>
      <c r="I211" s="14">
        <v>104</v>
      </c>
      <c r="J211" s="14">
        <v>1.3</v>
      </c>
      <c r="K211" s="14">
        <v>1.22</v>
      </c>
      <c r="L211" s="14">
        <v>0.23999999999999899</v>
      </c>
      <c r="M211" s="14">
        <v>0.82999999999999896</v>
      </c>
      <c r="N211" s="14">
        <v>5.4</v>
      </c>
      <c r="O211" s="14">
        <v>0.73999999999999899</v>
      </c>
      <c r="P211" s="14">
        <v>1.4199999999999899</v>
      </c>
      <c r="Q211">
        <v>530</v>
      </c>
    </row>
    <row r="212" spans="3:17" x14ac:dyDescent="0.25">
      <c r="C212" s="15" t="s">
        <v>362</v>
      </c>
      <c r="D212" s="14" t="s">
        <v>15</v>
      </c>
      <c r="E212" s="14">
        <v>12.6999999999999</v>
      </c>
      <c r="F212" s="14">
        <v>3.5499999999999901</v>
      </c>
      <c r="G212" s="14">
        <v>2.3599999999999901</v>
      </c>
      <c r="H212" s="14">
        <v>21.5</v>
      </c>
      <c r="I212" s="14">
        <v>106</v>
      </c>
      <c r="J212" s="14">
        <v>1.7</v>
      </c>
      <c r="K212" s="14">
        <v>1.2</v>
      </c>
      <c r="L212" s="14">
        <v>0.17</v>
      </c>
      <c r="M212" s="14">
        <v>0.83999999999999897</v>
      </c>
      <c r="N212" s="14">
        <v>5</v>
      </c>
      <c r="O212" s="14">
        <v>0.78</v>
      </c>
      <c r="P212" s="14">
        <v>1.29</v>
      </c>
      <c r="Q212">
        <v>600</v>
      </c>
    </row>
    <row r="213" spans="3:17" x14ac:dyDescent="0.25">
      <c r="C213" s="15" t="s">
        <v>365</v>
      </c>
      <c r="D213" s="14" t="s">
        <v>15</v>
      </c>
      <c r="E213" s="14">
        <v>12.25</v>
      </c>
      <c r="F213" s="14">
        <v>4.71999999999999</v>
      </c>
      <c r="G213" s="14">
        <v>2.54</v>
      </c>
      <c r="H213" s="14">
        <v>21</v>
      </c>
      <c r="I213" s="14">
        <v>89</v>
      </c>
      <c r="J213" s="14">
        <v>1.3799999999999899</v>
      </c>
      <c r="K213" s="14">
        <v>0.46999999999999897</v>
      </c>
      <c r="L213" s="14">
        <v>0.53</v>
      </c>
      <c r="M213" s="14">
        <v>0.8</v>
      </c>
      <c r="N213" s="14">
        <v>3.85</v>
      </c>
      <c r="O213" s="14">
        <v>0.75</v>
      </c>
      <c r="P213" s="14">
        <v>1.27</v>
      </c>
      <c r="Q213">
        <v>720</v>
      </c>
    </row>
    <row r="214" spans="3:17" x14ac:dyDescent="0.25">
      <c r="C214" s="15" t="s">
        <v>367</v>
      </c>
      <c r="D214" s="14" t="s">
        <v>15</v>
      </c>
      <c r="E214" s="14">
        <v>13.49</v>
      </c>
      <c r="F214" s="14">
        <v>3.5899999999999901</v>
      </c>
      <c r="G214" s="14">
        <v>2.1899999999999902</v>
      </c>
      <c r="H214" s="14">
        <v>19.5</v>
      </c>
      <c r="I214" s="14">
        <v>88</v>
      </c>
      <c r="J214" s="14">
        <v>1.62</v>
      </c>
      <c r="K214" s="14">
        <v>0.47999999999999898</v>
      </c>
      <c r="L214" s="14">
        <v>0.57999999999999896</v>
      </c>
      <c r="M214" s="14">
        <v>0.88</v>
      </c>
      <c r="N214" s="14">
        <v>5.7</v>
      </c>
      <c r="O214" s="14">
        <v>0.81</v>
      </c>
      <c r="P214" s="14">
        <v>1.82</v>
      </c>
      <c r="Q214">
        <v>580</v>
      </c>
    </row>
    <row r="215" spans="3:17" x14ac:dyDescent="0.25">
      <c r="C215" s="15" t="s">
        <v>368</v>
      </c>
      <c r="D215" s="14" t="s">
        <v>15</v>
      </c>
      <c r="E215" s="14">
        <v>12.84</v>
      </c>
      <c r="F215" s="14">
        <v>2.96</v>
      </c>
      <c r="G215" s="14">
        <v>2.6099999999999901</v>
      </c>
      <c r="H215" s="14">
        <v>24</v>
      </c>
      <c r="I215" s="14">
        <v>101</v>
      </c>
      <c r="J215" s="14">
        <v>2.3199999999999901</v>
      </c>
      <c r="K215" s="14">
        <v>0.59999999999999898</v>
      </c>
      <c r="L215" s="14">
        <v>0.53</v>
      </c>
      <c r="M215" s="14">
        <v>0.81</v>
      </c>
      <c r="N215" s="14">
        <v>4.9199999999999902</v>
      </c>
      <c r="O215" s="14">
        <v>0.89</v>
      </c>
      <c r="P215" s="14">
        <v>2.1499999999999901</v>
      </c>
      <c r="Q215">
        <v>590</v>
      </c>
    </row>
    <row r="216" spans="3:17" x14ac:dyDescent="0.25">
      <c r="C216" s="15" t="s">
        <v>370</v>
      </c>
      <c r="D216" s="14" t="s">
        <v>15</v>
      </c>
      <c r="E216" s="14">
        <v>13.3599999999999</v>
      </c>
      <c r="F216" s="14">
        <v>2.56</v>
      </c>
      <c r="G216" s="14">
        <v>2.35</v>
      </c>
      <c r="H216" s="14">
        <v>20</v>
      </c>
      <c r="I216" s="14">
        <v>89</v>
      </c>
      <c r="J216" s="14">
        <v>1.3999999999999899</v>
      </c>
      <c r="K216" s="14">
        <v>0.5</v>
      </c>
      <c r="L216" s="14">
        <v>0.37</v>
      </c>
      <c r="M216" s="14">
        <v>0.64</v>
      </c>
      <c r="N216" s="14">
        <v>5.5999999999999899</v>
      </c>
      <c r="O216" s="14">
        <v>0.69999999999999896</v>
      </c>
      <c r="P216" s="14">
        <v>2.4700000000000002</v>
      </c>
      <c r="Q216">
        <v>780</v>
      </c>
    </row>
    <row r="217" spans="3:17" x14ac:dyDescent="0.25">
      <c r="C217" s="15" t="s">
        <v>371</v>
      </c>
      <c r="D217" s="14" t="s">
        <v>15</v>
      </c>
      <c r="E217" s="14">
        <v>13.52</v>
      </c>
      <c r="F217" s="14">
        <v>3.1699999999999902</v>
      </c>
      <c r="G217" s="14">
        <v>2.72</v>
      </c>
      <c r="H217" s="14">
        <v>23.5</v>
      </c>
      <c r="I217" s="14">
        <v>97</v>
      </c>
      <c r="J217" s="14">
        <v>1.55</v>
      </c>
      <c r="K217" s="14">
        <v>0.52</v>
      </c>
      <c r="L217" s="14">
        <v>0.5</v>
      </c>
      <c r="M217" s="14">
        <v>0.55000000000000004</v>
      </c>
      <c r="N217" s="14">
        <v>4.3499999999999899</v>
      </c>
      <c r="O217" s="14">
        <v>0.89</v>
      </c>
      <c r="P217" s="14">
        <v>2.06</v>
      </c>
      <c r="Q217">
        <v>520</v>
      </c>
    </row>
    <row r="218" spans="3:17" x14ac:dyDescent="0.25">
      <c r="C218" s="15" t="s">
        <v>373</v>
      </c>
      <c r="D218" s="14" t="s">
        <v>15</v>
      </c>
      <c r="E218" s="14">
        <v>12.25</v>
      </c>
      <c r="F218" s="14">
        <v>3.8799999999999901</v>
      </c>
      <c r="G218" s="14">
        <v>2.2000000000000002</v>
      </c>
      <c r="H218" s="14">
        <v>18.5</v>
      </c>
      <c r="I218" s="14">
        <v>112</v>
      </c>
      <c r="J218" s="14">
        <v>1.3799999999999899</v>
      </c>
      <c r="K218" s="14">
        <v>0.78</v>
      </c>
      <c r="L218" s="14">
        <v>0.28999999999999898</v>
      </c>
      <c r="M218" s="14">
        <v>1.1399999999999899</v>
      </c>
      <c r="N218" s="14">
        <v>8.2100000000000009</v>
      </c>
      <c r="O218" s="14">
        <v>0.65</v>
      </c>
      <c r="P218" s="14">
        <v>2</v>
      </c>
      <c r="Q218">
        <v>855</v>
      </c>
    </row>
    <row r="219" spans="3:17" x14ac:dyDescent="0.25">
      <c r="C219" s="15" t="s">
        <v>375</v>
      </c>
      <c r="D219" s="14" t="s">
        <v>15</v>
      </c>
      <c r="E219" s="14">
        <v>13.88</v>
      </c>
      <c r="F219" s="14">
        <v>5.04</v>
      </c>
      <c r="G219" s="14">
        <v>2.23</v>
      </c>
      <c r="H219" s="14">
        <v>20</v>
      </c>
      <c r="I219" s="14">
        <v>80</v>
      </c>
      <c r="J219" s="14">
        <v>0.97999999999999898</v>
      </c>
      <c r="K219" s="14">
        <v>0.34</v>
      </c>
      <c r="L219" s="14">
        <v>0.4</v>
      </c>
      <c r="M219" s="14">
        <v>0.68</v>
      </c>
      <c r="N219" s="14">
        <v>4.9000000000000004</v>
      </c>
      <c r="O219" s="14">
        <v>0.57999999999999896</v>
      </c>
      <c r="P219" s="14">
        <v>1.33</v>
      </c>
      <c r="Q219">
        <v>415</v>
      </c>
    </row>
    <row r="220" spans="3:17" x14ac:dyDescent="0.25">
      <c r="C220" s="15" t="s">
        <v>376</v>
      </c>
      <c r="D220" s="14" t="s">
        <v>15</v>
      </c>
      <c r="E220" s="14">
        <v>12.8699999999999</v>
      </c>
      <c r="F220" s="14">
        <v>4.6100000000000003</v>
      </c>
      <c r="G220" s="14">
        <v>2.48</v>
      </c>
      <c r="H220" s="14">
        <v>21.5</v>
      </c>
      <c r="I220" s="14">
        <v>86</v>
      </c>
      <c r="J220" s="14">
        <v>1.7</v>
      </c>
      <c r="K220" s="14">
        <v>0.65</v>
      </c>
      <c r="L220" s="14">
        <v>0.46999999999999897</v>
      </c>
      <c r="M220" s="14">
        <v>0.85999999999999899</v>
      </c>
      <c r="N220" s="14">
        <v>7.65</v>
      </c>
      <c r="O220" s="14">
        <v>0.54</v>
      </c>
      <c r="P220" s="14">
        <v>1.86</v>
      </c>
      <c r="Q220">
        <v>625</v>
      </c>
    </row>
    <row r="221" spans="3:17" x14ac:dyDescent="0.25">
      <c r="C221" s="15" t="s">
        <v>377</v>
      </c>
      <c r="D221" s="14" t="s">
        <v>15</v>
      </c>
      <c r="E221" s="14">
        <v>13.32</v>
      </c>
      <c r="F221" s="14">
        <v>3.24</v>
      </c>
      <c r="G221" s="14">
        <v>2.3799999999999901</v>
      </c>
      <c r="H221" s="14">
        <v>21.5</v>
      </c>
      <c r="I221" s="14">
        <v>92</v>
      </c>
      <c r="J221" s="14">
        <v>1.9299999999999899</v>
      </c>
      <c r="K221" s="14">
        <v>0.76</v>
      </c>
      <c r="L221" s="14">
        <v>0.45</v>
      </c>
      <c r="M221" s="14">
        <v>1.25</v>
      </c>
      <c r="N221" s="14">
        <v>8.4199999999999893</v>
      </c>
      <c r="O221" s="14">
        <v>0.55000000000000004</v>
      </c>
      <c r="P221" s="14">
        <v>1.62</v>
      </c>
      <c r="Q221">
        <v>650</v>
      </c>
    </row>
    <row r="222" spans="3:17" x14ac:dyDescent="0.25">
      <c r="C222" s="15" t="s">
        <v>381</v>
      </c>
      <c r="D222" s="14" t="s">
        <v>15</v>
      </c>
      <c r="E222" s="14">
        <v>13.1099999999999</v>
      </c>
      <c r="F222" s="14">
        <v>1.8999999999999899</v>
      </c>
      <c r="G222" s="14">
        <v>2.75</v>
      </c>
      <c r="H222" s="14">
        <v>25.5</v>
      </c>
      <c r="I222" s="14">
        <v>116</v>
      </c>
      <c r="J222" s="14">
        <v>2.2000000000000002</v>
      </c>
      <c r="K222" s="14">
        <v>1.28</v>
      </c>
      <c r="L222" s="14">
        <v>0.26</v>
      </c>
      <c r="M222" s="14">
        <v>1.56</v>
      </c>
      <c r="N222" s="14">
        <v>7.0999999999999899</v>
      </c>
      <c r="O222" s="14">
        <v>0.60999999999999899</v>
      </c>
      <c r="P222" s="14">
        <v>1.33</v>
      </c>
      <c r="Q222">
        <v>425</v>
      </c>
    </row>
    <row r="223" spans="3:17" x14ac:dyDescent="0.25">
      <c r="C223" s="15" t="s">
        <v>384</v>
      </c>
      <c r="D223" s="14" t="s">
        <v>15</v>
      </c>
      <c r="E223" s="14">
        <v>13.17</v>
      </c>
      <c r="F223" s="14">
        <v>5.19</v>
      </c>
      <c r="G223" s="14">
        <v>2.3199999999999901</v>
      </c>
      <c r="H223" s="14">
        <v>22</v>
      </c>
      <c r="I223" s="14">
        <v>93</v>
      </c>
      <c r="J223" s="14">
        <v>1.74</v>
      </c>
      <c r="K223" s="14">
        <v>0.63</v>
      </c>
      <c r="L223" s="14">
        <v>0.60999999999999899</v>
      </c>
      <c r="M223" s="14">
        <v>1.55</v>
      </c>
      <c r="N223" s="14">
        <v>7.9</v>
      </c>
      <c r="O223" s="14">
        <v>0.59999999999999898</v>
      </c>
      <c r="P223" s="14">
        <v>1.48</v>
      </c>
      <c r="Q223">
        <v>725</v>
      </c>
    </row>
    <row r="224" spans="3:17" x14ac:dyDescent="0.25">
      <c r="C224" s="15" t="s">
        <v>388</v>
      </c>
      <c r="D224" s="14" t="s">
        <v>15</v>
      </c>
      <c r="E224" s="14">
        <v>13.48</v>
      </c>
      <c r="F224" s="14">
        <v>1.6699999999999899</v>
      </c>
      <c r="G224" s="14">
        <v>2.64</v>
      </c>
      <c r="H224" s="14">
        <v>22.5</v>
      </c>
      <c r="I224" s="14">
        <v>89</v>
      </c>
      <c r="J224" s="14">
        <v>2.6</v>
      </c>
      <c r="K224" s="14">
        <v>1.1000000000000001</v>
      </c>
      <c r="L224" s="14">
        <v>0.52</v>
      </c>
      <c r="M224" s="14">
        <v>2.29</v>
      </c>
      <c r="N224" s="14">
        <v>11.75</v>
      </c>
      <c r="O224" s="14">
        <v>0.56999999999999895</v>
      </c>
      <c r="P224" s="14">
        <v>1.78</v>
      </c>
      <c r="Q224">
        <v>620</v>
      </c>
    </row>
    <row r="225" spans="3:17" x14ac:dyDescent="0.25">
      <c r="C225" s="15" t="s">
        <v>389</v>
      </c>
      <c r="D225" s="14" t="s">
        <v>15</v>
      </c>
      <c r="E225" s="14">
        <v>12.3599999999999</v>
      </c>
      <c r="F225" s="14">
        <v>3.83</v>
      </c>
      <c r="G225" s="14">
        <v>2.3799999999999901</v>
      </c>
      <c r="H225" s="14">
        <v>21</v>
      </c>
      <c r="I225" s="14">
        <v>88</v>
      </c>
      <c r="J225" s="14">
        <v>2.2999999999999901</v>
      </c>
      <c r="K225" s="14">
        <v>0.92</v>
      </c>
      <c r="L225" s="14">
        <v>0.5</v>
      </c>
      <c r="M225" s="14">
        <v>1.04</v>
      </c>
      <c r="N225" s="14">
        <v>7.65</v>
      </c>
      <c r="O225" s="14">
        <v>0.56000000000000005</v>
      </c>
      <c r="P225" s="14">
        <v>1.58</v>
      </c>
      <c r="Q225">
        <v>520</v>
      </c>
    </row>
    <row r="226" spans="3:17" x14ac:dyDescent="0.25">
      <c r="C226" s="15" t="s">
        <v>390</v>
      </c>
      <c r="D226" s="14" t="s">
        <v>15</v>
      </c>
      <c r="E226" s="14">
        <v>13.69</v>
      </c>
      <c r="F226" s="14">
        <v>3.25999999999999</v>
      </c>
      <c r="G226" s="14">
        <v>2.54</v>
      </c>
      <c r="H226" s="14">
        <v>20</v>
      </c>
      <c r="I226" s="14">
        <v>107</v>
      </c>
      <c r="J226" s="14">
        <v>1.83</v>
      </c>
      <c r="K226" s="14">
        <v>0.56000000000000005</v>
      </c>
      <c r="L226" s="14">
        <v>0.5</v>
      </c>
      <c r="M226" s="14">
        <v>0.8</v>
      </c>
      <c r="N226" s="14">
        <v>5.8799999999999901</v>
      </c>
      <c r="O226" s="14">
        <v>0.95999999999999897</v>
      </c>
      <c r="P226" s="14">
        <v>1.82</v>
      </c>
      <c r="Q226">
        <v>680</v>
      </c>
    </row>
    <row r="227" spans="3:17" x14ac:dyDescent="0.25">
      <c r="C227" s="15" t="s">
        <v>393</v>
      </c>
      <c r="D227" s="14" t="s">
        <v>15</v>
      </c>
      <c r="E227" s="14">
        <v>13.7799999999999</v>
      </c>
      <c r="F227" s="14">
        <v>2.75999999999999</v>
      </c>
      <c r="G227" s="14">
        <v>2.2999999999999901</v>
      </c>
      <c r="H227" s="14">
        <v>19.682317073170701</v>
      </c>
      <c r="I227" s="14">
        <v>90</v>
      </c>
      <c r="J227" s="14">
        <v>1.35</v>
      </c>
      <c r="K227" s="14">
        <v>0.68</v>
      </c>
      <c r="L227" s="14">
        <v>0.40999999999999898</v>
      </c>
      <c r="M227" s="14">
        <v>1.03</v>
      </c>
      <c r="N227" s="14">
        <v>9.58</v>
      </c>
      <c r="O227" s="14">
        <v>0.69999999999999896</v>
      </c>
      <c r="P227" s="14">
        <v>1.6799999999999899</v>
      </c>
      <c r="Q227">
        <v>615</v>
      </c>
    </row>
    <row r="228" spans="3:17" x14ac:dyDescent="0.25">
      <c r="C228" s="15" t="s">
        <v>394</v>
      </c>
      <c r="D228" s="14" t="s">
        <v>15</v>
      </c>
      <c r="E228" s="14">
        <v>13.73</v>
      </c>
      <c r="F228" s="14">
        <v>4.3600000000000003</v>
      </c>
      <c r="G228" s="14">
        <v>2.25999999999999</v>
      </c>
      <c r="H228" s="14">
        <v>22.5</v>
      </c>
      <c r="I228" s="14">
        <v>88</v>
      </c>
      <c r="J228" s="14">
        <v>1.28</v>
      </c>
      <c r="K228" s="14">
        <v>0.46999999999999897</v>
      </c>
      <c r="L228" s="14">
        <v>0.52</v>
      </c>
      <c r="M228" s="14">
        <v>1.1499999999999899</v>
      </c>
      <c r="N228" s="14">
        <v>6.62</v>
      </c>
      <c r="O228" s="14">
        <v>0.78</v>
      </c>
      <c r="P228" s="14">
        <v>1.75</v>
      </c>
      <c r="Q228">
        <v>520</v>
      </c>
    </row>
    <row r="229" spans="3:17" x14ac:dyDescent="0.25">
      <c r="C229" s="15" t="s">
        <v>395</v>
      </c>
      <c r="D229" s="14" t="s">
        <v>15</v>
      </c>
      <c r="E229" s="14">
        <v>13.4499999999999</v>
      </c>
      <c r="F229" s="14">
        <v>3.7</v>
      </c>
      <c r="G229" s="14">
        <v>2.6</v>
      </c>
      <c r="H229" s="14">
        <v>23</v>
      </c>
      <c r="I229" s="14">
        <v>111</v>
      </c>
      <c r="J229" s="14">
        <v>1.7</v>
      </c>
      <c r="K229" s="14">
        <v>0.92</v>
      </c>
      <c r="L229" s="14">
        <v>0.42999999999999899</v>
      </c>
      <c r="M229" s="14">
        <v>1.46</v>
      </c>
      <c r="N229" s="14">
        <v>10.68</v>
      </c>
      <c r="O229" s="14">
        <v>0.84999999999999898</v>
      </c>
      <c r="P229" s="14">
        <v>1.56</v>
      </c>
      <c r="Q229">
        <v>695</v>
      </c>
    </row>
    <row r="230" spans="3:17" x14ac:dyDescent="0.25">
      <c r="C230" s="15" t="s">
        <v>396</v>
      </c>
      <c r="D230" s="14" t="s">
        <v>15</v>
      </c>
      <c r="E230" s="14">
        <v>12.82</v>
      </c>
      <c r="F230" s="14">
        <v>3.37</v>
      </c>
      <c r="G230" s="14">
        <v>2.2999999999999901</v>
      </c>
      <c r="H230" s="14">
        <v>19.5</v>
      </c>
      <c r="I230" s="14">
        <v>88</v>
      </c>
      <c r="J230" s="14">
        <v>1.48</v>
      </c>
      <c r="K230" s="14">
        <v>0.66</v>
      </c>
      <c r="L230" s="14">
        <v>0.4</v>
      </c>
      <c r="M230" s="14">
        <v>0.96999999999999897</v>
      </c>
      <c r="N230" s="14">
        <v>10.26</v>
      </c>
      <c r="O230" s="14">
        <v>0.71999999999999897</v>
      </c>
      <c r="P230" s="14">
        <v>1.75</v>
      </c>
      <c r="Q230">
        <v>685</v>
      </c>
    </row>
    <row r="231" spans="3:17" x14ac:dyDescent="0.25">
      <c r="C231" s="15" t="s">
        <v>397</v>
      </c>
      <c r="D231" s="14" t="s">
        <v>15</v>
      </c>
      <c r="E231" s="14">
        <v>13.58</v>
      </c>
      <c r="F231" s="14">
        <v>2.58</v>
      </c>
      <c r="G231" s="14">
        <v>2.6899999999999902</v>
      </c>
      <c r="H231" s="14">
        <v>24.5</v>
      </c>
      <c r="I231" s="14">
        <v>105</v>
      </c>
      <c r="J231" s="14">
        <v>1.55</v>
      </c>
      <c r="K231" s="14">
        <v>0.83999999999999897</v>
      </c>
      <c r="L231" s="14">
        <v>0.36538226299694199</v>
      </c>
      <c r="M231" s="14">
        <v>1.54</v>
      </c>
      <c r="N231" s="14">
        <v>8.66</v>
      </c>
      <c r="O231" s="14">
        <v>0.73999999999999899</v>
      </c>
      <c r="P231" s="14">
        <v>1.8</v>
      </c>
      <c r="Q231">
        <v>750</v>
      </c>
    </row>
    <row r="232" spans="3:17" x14ac:dyDescent="0.25">
      <c r="C232" s="15" t="s">
        <v>398</v>
      </c>
      <c r="D232" s="14" t="s">
        <v>15</v>
      </c>
      <c r="E232" s="14">
        <v>13.4</v>
      </c>
      <c r="F232" s="14">
        <v>4.5999999999999899</v>
      </c>
      <c r="G232" s="14">
        <v>2.8599999999999901</v>
      </c>
      <c r="H232" s="14">
        <v>25</v>
      </c>
      <c r="I232" s="14">
        <v>112</v>
      </c>
      <c r="J232" s="14">
        <v>1.98</v>
      </c>
      <c r="K232" s="14">
        <v>0.95999999999999897</v>
      </c>
      <c r="L232" s="14">
        <v>0.27</v>
      </c>
      <c r="M232" s="14">
        <v>1.1100000000000001</v>
      </c>
      <c r="N232" s="14">
        <v>8.5</v>
      </c>
      <c r="O232" s="14">
        <v>0.67</v>
      </c>
      <c r="P232" s="14">
        <v>1.9199999999999899</v>
      </c>
      <c r="Q232">
        <v>630</v>
      </c>
    </row>
    <row r="233" spans="3:17" x14ac:dyDescent="0.25">
      <c r="C233" s="15" t="s">
        <v>400</v>
      </c>
      <c r="D233" s="14" t="s">
        <v>15</v>
      </c>
      <c r="E233" s="14">
        <v>12.77</v>
      </c>
      <c r="F233" s="14">
        <v>2.39</v>
      </c>
      <c r="G233" s="14">
        <v>2.27999999999999</v>
      </c>
      <c r="H233" s="14">
        <v>19.5</v>
      </c>
      <c r="I233" s="14">
        <v>86</v>
      </c>
      <c r="J233" s="14">
        <v>1.3899999999999899</v>
      </c>
      <c r="K233" s="14">
        <v>0.51</v>
      </c>
      <c r="L233" s="14">
        <v>0.47999999999999898</v>
      </c>
      <c r="M233" s="14">
        <v>0.64</v>
      </c>
      <c r="N233" s="14">
        <v>9.8999989999999904</v>
      </c>
      <c r="O233" s="14">
        <v>0.56999999999999895</v>
      </c>
      <c r="P233" s="14">
        <v>1.6299999999999899</v>
      </c>
      <c r="Q233">
        <v>470</v>
      </c>
    </row>
    <row r="234" spans="3:17" x14ac:dyDescent="0.25">
      <c r="C234" s="15" t="s">
        <v>402</v>
      </c>
      <c r="D234" s="14" t="s">
        <v>15</v>
      </c>
      <c r="E234" s="14">
        <v>13.71</v>
      </c>
      <c r="F234" s="14">
        <v>5.65</v>
      </c>
      <c r="G234" s="14">
        <v>2.4500000000000002</v>
      </c>
      <c r="H234" s="14">
        <v>20.5</v>
      </c>
      <c r="I234" s="14">
        <v>95</v>
      </c>
      <c r="J234" s="14">
        <v>1.6799999999999899</v>
      </c>
      <c r="K234" s="14">
        <v>0.60999999999999899</v>
      </c>
      <c r="L234" s="14">
        <v>0.52</v>
      </c>
      <c r="M234" s="14">
        <v>1.06</v>
      </c>
      <c r="N234" s="14">
        <v>7.7</v>
      </c>
      <c r="O234" s="14">
        <v>0.64</v>
      </c>
      <c r="P234" s="14">
        <v>1.74</v>
      </c>
      <c r="Q234">
        <v>740</v>
      </c>
    </row>
    <row r="235" spans="3:17" x14ac:dyDescent="0.25">
      <c r="C235" s="15" t="s">
        <v>363</v>
      </c>
      <c r="D235" s="14" t="s">
        <v>15</v>
      </c>
      <c r="E235" s="14">
        <v>12.51</v>
      </c>
      <c r="F235" s="14">
        <v>1.24</v>
      </c>
      <c r="G235" s="14">
        <v>2.25</v>
      </c>
      <c r="H235" s="14">
        <v>17.5</v>
      </c>
      <c r="I235" s="14">
        <v>85</v>
      </c>
      <c r="J235" s="14">
        <v>2</v>
      </c>
      <c r="K235" s="14">
        <v>0.57999999999999896</v>
      </c>
      <c r="L235" s="14">
        <v>0.59999999999999898</v>
      </c>
      <c r="M235" s="14">
        <v>1.25</v>
      </c>
      <c r="N235" s="14">
        <v>5.45</v>
      </c>
      <c r="O235" s="14">
        <v>0.75</v>
      </c>
      <c r="P235" s="14">
        <v>1.51</v>
      </c>
      <c r="Q235">
        <v>650</v>
      </c>
    </row>
    <row r="236" spans="3:17" x14ac:dyDescent="0.25">
      <c r="C236" s="15" t="s">
        <v>280</v>
      </c>
      <c r="D236" s="14" t="s">
        <v>13</v>
      </c>
      <c r="E236" s="14">
        <v>13.83</v>
      </c>
      <c r="F236" s="14">
        <v>1.6499999999999899</v>
      </c>
      <c r="G236" s="14">
        <v>2.6</v>
      </c>
      <c r="H236" s="14">
        <v>17.1999999999999</v>
      </c>
      <c r="I236" s="14">
        <v>94</v>
      </c>
      <c r="J236" s="14">
        <v>2.4500000000000002</v>
      </c>
      <c r="K236" s="14">
        <v>2.99</v>
      </c>
      <c r="L236" s="14">
        <v>0.22</v>
      </c>
      <c r="M236" s="14">
        <v>2.29</v>
      </c>
      <c r="N236" s="14">
        <v>5.5999999999999899</v>
      </c>
      <c r="O236" s="14">
        <v>1.24</v>
      </c>
      <c r="P236" s="14">
        <v>3.37</v>
      </c>
      <c r="Q236">
        <v>1265</v>
      </c>
    </row>
    <row r="237" spans="3:17" x14ac:dyDescent="0.25">
      <c r="C237" s="15" t="s">
        <v>401</v>
      </c>
      <c r="D237" s="14" t="s">
        <v>15</v>
      </c>
      <c r="E237" s="14">
        <v>14.16</v>
      </c>
      <c r="F237" s="14">
        <v>2.50999999999999</v>
      </c>
      <c r="G237" s="14">
        <v>2.48</v>
      </c>
      <c r="H237" s="14">
        <v>20</v>
      </c>
      <c r="I237" s="14">
        <v>91</v>
      </c>
      <c r="J237" s="14">
        <v>1.6799999999999899</v>
      </c>
      <c r="K237" s="14">
        <v>0.69999999999999896</v>
      </c>
      <c r="L237" s="14">
        <v>0.44</v>
      </c>
      <c r="M237" s="14">
        <v>1.24</v>
      </c>
      <c r="N237" s="14">
        <v>9.6999999999999904</v>
      </c>
      <c r="O237" s="14">
        <v>0.62</v>
      </c>
      <c r="P237" s="14">
        <v>1.71</v>
      </c>
      <c r="Q237">
        <v>660</v>
      </c>
    </row>
    <row r="238" spans="3:17" x14ac:dyDescent="0.25">
      <c r="C238" s="15" t="s">
        <v>199</v>
      </c>
      <c r="D238" s="14" t="s">
        <v>14</v>
      </c>
      <c r="E238" s="14">
        <v>12.07</v>
      </c>
      <c r="F238" s="14">
        <v>2.16</v>
      </c>
      <c r="G238" s="14">
        <v>2.1699999999999902</v>
      </c>
      <c r="H238" s="14">
        <v>21</v>
      </c>
      <c r="I238" s="14">
        <v>85</v>
      </c>
      <c r="J238" s="14">
        <v>2.6</v>
      </c>
      <c r="K238" s="14">
        <v>2.6499999999999901</v>
      </c>
      <c r="L238" s="14">
        <v>0.37</v>
      </c>
      <c r="M238" s="14">
        <v>1.35</v>
      </c>
      <c r="N238" s="14">
        <v>2.75999999999999</v>
      </c>
      <c r="O238" s="14">
        <v>0.85999999999999899</v>
      </c>
      <c r="P238" s="14">
        <v>3.27999999999999</v>
      </c>
      <c r="Q238">
        <v>378</v>
      </c>
    </row>
    <row r="239" spans="3:17" x14ac:dyDescent="0.25">
      <c r="C239" s="15" t="s">
        <v>301</v>
      </c>
      <c r="D239" s="14" t="s">
        <v>14</v>
      </c>
      <c r="E239" s="14">
        <v>13.49</v>
      </c>
      <c r="F239" s="14">
        <v>1.6599999999999899</v>
      </c>
      <c r="G239" s="14">
        <v>2.2400000000000002</v>
      </c>
      <c r="H239" s="14">
        <v>24</v>
      </c>
      <c r="I239" s="14">
        <v>87</v>
      </c>
      <c r="J239" s="14">
        <v>1.8799999999999899</v>
      </c>
      <c r="K239" s="14">
        <v>1.84</v>
      </c>
      <c r="L239" s="14">
        <v>0.27</v>
      </c>
      <c r="M239" s="14">
        <v>1.03</v>
      </c>
      <c r="N239" s="14">
        <v>3.74</v>
      </c>
      <c r="O239" s="14">
        <v>0.97999999999999898</v>
      </c>
      <c r="P239" s="14">
        <v>2.77999999999999</v>
      </c>
      <c r="Q239">
        <v>472</v>
      </c>
    </row>
    <row r="240" spans="3:17" x14ac:dyDescent="0.25">
      <c r="C240" s="15" t="s">
        <v>277</v>
      </c>
      <c r="D240" s="14" t="s">
        <v>13</v>
      </c>
      <c r="E240" s="14">
        <v>14.1</v>
      </c>
      <c r="F240" s="14">
        <v>2.02</v>
      </c>
      <c r="G240" s="14">
        <v>2.3999999999999901</v>
      </c>
      <c r="H240" s="14">
        <v>18.8</v>
      </c>
      <c r="I240" s="14">
        <v>103</v>
      </c>
      <c r="J240" s="14">
        <v>2.75</v>
      </c>
      <c r="K240" s="14">
        <v>2.9199999999999902</v>
      </c>
      <c r="L240" s="14">
        <v>0.32</v>
      </c>
      <c r="M240" s="14">
        <v>2.3799999999999901</v>
      </c>
      <c r="N240" s="14">
        <v>6.2</v>
      </c>
      <c r="O240" s="14">
        <v>1.07</v>
      </c>
      <c r="P240" s="14">
        <v>2.75</v>
      </c>
      <c r="Q240">
        <v>1060</v>
      </c>
    </row>
    <row r="241" spans="3:17" x14ac:dyDescent="0.25">
      <c r="C241" s="15" t="s">
        <v>308</v>
      </c>
      <c r="D241" s="14" t="s">
        <v>14</v>
      </c>
      <c r="E241" s="14">
        <v>12.6999999999999</v>
      </c>
      <c r="F241" s="14">
        <v>3.87</v>
      </c>
      <c r="G241" s="14">
        <v>2.3999999999999901</v>
      </c>
      <c r="H241" s="14">
        <v>23</v>
      </c>
      <c r="I241" s="14">
        <v>101</v>
      </c>
      <c r="J241" s="14">
        <v>2.83</v>
      </c>
      <c r="K241" s="14">
        <v>2.5499999999999901</v>
      </c>
      <c r="L241" s="14">
        <v>0.42999999999999899</v>
      </c>
      <c r="M241" s="14">
        <v>1.95</v>
      </c>
      <c r="N241" s="14">
        <v>2.5699999999999901</v>
      </c>
      <c r="O241" s="14">
        <v>1.18999999999999</v>
      </c>
      <c r="P241" s="14">
        <v>3.1299999999999901</v>
      </c>
      <c r="Q241">
        <v>463</v>
      </c>
    </row>
    <row r="242" spans="3:17" x14ac:dyDescent="0.25">
      <c r="C242" s="15" t="s">
        <v>243</v>
      </c>
      <c r="D242" s="14" t="s">
        <v>15</v>
      </c>
      <c r="E242" s="14">
        <v>13.4</v>
      </c>
      <c r="F242" s="14">
        <v>4.5999999999999899</v>
      </c>
      <c r="G242" s="14">
        <v>2.8599999999999901</v>
      </c>
      <c r="H242" s="14">
        <v>25</v>
      </c>
      <c r="I242" s="14">
        <v>112</v>
      </c>
      <c r="J242" s="14">
        <v>1.98</v>
      </c>
      <c r="K242" s="14">
        <v>0.95999999999999897</v>
      </c>
      <c r="L242" s="14">
        <v>0.27</v>
      </c>
      <c r="M242" s="14">
        <v>1.1100000000000001</v>
      </c>
      <c r="N242" s="14">
        <v>8.5</v>
      </c>
      <c r="O242" s="14">
        <v>0.67</v>
      </c>
      <c r="P242" s="14">
        <v>1.9199999999999899</v>
      </c>
      <c r="Q242">
        <v>630</v>
      </c>
    </row>
    <row r="243" spans="3:17" x14ac:dyDescent="0.25">
      <c r="C243" s="15" t="s">
        <v>86</v>
      </c>
      <c r="D243" s="14" t="s">
        <v>13</v>
      </c>
      <c r="E243" s="14">
        <v>13.75</v>
      </c>
      <c r="F243" s="14">
        <v>1.73</v>
      </c>
      <c r="G243" s="14">
        <v>2.41</v>
      </c>
      <c r="H243" s="14">
        <v>16</v>
      </c>
      <c r="I243" s="14">
        <v>89</v>
      </c>
      <c r="J243" s="14">
        <v>2.6</v>
      </c>
      <c r="K243" s="14">
        <v>2.75999999999999</v>
      </c>
      <c r="L243" s="14">
        <v>0.28999999999999898</v>
      </c>
      <c r="M243" s="14">
        <v>1.81</v>
      </c>
      <c r="N243" s="14">
        <v>5.5999999999999899</v>
      </c>
      <c r="O243" s="14">
        <v>1.1499999999999899</v>
      </c>
      <c r="P243" s="14">
        <v>2.8999999999999901</v>
      </c>
      <c r="Q243">
        <v>1320</v>
      </c>
    </row>
    <row r="244" spans="3:17" x14ac:dyDescent="0.25">
      <c r="C244" s="15" t="s">
        <v>296</v>
      </c>
      <c r="D244" s="14" t="s">
        <v>14</v>
      </c>
      <c r="E244" s="14">
        <v>12.3699999999999</v>
      </c>
      <c r="F244" s="14">
        <v>1.1699999999999899</v>
      </c>
      <c r="G244" s="14">
        <v>1.9199999999999899</v>
      </c>
      <c r="H244" s="14">
        <v>19.600000000000001</v>
      </c>
      <c r="I244" s="14">
        <v>78</v>
      </c>
      <c r="J244" s="14">
        <v>2.1099999999999901</v>
      </c>
      <c r="K244" s="14">
        <v>2</v>
      </c>
      <c r="L244" s="14">
        <v>0.27</v>
      </c>
      <c r="M244" s="14">
        <v>1.04</v>
      </c>
      <c r="N244" s="14">
        <v>4.6799999999999899</v>
      </c>
      <c r="O244" s="14">
        <v>1.1200000000000001</v>
      </c>
      <c r="P244" s="14">
        <v>3.48</v>
      </c>
      <c r="Q244">
        <v>510</v>
      </c>
    </row>
    <row r="245" spans="3:17" x14ac:dyDescent="0.25">
      <c r="C245" s="15" t="s">
        <v>316</v>
      </c>
      <c r="D245" s="14" t="s">
        <v>14</v>
      </c>
      <c r="E245" s="14">
        <v>11.65</v>
      </c>
      <c r="F245" s="14">
        <v>1.6699999999999899</v>
      </c>
      <c r="G245" s="14">
        <v>2.62</v>
      </c>
      <c r="H245" s="14">
        <v>26</v>
      </c>
      <c r="I245" s="14">
        <v>88</v>
      </c>
      <c r="J245" s="14">
        <v>1.9199999999999899</v>
      </c>
      <c r="K245" s="14">
        <v>1.61</v>
      </c>
      <c r="L245" s="14">
        <v>0.4</v>
      </c>
      <c r="M245" s="14">
        <v>1.34</v>
      </c>
      <c r="N245" s="14">
        <v>2.6</v>
      </c>
      <c r="O245" s="14">
        <v>1.36</v>
      </c>
      <c r="P245" s="14">
        <v>3.21</v>
      </c>
      <c r="Q245">
        <v>562</v>
      </c>
    </row>
    <row r="246" spans="3:17" x14ac:dyDescent="0.25">
      <c r="C246" s="15" t="s">
        <v>358</v>
      </c>
      <c r="D246" s="14" t="s">
        <v>14</v>
      </c>
      <c r="E246" s="14">
        <v>12.0399999999999</v>
      </c>
      <c r="F246" s="14">
        <v>4.2999999999999901</v>
      </c>
      <c r="G246" s="14">
        <v>2.3799999999999901</v>
      </c>
      <c r="H246" s="14">
        <v>22</v>
      </c>
      <c r="I246" s="14">
        <v>80</v>
      </c>
      <c r="J246" s="14">
        <v>2.1</v>
      </c>
      <c r="K246" s="14">
        <v>1.75</v>
      </c>
      <c r="L246" s="14">
        <v>0.41999999999999899</v>
      </c>
      <c r="M246" s="14">
        <v>1.35</v>
      </c>
      <c r="N246" s="14">
        <v>2.6</v>
      </c>
      <c r="O246" s="14">
        <v>0.79</v>
      </c>
      <c r="P246" s="14">
        <v>2.5699999999999901</v>
      </c>
      <c r="Q246">
        <v>580</v>
      </c>
    </row>
    <row r="247" spans="3:17" x14ac:dyDescent="0.25">
      <c r="C247" s="15" t="s">
        <v>391</v>
      </c>
      <c r="D247" s="14" t="s">
        <v>15</v>
      </c>
      <c r="E247" s="14">
        <v>12.85</v>
      </c>
      <c r="F247" s="14">
        <v>3.27</v>
      </c>
      <c r="G247" s="14">
        <v>2.58</v>
      </c>
      <c r="H247" s="14">
        <v>22</v>
      </c>
      <c r="I247" s="14">
        <v>106</v>
      </c>
      <c r="J247" s="14">
        <v>1.6499999999999899</v>
      </c>
      <c r="K247" s="14">
        <v>0.59999999999999898</v>
      </c>
      <c r="L247" s="14">
        <v>0.59999999999999898</v>
      </c>
      <c r="M247" s="14">
        <v>0.95999999999999897</v>
      </c>
      <c r="N247" s="14">
        <v>5.58</v>
      </c>
      <c r="O247" s="14">
        <v>0.87</v>
      </c>
      <c r="P247" s="14">
        <v>2.1099999999999901</v>
      </c>
      <c r="Q247">
        <v>570</v>
      </c>
    </row>
    <row r="248" spans="3:17" x14ac:dyDescent="0.25">
      <c r="C248" s="15" t="s">
        <v>387</v>
      </c>
      <c r="D248" s="14" t="s">
        <v>15</v>
      </c>
      <c r="E248" s="14">
        <v>14.34</v>
      </c>
      <c r="F248" s="14">
        <v>1.6799999999999899</v>
      </c>
      <c r="G248" s="14">
        <v>2.7</v>
      </c>
      <c r="H248" s="14">
        <v>25</v>
      </c>
      <c r="I248" s="14">
        <v>98</v>
      </c>
      <c r="J248" s="14">
        <v>2.7999999999999901</v>
      </c>
      <c r="K248" s="14">
        <v>1.31</v>
      </c>
      <c r="L248" s="14">
        <v>0.53</v>
      </c>
      <c r="M248" s="14">
        <v>2.7</v>
      </c>
      <c r="N248" s="14">
        <v>13</v>
      </c>
      <c r="O248" s="14">
        <v>0.56999999999999895</v>
      </c>
      <c r="P248" s="14">
        <v>1.96</v>
      </c>
      <c r="Q248">
        <v>660</v>
      </c>
    </row>
    <row r="249" spans="3:17" x14ac:dyDescent="0.25">
      <c r="C249" s="15" t="s">
        <v>111</v>
      </c>
      <c r="D249" s="14" t="s">
        <v>13</v>
      </c>
      <c r="E249" s="14">
        <v>13.05</v>
      </c>
      <c r="F249" s="14">
        <v>1.6499999999999899</v>
      </c>
      <c r="G249" s="14">
        <v>2.5499999999999901</v>
      </c>
      <c r="H249" s="14">
        <v>18</v>
      </c>
      <c r="I249" s="14">
        <v>98</v>
      </c>
      <c r="J249" s="14">
        <v>2.4500000000000002</v>
      </c>
      <c r="K249" s="14">
        <v>2.4300000000000002</v>
      </c>
      <c r="L249" s="14">
        <v>0.28999999999999898</v>
      </c>
      <c r="M249" s="14">
        <v>1.43999999999999</v>
      </c>
      <c r="N249" s="14">
        <v>4.25</v>
      </c>
      <c r="O249" s="14">
        <v>1.1200000000000001</v>
      </c>
      <c r="P249" s="14">
        <v>2.50999999999999</v>
      </c>
      <c r="Q249">
        <v>1105</v>
      </c>
    </row>
    <row r="250" spans="3:17" x14ac:dyDescent="0.25">
      <c r="C250" s="15" t="s">
        <v>172</v>
      </c>
      <c r="D250" s="14" t="s">
        <v>14</v>
      </c>
      <c r="E250" s="14">
        <v>12.3699999999999</v>
      </c>
      <c r="F250" s="14">
        <v>1.07</v>
      </c>
      <c r="G250" s="14">
        <v>2.1</v>
      </c>
      <c r="H250" s="14">
        <v>18.5</v>
      </c>
      <c r="I250" s="14">
        <v>88</v>
      </c>
      <c r="J250" s="14">
        <v>3.52</v>
      </c>
      <c r="K250" s="14">
        <v>3.75</v>
      </c>
      <c r="L250" s="14">
        <v>0.23999999999999899</v>
      </c>
      <c r="M250" s="14">
        <v>1.95</v>
      </c>
      <c r="N250" s="14">
        <v>4.5</v>
      </c>
      <c r="O250" s="14">
        <v>1.04</v>
      </c>
      <c r="P250" s="14">
        <v>2.77</v>
      </c>
      <c r="Q250">
        <v>660</v>
      </c>
    </row>
    <row r="251" spans="3:17" x14ac:dyDescent="0.25">
      <c r="C251" s="15" t="s">
        <v>321</v>
      </c>
      <c r="D251" s="14" t="s">
        <v>14</v>
      </c>
      <c r="E251" s="14">
        <v>12.69</v>
      </c>
      <c r="F251" s="14">
        <v>1.53</v>
      </c>
      <c r="G251" s="14">
        <v>2.25999999999999</v>
      </c>
      <c r="H251" s="14">
        <v>20.6999999999999</v>
      </c>
      <c r="I251" s="14">
        <v>80</v>
      </c>
      <c r="J251" s="14">
        <v>1.3799999999999899</v>
      </c>
      <c r="K251" s="14">
        <v>1.46</v>
      </c>
      <c r="L251" s="14">
        <v>0.57999999999999896</v>
      </c>
      <c r="M251" s="14">
        <v>1.62</v>
      </c>
      <c r="N251" s="14">
        <v>3.0499999999999901</v>
      </c>
      <c r="O251" s="14">
        <v>0.95999999999999897</v>
      </c>
      <c r="P251" s="14">
        <v>2.06</v>
      </c>
      <c r="Q251">
        <v>495</v>
      </c>
    </row>
    <row r="252" spans="3:17" x14ac:dyDescent="0.25">
      <c r="C252" s="15" t="s">
        <v>211</v>
      </c>
      <c r="D252" s="14" t="s">
        <v>15</v>
      </c>
      <c r="E252" s="14">
        <v>12.5299999999999</v>
      </c>
      <c r="F252" s="14">
        <v>5.50999999999999</v>
      </c>
      <c r="G252" s="14">
        <v>2.64</v>
      </c>
      <c r="H252" s="14">
        <v>25</v>
      </c>
      <c r="I252" s="14">
        <v>96</v>
      </c>
      <c r="J252" s="14">
        <v>1.79</v>
      </c>
      <c r="K252" s="14">
        <v>0.59999999999999898</v>
      </c>
      <c r="L252" s="14">
        <v>0.63</v>
      </c>
      <c r="M252" s="14">
        <v>1.1000000000000001</v>
      </c>
      <c r="N252" s="14">
        <v>5</v>
      </c>
      <c r="O252" s="14">
        <v>0.81999999999999895</v>
      </c>
      <c r="P252" s="14">
        <v>1.68999999999999</v>
      </c>
      <c r="Q252">
        <v>515</v>
      </c>
    </row>
    <row r="253" spans="3:17" x14ac:dyDescent="0.25">
      <c r="C253" s="15" t="s">
        <v>217</v>
      </c>
      <c r="D253" s="14" t="s">
        <v>15</v>
      </c>
      <c r="E253" s="14">
        <v>13.6199999999999</v>
      </c>
      <c r="F253" s="14">
        <v>4.95</v>
      </c>
      <c r="G253" s="14">
        <v>2.35</v>
      </c>
      <c r="H253" s="14">
        <v>20</v>
      </c>
      <c r="I253" s="14">
        <v>92</v>
      </c>
      <c r="J253" s="14">
        <v>2</v>
      </c>
      <c r="K253" s="14">
        <v>0.8</v>
      </c>
      <c r="L253" s="14">
        <v>0.46999999999999897</v>
      </c>
      <c r="M253" s="14">
        <v>1.02</v>
      </c>
      <c r="N253" s="14">
        <v>4.4000000000000004</v>
      </c>
      <c r="O253" s="14">
        <v>0.91</v>
      </c>
      <c r="P253" s="14">
        <v>2.0499999999999901</v>
      </c>
      <c r="Q253">
        <v>550</v>
      </c>
    </row>
    <row r="254" spans="3:17" x14ac:dyDescent="0.25">
      <c r="C254" s="15" t="s">
        <v>324</v>
      </c>
      <c r="D254" s="14" t="s">
        <v>14</v>
      </c>
      <c r="E254" s="14">
        <v>12.47</v>
      </c>
      <c r="F254" s="14">
        <v>1.52</v>
      </c>
      <c r="G254" s="14">
        <v>2.2000000000000002</v>
      </c>
      <c r="H254" s="14">
        <v>19</v>
      </c>
      <c r="I254" s="14">
        <v>162</v>
      </c>
      <c r="J254" s="14">
        <v>2.5</v>
      </c>
      <c r="K254" s="14">
        <v>2.27</v>
      </c>
      <c r="L254" s="14">
        <v>0.32</v>
      </c>
      <c r="M254" s="14">
        <v>3.27999999999999</v>
      </c>
      <c r="N254" s="14">
        <v>2.6</v>
      </c>
      <c r="O254" s="14">
        <v>1.1599999999999899</v>
      </c>
      <c r="P254" s="14">
        <v>2.6299999999999901</v>
      </c>
      <c r="Q254">
        <v>937</v>
      </c>
    </row>
    <row r="255" spans="3:17" x14ac:dyDescent="0.25">
      <c r="C255" s="15" t="s">
        <v>104</v>
      </c>
      <c r="D255" s="14" t="s">
        <v>13</v>
      </c>
      <c r="E255" s="14">
        <v>13.73</v>
      </c>
      <c r="F255" s="14">
        <v>1.5</v>
      </c>
      <c r="G255" s="14">
        <v>2.7</v>
      </c>
      <c r="H255" s="14">
        <v>22.5</v>
      </c>
      <c r="I255" s="14">
        <v>101</v>
      </c>
      <c r="J255" s="14">
        <v>3</v>
      </c>
      <c r="K255" s="14">
        <v>3.25</v>
      </c>
      <c r="L255" s="14">
        <v>0.28999999999999898</v>
      </c>
      <c r="M255" s="14">
        <v>2.3799999999999901</v>
      </c>
      <c r="N255" s="14">
        <v>5.7</v>
      </c>
      <c r="O255" s="14">
        <v>1.18999999999999</v>
      </c>
      <c r="P255" s="14">
        <v>2.71</v>
      </c>
      <c r="Q255">
        <v>1285</v>
      </c>
    </row>
    <row r="256" spans="3:17" x14ac:dyDescent="0.25">
      <c r="C256" s="15" t="s">
        <v>100</v>
      </c>
      <c r="D256" s="14" t="s">
        <v>13</v>
      </c>
      <c r="E256" s="14">
        <v>13.39</v>
      </c>
      <c r="F256" s="14">
        <v>1.77</v>
      </c>
      <c r="G256" s="14">
        <v>2.62</v>
      </c>
      <c r="H256" s="14">
        <v>16.100000000000001</v>
      </c>
      <c r="I256" s="14">
        <v>93</v>
      </c>
      <c r="J256" s="14">
        <v>2.85</v>
      </c>
      <c r="K256" s="14">
        <v>2.9399999999999902</v>
      </c>
      <c r="L256" s="14">
        <v>0.34</v>
      </c>
      <c r="M256" s="14">
        <v>1.45</v>
      </c>
      <c r="N256" s="14">
        <v>4.7999999999999901</v>
      </c>
      <c r="O256" s="14">
        <v>0.92</v>
      </c>
      <c r="P256" s="14">
        <v>3.22</v>
      </c>
      <c r="Q256">
        <v>1195</v>
      </c>
    </row>
    <row r="257" spans="3:17" x14ac:dyDescent="0.25">
      <c r="C257" s="15" t="s">
        <v>167</v>
      </c>
      <c r="D257" s="14" t="s">
        <v>14</v>
      </c>
      <c r="E257" s="14">
        <v>12.2899999999999</v>
      </c>
      <c r="F257" s="14">
        <v>2.83</v>
      </c>
      <c r="G257" s="14">
        <v>2.2200000000000002</v>
      </c>
      <c r="H257" s="14">
        <v>18</v>
      </c>
      <c r="I257" s="14">
        <v>88</v>
      </c>
      <c r="J257" s="14">
        <v>2.4500000000000002</v>
      </c>
      <c r="K257" s="14">
        <v>2.25</v>
      </c>
      <c r="L257" s="14">
        <v>0.25</v>
      </c>
      <c r="M257" s="14">
        <v>1.99</v>
      </c>
      <c r="N257" s="14">
        <v>2.1499999999999901</v>
      </c>
      <c r="O257" s="14">
        <v>1.1499999999999899</v>
      </c>
      <c r="P257" s="14">
        <v>3.2999999999999901</v>
      </c>
      <c r="Q257">
        <v>290</v>
      </c>
    </row>
    <row r="258" spans="3:17" x14ac:dyDescent="0.25">
      <c r="C258" s="15" t="s">
        <v>267</v>
      </c>
      <c r="D258" s="14" t="s">
        <v>13</v>
      </c>
      <c r="E258" s="14">
        <v>13.07</v>
      </c>
      <c r="F258" s="14">
        <v>1.5</v>
      </c>
      <c r="G258" s="14">
        <v>2.1</v>
      </c>
      <c r="H258" s="14">
        <v>15.5</v>
      </c>
      <c r="I258" s="14">
        <v>98</v>
      </c>
      <c r="J258" s="14">
        <v>2.3999999999999901</v>
      </c>
      <c r="K258" s="14">
        <v>2.64</v>
      </c>
      <c r="L258" s="14">
        <v>0.28000000000000003</v>
      </c>
      <c r="M258" s="14">
        <v>1.37</v>
      </c>
      <c r="N258" s="14">
        <v>3.7</v>
      </c>
      <c r="O258" s="14">
        <v>1.1799999999999899</v>
      </c>
      <c r="P258" s="14">
        <v>2.6899999999999902</v>
      </c>
      <c r="Q258">
        <v>1020</v>
      </c>
    </row>
    <row r="259" spans="3:17" x14ac:dyDescent="0.25">
      <c r="C259" s="15" t="s">
        <v>87</v>
      </c>
      <c r="D259" s="14" t="s">
        <v>13</v>
      </c>
      <c r="E259" s="14">
        <v>14.75</v>
      </c>
      <c r="F259" s="14">
        <v>1.73</v>
      </c>
      <c r="G259" s="14">
        <v>2.39</v>
      </c>
      <c r="H259" s="14">
        <v>11.4</v>
      </c>
      <c r="I259" s="14">
        <v>91</v>
      </c>
      <c r="J259" s="14">
        <v>3.1</v>
      </c>
      <c r="K259" s="14">
        <v>3.6899999999999902</v>
      </c>
      <c r="L259" s="14">
        <v>0.42999999999999899</v>
      </c>
      <c r="M259" s="14">
        <v>2.81</v>
      </c>
      <c r="N259" s="14">
        <v>5.4</v>
      </c>
      <c r="O259" s="14">
        <v>1.25</v>
      </c>
      <c r="P259" s="14">
        <v>2.73</v>
      </c>
      <c r="Q259">
        <v>1150</v>
      </c>
    </row>
    <row r="260" spans="3:17" x14ac:dyDescent="0.25">
      <c r="C260" s="15" t="s">
        <v>90</v>
      </c>
      <c r="D260" s="14" t="s">
        <v>13</v>
      </c>
      <c r="E260" s="14">
        <v>14.3</v>
      </c>
      <c r="F260" s="14">
        <v>1.9199999999999899</v>
      </c>
      <c r="G260" s="14">
        <v>2.72</v>
      </c>
      <c r="H260" s="14">
        <v>20</v>
      </c>
      <c r="I260" s="14">
        <v>120</v>
      </c>
      <c r="J260" s="14">
        <v>2.7999999999999901</v>
      </c>
      <c r="K260" s="14">
        <v>3.14</v>
      </c>
      <c r="L260" s="14">
        <v>0.33</v>
      </c>
      <c r="M260" s="14">
        <v>1.97</v>
      </c>
      <c r="N260" s="14">
        <v>6.2</v>
      </c>
      <c r="O260" s="14">
        <v>1.07</v>
      </c>
      <c r="P260" s="14">
        <v>2.6499999999999901</v>
      </c>
      <c r="Q260">
        <v>1280</v>
      </c>
    </row>
    <row r="261" spans="3:17" x14ac:dyDescent="0.25">
      <c r="C261" s="15" t="s">
        <v>145</v>
      </c>
      <c r="D261" s="14" t="s">
        <v>14</v>
      </c>
      <c r="E261" s="14">
        <v>13.8599999999999</v>
      </c>
      <c r="F261" s="14">
        <v>1.51</v>
      </c>
      <c r="G261" s="14">
        <v>2.6699999999999902</v>
      </c>
      <c r="H261" s="14">
        <v>25</v>
      </c>
      <c r="I261" s="14">
        <v>86</v>
      </c>
      <c r="J261" s="14">
        <v>2.95</v>
      </c>
      <c r="K261" s="14">
        <v>2.8599999999999901</v>
      </c>
      <c r="L261" s="14">
        <v>0.20999999999999899</v>
      </c>
      <c r="M261" s="14">
        <v>1.87</v>
      </c>
      <c r="N261" s="14">
        <v>3.3799999999999901</v>
      </c>
      <c r="O261" s="14">
        <v>1.36</v>
      </c>
      <c r="P261" s="14">
        <v>3.16</v>
      </c>
      <c r="Q261">
        <v>410</v>
      </c>
    </row>
    <row r="262" spans="3:17" x14ac:dyDescent="0.25">
      <c r="C262" s="15" t="s">
        <v>77</v>
      </c>
      <c r="D262" s="14" t="s">
        <v>13</v>
      </c>
      <c r="E262" s="14">
        <v>14.3699999999999</v>
      </c>
      <c r="F262" s="14">
        <v>1.95</v>
      </c>
      <c r="G262" s="14">
        <v>2.5</v>
      </c>
      <c r="H262" s="14">
        <v>16.8</v>
      </c>
      <c r="I262" s="14">
        <v>113</v>
      </c>
      <c r="J262" s="14">
        <v>3.85</v>
      </c>
      <c r="K262" s="14">
        <v>3.49</v>
      </c>
      <c r="L262" s="14">
        <v>0.23999999999999899</v>
      </c>
      <c r="M262" s="14">
        <v>2.1800000000000002</v>
      </c>
      <c r="N262" s="14">
        <v>7.7999999999999901</v>
      </c>
      <c r="O262" s="14">
        <v>0.85999999999999899</v>
      </c>
      <c r="P262" s="14">
        <v>3.45</v>
      </c>
      <c r="Q262">
        <v>1480</v>
      </c>
    </row>
    <row r="263" spans="3:17" x14ac:dyDescent="0.25">
      <c r="C263" s="15" t="s">
        <v>238</v>
      </c>
      <c r="D263" s="14" t="s">
        <v>15</v>
      </c>
      <c r="E263" s="14">
        <v>13.7799999999999</v>
      </c>
      <c r="F263" s="14">
        <v>2.75999999999999</v>
      </c>
      <c r="G263" s="14">
        <v>2.2999999999999901</v>
      </c>
      <c r="H263" s="14">
        <v>22</v>
      </c>
      <c r="I263" s="14">
        <v>90</v>
      </c>
      <c r="J263" s="14">
        <v>1.35</v>
      </c>
      <c r="K263" s="14">
        <v>0.68</v>
      </c>
      <c r="L263" s="14">
        <v>0.40999999999999898</v>
      </c>
      <c r="M263" s="14">
        <v>1.03</v>
      </c>
      <c r="N263" s="14">
        <v>9.58</v>
      </c>
      <c r="O263" s="14">
        <v>0.69999999999999896</v>
      </c>
      <c r="P263" s="14">
        <v>1.6799999999999899</v>
      </c>
      <c r="Q263">
        <v>615</v>
      </c>
    </row>
    <row r="264" spans="3:17" x14ac:dyDescent="0.25">
      <c r="C264" s="15" t="s">
        <v>382</v>
      </c>
      <c r="D264" s="14" t="s">
        <v>15</v>
      </c>
      <c r="E264" s="14">
        <v>13.23</v>
      </c>
      <c r="F264" s="14">
        <v>3.2999999999999901</v>
      </c>
      <c r="G264" s="14">
        <v>2.27999999999999</v>
      </c>
      <c r="H264" s="14">
        <v>18.5</v>
      </c>
      <c r="I264" s="14">
        <v>98</v>
      </c>
      <c r="J264" s="14">
        <v>1.8</v>
      </c>
      <c r="K264" s="14">
        <v>0.82999999999999896</v>
      </c>
      <c r="L264" s="14">
        <v>0.60999999999999899</v>
      </c>
      <c r="M264" s="14">
        <v>1.87</v>
      </c>
      <c r="N264" s="14">
        <v>10.52</v>
      </c>
      <c r="O264" s="14">
        <v>0.56000000000000005</v>
      </c>
      <c r="P264" s="14">
        <v>1.51</v>
      </c>
      <c r="Q264">
        <v>675</v>
      </c>
    </row>
    <row r="265" spans="3:17" x14ac:dyDescent="0.25">
      <c r="C265" s="15" t="s">
        <v>116</v>
      </c>
      <c r="D265" s="14" t="s">
        <v>13</v>
      </c>
      <c r="E265" s="14">
        <v>13.88</v>
      </c>
      <c r="F265" s="14">
        <v>1.8899999999999899</v>
      </c>
      <c r="G265" s="14">
        <v>2.5899999999999901</v>
      </c>
      <c r="H265" s="14">
        <v>15</v>
      </c>
      <c r="I265" s="14">
        <v>101</v>
      </c>
      <c r="J265" s="14">
        <v>3.25</v>
      </c>
      <c r="K265" s="14">
        <v>3.56</v>
      </c>
      <c r="L265" s="14">
        <v>0.17</v>
      </c>
      <c r="M265" s="14">
        <v>1.7</v>
      </c>
      <c r="N265" s="14">
        <v>5.4299999999999899</v>
      </c>
      <c r="O265" s="14">
        <v>0.88</v>
      </c>
      <c r="P265" s="14">
        <v>3.56</v>
      </c>
      <c r="Q265">
        <v>1095</v>
      </c>
    </row>
    <row r="266" spans="3:17" x14ac:dyDescent="0.25">
      <c r="C266" s="15" t="s">
        <v>310</v>
      </c>
      <c r="D266" s="14" t="s">
        <v>14</v>
      </c>
      <c r="E266" s="14">
        <v>12.72</v>
      </c>
      <c r="F266" s="14">
        <v>1.81</v>
      </c>
      <c r="G266" s="14">
        <v>2.2000000000000002</v>
      </c>
      <c r="H266" s="14">
        <v>18.8</v>
      </c>
      <c r="I266" s="14">
        <v>86</v>
      </c>
      <c r="J266" s="14">
        <v>2.2000000000000002</v>
      </c>
      <c r="K266" s="14">
        <v>2.52999999999999</v>
      </c>
      <c r="L266" s="14">
        <v>0.26</v>
      </c>
      <c r="M266" s="14">
        <v>1.77</v>
      </c>
      <c r="N266" s="14">
        <v>3.8999999999999901</v>
      </c>
      <c r="O266" s="14">
        <v>1.1599999999999899</v>
      </c>
      <c r="P266" s="14">
        <v>3.14</v>
      </c>
      <c r="Q266">
        <v>714</v>
      </c>
    </row>
    <row r="267" spans="3:17" x14ac:dyDescent="0.25">
      <c r="C267" s="15" t="s">
        <v>109</v>
      </c>
      <c r="D267" s="14" t="s">
        <v>13</v>
      </c>
      <c r="E267" s="14">
        <v>13.48</v>
      </c>
      <c r="F267" s="14">
        <v>1.81</v>
      </c>
      <c r="G267" s="14">
        <v>2.41</v>
      </c>
      <c r="H267" s="14">
        <v>20.5</v>
      </c>
      <c r="I267" s="14">
        <v>100</v>
      </c>
      <c r="J267" s="14">
        <v>2.7</v>
      </c>
      <c r="K267" s="14">
        <v>2.98</v>
      </c>
      <c r="L267" s="14">
        <v>0.26</v>
      </c>
      <c r="M267" s="14">
        <v>1.86</v>
      </c>
      <c r="N267" s="14">
        <v>5.0999999999999899</v>
      </c>
      <c r="O267" s="14">
        <v>1.04</v>
      </c>
      <c r="P267" s="14">
        <v>3.47</v>
      </c>
      <c r="Q267">
        <v>920</v>
      </c>
    </row>
    <row r="268" spans="3:17" x14ac:dyDescent="0.25">
      <c r="C268" s="15" t="s">
        <v>348</v>
      </c>
      <c r="D268" s="14" t="s">
        <v>14</v>
      </c>
      <c r="E268" s="14">
        <v>12</v>
      </c>
      <c r="F268" s="14">
        <v>3.43</v>
      </c>
      <c r="G268" s="14">
        <v>2</v>
      </c>
      <c r="H268" s="14">
        <v>19</v>
      </c>
      <c r="I268" s="14">
        <v>87</v>
      </c>
      <c r="J268" s="14">
        <v>2</v>
      </c>
      <c r="K268" s="14">
        <v>1.6399999999999899</v>
      </c>
      <c r="L268" s="14">
        <v>0.37</v>
      </c>
      <c r="M268" s="14">
        <v>1.87</v>
      </c>
      <c r="N268" s="14">
        <v>1.28</v>
      </c>
      <c r="O268" s="14">
        <v>0.93</v>
      </c>
      <c r="P268" s="14">
        <v>3.0499999999999901</v>
      </c>
      <c r="Q268">
        <v>564</v>
      </c>
    </row>
    <row r="269" spans="3:17" x14ac:dyDescent="0.25">
      <c r="C269" s="15" t="s">
        <v>189</v>
      </c>
      <c r="D269" s="14" t="s">
        <v>14</v>
      </c>
      <c r="E269" s="14">
        <v>11.0299999999999</v>
      </c>
      <c r="F269" s="14">
        <v>1.51</v>
      </c>
      <c r="G269" s="14">
        <v>2.2000000000000002</v>
      </c>
      <c r="H269" s="14">
        <v>21.5</v>
      </c>
      <c r="I269" s="14">
        <v>85</v>
      </c>
      <c r="J269" s="14">
        <v>2.46</v>
      </c>
      <c r="K269" s="14">
        <v>2.1699999999999902</v>
      </c>
      <c r="L269" s="14">
        <v>0.52</v>
      </c>
      <c r="M269" s="14">
        <v>2.00999999999999</v>
      </c>
      <c r="N269" s="14">
        <v>1.8999999999999899</v>
      </c>
      <c r="O269" s="14">
        <v>1.71</v>
      </c>
      <c r="P269" s="14">
        <v>2.87</v>
      </c>
      <c r="Q269">
        <v>407</v>
      </c>
    </row>
    <row r="270" spans="3:17" x14ac:dyDescent="0.25">
      <c r="C270" s="15" t="s">
        <v>352</v>
      </c>
      <c r="D270" s="14" t="s">
        <v>14</v>
      </c>
      <c r="E270" s="14">
        <v>13.05</v>
      </c>
      <c r="F270" s="14">
        <v>5.7999999999999901</v>
      </c>
      <c r="G270" s="14">
        <v>2.1299999999999901</v>
      </c>
      <c r="H270" s="14">
        <v>21.5</v>
      </c>
      <c r="I270" s="14">
        <v>86</v>
      </c>
      <c r="J270" s="14">
        <v>2.62</v>
      </c>
      <c r="K270" s="14">
        <v>2.6499999999999901</v>
      </c>
      <c r="L270" s="14">
        <v>0.36538226299694199</v>
      </c>
      <c r="M270" s="14">
        <v>2.00999999999999</v>
      </c>
      <c r="N270" s="14">
        <v>2.6</v>
      </c>
      <c r="O270" s="14">
        <v>0.72999999999999898</v>
      </c>
      <c r="P270" s="14">
        <v>3.1</v>
      </c>
      <c r="Q270">
        <v>380</v>
      </c>
    </row>
    <row r="271" spans="3:17" x14ac:dyDescent="0.25">
      <c r="C271" s="15" t="s">
        <v>83</v>
      </c>
      <c r="D271" s="14" t="s">
        <v>13</v>
      </c>
      <c r="E271" s="14">
        <v>13.8599999999999</v>
      </c>
      <c r="F271" s="14">
        <v>1.35</v>
      </c>
      <c r="G271" s="14">
        <v>2.27</v>
      </c>
      <c r="H271" s="14">
        <v>16</v>
      </c>
      <c r="I271" s="14">
        <v>98</v>
      </c>
      <c r="J271" s="14">
        <v>2.98</v>
      </c>
      <c r="K271" s="14">
        <v>3.1499999999999901</v>
      </c>
      <c r="L271" s="14">
        <v>0.22</v>
      </c>
      <c r="M271" s="14">
        <v>1.85</v>
      </c>
      <c r="N271" s="14">
        <v>7.21999999999999</v>
      </c>
      <c r="O271" s="14">
        <v>1.01</v>
      </c>
      <c r="P271" s="14">
        <v>3.5499999999999901</v>
      </c>
      <c r="Q271">
        <v>1045</v>
      </c>
    </row>
    <row r="272" spans="3:17" x14ac:dyDescent="0.25">
      <c r="C272" s="15" t="s">
        <v>79</v>
      </c>
      <c r="D272" s="14" t="s">
        <v>13</v>
      </c>
      <c r="E272" s="14">
        <v>14.1999999999999</v>
      </c>
      <c r="F272" s="14">
        <v>1.76</v>
      </c>
      <c r="G272" s="14">
        <v>2.4500000000000002</v>
      </c>
      <c r="H272" s="14">
        <v>15.1999999999999</v>
      </c>
      <c r="I272" s="14">
        <v>112</v>
      </c>
      <c r="J272" s="14">
        <v>3.27</v>
      </c>
      <c r="K272" s="14">
        <v>3.39</v>
      </c>
      <c r="L272" s="14">
        <v>0.34</v>
      </c>
      <c r="M272" s="14">
        <v>1.97</v>
      </c>
      <c r="N272" s="14">
        <v>6.75</v>
      </c>
      <c r="O272" s="14">
        <v>1.05</v>
      </c>
      <c r="P272" s="14">
        <v>2.85</v>
      </c>
      <c r="Q272">
        <v>1450</v>
      </c>
    </row>
    <row r="273" spans="3:17" x14ac:dyDescent="0.25">
      <c r="C273" s="15" t="s">
        <v>137</v>
      </c>
      <c r="D273" s="14" t="s">
        <v>14</v>
      </c>
      <c r="E273" s="14">
        <v>12.3699999999999</v>
      </c>
      <c r="F273" s="14">
        <v>1.1299999999999899</v>
      </c>
      <c r="G273" s="14">
        <v>2.16</v>
      </c>
      <c r="H273" s="14">
        <v>19</v>
      </c>
      <c r="I273" s="14">
        <v>87</v>
      </c>
      <c r="J273" s="14">
        <v>3.5</v>
      </c>
      <c r="K273" s="14">
        <v>3.1</v>
      </c>
      <c r="L273" s="14">
        <v>0.19</v>
      </c>
      <c r="M273" s="14">
        <v>1.87</v>
      </c>
      <c r="N273" s="14">
        <v>4.45</v>
      </c>
      <c r="O273" s="14">
        <v>1.22</v>
      </c>
      <c r="P273" s="14">
        <v>2.87</v>
      </c>
      <c r="Q273">
        <v>420</v>
      </c>
    </row>
    <row r="274" spans="3:17" x14ac:dyDescent="0.25">
      <c r="C274" s="15" t="s">
        <v>256</v>
      </c>
      <c r="D274" s="14" t="s">
        <v>13</v>
      </c>
      <c r="E274" s="14">
        <v>13.3</v>
      </c>
      <c r="F274" s="14">
        <v>1.72</v>
      </c>
      <c r="G274" s="14">
        <v>2.14</v>
      </c>
      <c r="H274" s="14">
        <v>17</v>
      </c>
      <c r="I274" s="14">
        <v>94</v>
      </c>
      <c r="J274" s="14">
        <v>2.3999999999999901</v>
      </c>
      <c r="K274" s="14">
        <v>2.1899999999999902</v>
      </c>
      <c r="L274" s="14">
        <v>0.27</v>
      </c>
      <c r="M274" s="14">
        <v>1.35</v>
      </c>
      <c r="N274" s="14">
        <v>3.95</v>
      </c>
      <c r="O274" s="14">
        <v>1.02</v>
      </c>
      <c r="P274" s="14">
        <v>2.77</v>
      </c>
      <c r="Q274">
        <v>1285</v>
      </c>
    </row>
    <row r="275" spans="3:17" x14ac:dyDescent="0.25">
      <c r="C275" s="15" t="s">
        <v>212</v>
      </c>
      <c r="D275" s="14" t="s">
        <v>15</v>
      </c>
      <c r="E275" s="14">
        <v>13.49</v>
      </c>
      <c r="F275" s="14">
        <v>3.5899999999999901</v>
      </c>
      <c r="G275" s="14">
        <v>2.1899999999999902</v>
      </c>
      <c r="H275" s="14">
        <v>19.5</v>
      </c>
      <c r="I275" s="14">
        <v>88</v>
      </c>
      <c r="J275" s="14">
        <v>1.62</v>
      </c>
      <c r="K275" s="14">
        <v>0.47999999999999898</v>
      </c>
      <c r="L275" s="14">
        <v>0.57999999999999896</v>
      </c>
      <c r="M275" s="14">
        <v>0.88</v>
      </c>
      <c r="N275" s="14">
        <v>5.7</v>
      </c>
      <c r="O275" s="14">
        <v>0.81</v>
      </c>
      <c r="P275" s="14">
        <v>1.82</v>
      </c>
      <c r="Q275">
        <v>580</v>
      </c>
    </row>
    <row r="276" spans="3:17" x14ac:dyDescent="0.25">
      <c r="C276" s="15" t="s">
        <v>354</v>
      </c>
      <c r="D276" s="14" t="s">
        <v>14</v>
      </c>
      <c r="E276" s="14">
        <v>12.07</v>
      </c>
      <c r="F276" s="14">
        <v>2.16</v>
      </c>
      <c r="G276" s="14">
        <v>2.1699999999999902</v>
      </c>
      <c r="H276" s="14">
        <v>21</v>
      </c>
      <c r="I276" s="14">
        <v>85</v>
      </c>
      <c r="J276" s="14">
        <v>2.6</v>
      </c>
      <c r="K276" s="14">
        <v>2.6499999999999901</v>
      </c>
      <c r="L276" s="14">
        <v>0.37</v>
      </c>
      <c r="M276" s="14">
        <v>1.35</v>
      </c>
      <c r="N276" s="14">
        <v>2.75999999999999</v>
      </c>
      <c r="O276" s="14">
        <v>0.85999999999999899</v>
      </c>
      <c r="P276" s="14">
        <v>3.27999999999999</v>
      </c>
      <c r="Q276">
        <v>378</v>
      </c>
    </row>
    <row r="277" spans="3:17" x14ac:dyDescent="0.25">
      <c r="C277" s="15" t="s">
        <v>306</v>
      </c>
      <c r="D277" s="14" t="s">
        <v>14</v>
      </c>
      <c r="E277" s="14">
        <v>11.84</v>
      </c>
      <c r="F277" s="14">
        <v>2.89</v>
      </c>
      <c r="G277" s="14">
        <v>2.23</v>
      </c>
      <c r="H277" s="14">
        <v>18</v>
      </c>
      <c r="I277" s="14">
        <v>112</v>
      </c>
      <c r="J277" s="14">
        <v>1.72</v>
      </c>
      <c r="K277" s="14">
        <v>1.32</v>
      </c>
      <c r="L277" s="14">
        <v>0.42999999999999899</v>
      </c>
      <c r="M277" s="14">
        <v>0.94999999999999896</v>
      </c>
      <c r="N277" s="14">
        <v>2.6499999999999901</v>
      </c>
      <c r="O277" s="14">
        <v>0.95999999999999897</v>
      </c>
      <c r="P277" s="14">
        <v>2.52</v>
      </c>
      <c r="Q277">
        <v>500</v>
      </c>
    </row>
    <row r="278" spans="3:17" x14ac:dyDescent="0.25">
      <c r="C278" s="15" t="s">
        <v>320</v>
      </c>
      <c r="D278" s="14" t="s">
        <v>14</v>
      </c>
      <c r="E278" s="14">
        <v>12</v>
      </c>
      <c r="F278" s="14">
        <v>1.51</v>
      </c>
      <c r="G278" s="14">
        <v>2.4199999999999902</v>
      </c>
      <c r="H278" s="14">
        <v>22</v>
      </c>
      <c r="I278" s="14">
        <v>86</v>
      </c>
      <c r="J278" s="14">
        <v>1.45</v>
      </c>
      <c r="K278" s="14">
        <v>1.25</v>
      </c>
      <c r="L278" s="14">
        <v>0.5</v>
      </c>
      <c r="M278" s="14">
        <v>1.6299999999999899</v>
      </c>
      <c r="N278" s="14">
        <v>3.6</v>
      </c>
      <c r="O278" s="14">
        <v>1.05</v>
      </c>
      <c r="P278" s="14">
        <v>2.6499999999999901</v>
      </c>
      <c r="Q278">
        <v>450</v>
      </c>
    </row>
    <row r="279" spans="3:17" x14ac:dyDescent="0.25">
      <c r="C279" s="15" t="s">
        <v>235</v>
      </c>
      <c r="D279" s="14" t="s">
        <v>15</v>
      </c>
      <c r="E279" s="14">
        <v>13.69</v>
      </c>
      <c r="F279" s="14">
        <v>3.25999999999999</v>
      </c>
      <c r="G279" s="14">
        <v>2.54</v>
      </c>
      <c r="H279" s="14">
        <v>20</v>
      </c>
      <c r="I279" s="14">
        <v>107</v>
      </c>
      <c r="J279" s="14">
        <v>1.83</v>
      </c>
      <c r="K279" s="14">
        <v>0.56000000000000005</v>
      </c>
      <c r="L279" s="14">
        <v>0.5</v>
      </c>
      <c r="M279" s="14">
        <v>0.8</v>
      </c>
      <c r="N279" s="14">
        <v>5.8799999999999901</v>
      </c>
      <c r="O279" s="14">
        <v>0.95999999999999897</v>
      </c>
      <c r="P279" s="14">
        <v>1.82</v>
      </c>
      <c r="Q279">
        <v>680</v>
      </c>
    </row>
    <row r="280" spans="3:17" x14ac:dyDescent="0.25">
      <c r="C280" s="15" t="s">
        <v>124</v>
      </c>
      <c r="D280" s="14" t="s">
        <v>13</v>
      </c>
      <c r="E280" s="14">
        <v>13.05</v>
      </c>
      <c r="F280" s="14">
        <v>1.73</v>
      </c>
      <c r="G280" s="14">
        <v>2.04</v>
      </c>
      <c r="H280" s="14">
        <v>12.4</v>
      </c>
      <c r="I280" s="14">
        <v>92</v>
      </c>
      <c r="J280" s="14">
        <v>2.72</v>
      </c>
      <c r="K280" s="14">
        <v>3.27</v>
      </c>
      <c r="L280" s="14">
        <v>0.17</v>
      </c>
      <c r="M280" s="14">
        <v>2.91</v>
      </c>
      <c r="N280" s="14">
        <v>7.2</v>
      </c>
      <c r="O280" s="14">
        <v>1.1200000000000001</v>
      </c>
      <c r="P280" s="14">
        <v>2.91</v>
      </c>
      <c r="Q280">
        <v>1150</v>
      </c>
    </row>
    <row r="281" spans="3:17" x14ac:dyDescent="0.25">
      <c r="C281" s="15" t="s">
        <v>341</v>
      </c>
      <c r="D281" s="14" t="s">
        <v>14</v>
      </c>
      <c r="E281" s="14">
        <v>11.76</v>
      </c>
      <c r="F281" s="14">
        <v>2.68</v>
      </c>
      <c r="G281" s="14">
        <v>2.9199999999999902</v>
      </c>
      <c r="H281" s="14">
        <v>20</v>
      </c>
      <c r="I281" s="14">
        <v>103</v>
      </c>
      <c r="J281" s="14">
        <v>1.75</v>
      </c>
      <c r="K281" s="14">
        <v>2.02999999999999</v>
      </c>
      <c r="L281" s="14">
        <v>0.59999999999999898</v>
      </c>
      <c r="M281" s="14">
        <v>1.05</v>
      </c>
      <c r="N281" s="14">
        <v>3.7999999999999901</v>
      </c>
      <c r="O281" s="14">
        <v>1.23</v>
      </c>
      <c r="P281" s="14">
        <v>2.5</v>
      </c>
      <c r="Q281">
        <v>607</v>
      </c>
    </row>
    <row r="282" spans="3:17" x14ac:dyDescent="0.25">
      <c r="C282" s="15" t="s">
        <v>142</v>
      </c>
      <c r="D282" s="14" t="s">
        <v>14</v>
      </c>
      <c r="E282" s="14">
        <v>13.34</v>
      </c>
      <c r="F282" s="14">
        <v>0.93999999999999895</v>
      </c>
      <c r="G282" s="14">
        <v>2.3599999999999901</v>
      </c>
      <c r="H282" s="14">
        <v>17</v>
      </c>
      <c r="I282" s="14">
        <v>110</v>
      </c>
      <c r="J282" s="14">
        <v>2.52999999999999</v>
      </c>
      <c r="K282" s="14">
        <v>1.3</v>
      </c>
      <c r="L282" s="14">
        <v>0.55000000000000004</v>
      </c>
      <c r="M282" s="14">
        <v>0.41999999999999899</v>
      </c>
      <c r="N282" s="14">
        <v>3.1699999999999902</v>
      </c>
      <c r="O282" s="14">
        <v>1.02</v>
      </c>
      <c r="P282" s="14">
        <v>1.9299999999999899</v>
      </c>
      <c r="Q282">
        <v>750</v>
      </c>
    </row>
    <row r="283" spans="3:17" x14ac:dyDescent="0.25">
      <c r="C283" s="15" t="s">
        <v>220</v>
      </c>
      <c r="D283" s="14" t="s">
        <v>15</v>
      </c>
      <c r="E283" s="14">
        <v>13.88</v>
      </c>
      <c r="F283" s="14">
        <v>5.04</v>
      </c>
      <c r="G283" s="14">
        <v>2.23</v>
      </c>
      <c r="H283" s="14">
        <v>20</v>
      </c>
      <c r="I283" s="14">
        <v>80</v>
      </c>
      <c r="J283" s="14">
        <v>0.97999999999999898</v>
      </c>
      <c r="K283" s="14">
        <v>0.34</v>
      </c>
      <c r="L283" s="14">
        <v>0.4</v>
      </c>
      <c r="M283" s="14">
        <v>0.68</v>
      </c>
      <c r="N283" s="14">
        <v>4.9000000000000004</v>
      </c>
      <c r="O283" s="14">
        <v>0.57999999999999896</v>
      </c>
      <c r="P283" s="14">
        <v>1.33</v>
      </c>
      <c r="Q283">
        <v>415</v>
      </c>
    </row>
    <row r="284" spans="3:17" x14ac:dyDescent="0.25">
      <c r="C284" s="15" t="s">
        <v>213</v>
      </c>
      <c r="D284" s="14" t="s">
        <v>15</v>
      </c>
      <c r="E284" s="14">
        <v>12.84</v>
      </c>
      <c r="F284" s="14">
        <v>2.96</v>
      </c>
      <c r="G284" s="14">
        <v>2.6099999999999901</v>
      </c>
      <c r="H284" s="14">
        <v>24</v>
      </c>
      <c r="I284" s="14">
        <v>101</v>
      </c>
      <c r="J284" s="14">
        <v>2.3199999999999901</v>
      </c>
      <c r="K284" s="14">
        <v>0.59999999999999898</v>
      </c>
      <c r="L284" s="14">
        <v>0.53</v>
      </c>
      <c r="M284" s="14">
        <v>0.81</v>
      </c>
      <c r="N284" s="14">
        <v>4.9199999999999902</v>
      </c>
      <c r="O284" s="14">
        <v>0.89</v>
      </c>
      <c r="P284" s="14">
        <v>2.1499999999999901</v>
      </c>
      <c r="Q284">
        <v>590</v>
      </c>
    </row>
    <row r="285" spans="3:17" x14ac:dyDescent="0.25">
      <c r="C285" s="15" t="s">
        <v>160</v>
      </c>
      <c r="D285" s="14" t="s">
        <v>14</v>
      </c>
      <c r="E285" s="14">
        <v>12.16</v>
      </c>
      <c r="F285" s="14">
        <v>1.61</v>
      </c>
      <c r="G285" s="14">
        <v>2.31</v>
      </c>
      <c r="H285" s="14">
        <v>22.8</v>
      </c>
      <c r="I285" s="14">
        <v>90</v>
      </c>
      <c r="J285" s="14">
        <v>1.78</v>
      </c>
      <c r="K285" s="14">
        <v>1.68999999999999</v>
      </c>
      <c r="L285" s="14">
        <v>0.42999999999999899</v>
      </c>
      <c r="M285" s="14">
        <v>1.56</v>
      </c>
      <c r="N285" s="14">
        <v>2.4500000000000002</v>
      </c>
      <c r="O285" s="14">
        <v>1.33</v>
      </c>
      <c r="P285" s="14">
        <v>2.25999999999999</v>
      </c>
      <c r="Q285">
        <v>495</v>
      </c>
    </row>
    <row r="286" spans="3:17" x14ac:dyDescent="0.25">
      <c r="C286" s="15" t="s">
        <v>264</v>
      </c>
      <c r="D286" s="14" t="s">
        <v>13</v>
      </c>
      <c r="E286" s="14">
        <v>13.48</v>
      </c>
      <c r="F286" s="14">
        <v>1.81</v>
      </c>
      <c r="G286" s="14">
        <v>2.41</v>
      </c>
      <c r="H286" s="14">
        <v>20.5</v>
      </c>
      <c r="I286" s="14">
        <v>100</v>
      </c>
      <c r="J286" s="14">
        <v>2.7</v>
      </c>
      <c r="K286" s="14">
        <v>2.98</v>
      </c>
      <c r="L286" s="14">
        <v>0.26</v>
      </c>
      <c r="M286" s="14">
        <v>1.86</v>
      </c>
      <c r="N286" s="14">
        <v>5.0999999999999899</v>
      </c>
      <c r="O286" s="14">
        <v>1.04</v>
      </c>
      <c r="P286" s="14">
        <v>3.47</v>
      </c>
      <c r="Q286">
        <v>920</v>
      </c>
    </row>
    <row r="287" spans="3:17" x14ac:dyDescent="0.25">
      <c r="C287" s="15" t="s">
        <v>380</v>
      </c>
      <c r="D287" s="14" t="s">
        <v>15</v>
      </c>
      <c r="E287" s="14">
        <v>12.7899999999999</v>
      </c>
      <c r="F287" s="14">
        <v>2.6699999999999902</v>
      </c>
      <c r="G287" s="14">
        <v>2.48</v>
      </c>
      <c r="H287" s="14">
        <v>22</v>
      </c>
      <c r="I287" s="14">
        <v>112</v>
      </c>
      <c r="J287" s="14">
        <v>1.48</v>
      </c>
      <c r="K287" s="14">
        <v>1.36</v>
      </c>
      <c r="L287" s="14">
        <v>0.23999999999999899</v>
      </c>
      <c r="M287" s="14">
        <v>1.26</v>
      </c>
      <c r="N287" s="14">
        <v>10.8</v>
      </c>
      <c r="O287" s="14">
        <v>0.47999999999999898</v>
      </c>
      <c r="P287" s="14">
        <v>1.47</v>
      </c>
      <c r="Q287">
        <v>480</v>
      </c>
    </row>
    <row r="288" spans="3:17" x14ac:dyDescent="0.25">
      <c r="C288" s="15" t="s">
        <v>386</v>
      </c>
      <c r="D288" s="14" t="s">
        <v>15</v>
      </c>
      <c r="E288" s="14">
        <v>12.4499999999999</v>
      </c>
      <c r="F288" s="14">
        <v>3.02999999999999</v>
      </c>
      <c r="G288" s="14">
        <v>2.64</v>
      </c>
      <c r="H288" s="14">
        <v>27</v>
      </c>
      <c r="I288" s="14">
        <v>97</v>
      </c>
      <c r="J288" s="14">
        <v>1.8999999999999899</v>
      </c>
      <c r="K288" s="14">
        <v>0.57999999999999896</v>
      </c>
      <c r="L288" s="14">
        <v>0.63</v>
      </c>
      <c r="M288" s="14">
        <v>1.1399999999999899</v>
      </c>
      <c r="N288" s="14">
        <v>7.5</v>
      </c>
      <c r="O288" s="14">
        <v>0.67</v>
      </c>
      <c r="P288" s="14">
        <v>1.73</v>
      </c>
      <c r="Q288">
        <v>880</v>
      </c>
    </row>
    <row r="289" spans="3:17" x14ac:dyDescent="0.25">
      <c r="C289" s="15" t="s">
        <v>117</v>
      </c>
      <c r="D289" s="14" t="s">
        <v>13</v>
      </c>
      <c r="E289" s="14">
        <v>13.24</v>
      </c>
      <c r="F289" s="14">
        <v>3.98</v>
      </c>
      <c r="G289" s="14">
        <v>2.29</v>
      </c>
      <c r="H289" s="14">
        <v>17.5</v>
      </c>
      <c r="I289" s="14">
        <v>103</v>
      </c>
      <c r="J289" s="14">
        <v>2.64</v>
      </c>
      <c r="K289" s="14">
        <v>2.6299999999999901</v>
      </c>
      <c r="L289" s="14">
        <v>0.32</v>
      </c>
      <c r="M289" s="14">
        <v>1.6599999999999899</v>
      </c>
      <c r="N289" s="14">
        <v>4.3600000000000003</v>
      </c>
      <c r="O289" s="14">
        <v>0.81999999999999895</v>
      </c>
      <c r="P289" s="14">
        <v>3</v>
      </c>
      <c r="Q289">
        <v>680</v>
      </c>
    </row>
    <row r="290" spans="3:17" x14ac:dyDescent="0.25">
      <c r="C290" s="15" t="s">
        <v>332</v>
      </c>
      <c r="D290" s="14" t="s">
        <v>14</v>
      </c>
      <c r="E290" s="14">
        <v>11.82</v>
      </c>
      <c r="F290" s="14">
        <v>1.72</v>
      </c>
      <c r="G290" s="14">
        <v>1.8799999999999899</v>
      </c>
      <c r="H290" s="14">
        <v>19.5</v>
      </c>
      <c r="I290" s="14">
        <v>86</v>
      </c>
      <c r="J290" s="14">
        <v>2.5</v>
      </c>
      <c r="K290" s="14">
        <v>1.6399999999999899</v>
      </c>
      <c r="L290" s="14">
        <v>0.37</v>
      </c>
      <c r="M290" s="14">
        <v>1.4199999999999899</v>
      </c>
      <c r="N290" s="14">
        <v>2.06</v>
      </c>
      <c r="O290" s="14">
        <v>0.93999999999999895</v>
      </c>
      <c r="P290" s="14">
        <v>2.4399999999999902</v>
      </c>
      <c r="Q290">
        <v>415</v>
      </c>
    </row>
    <row r="291" spans="3:17" x14ac:dyDescent="0.25">
      <c r="C291" s="15" t="s">
        <v>249</v>
      </c>
      <c r="D291" s="14" t="s">
        <v>15</v>
      </c>
      <c r="E291" s="14">
        <v>13.27</v>
      </c>
      <c r="F291" s="14">
        <v>4.28</v>
      </c>
      <c r="G291" s="14">
        <v>2.25999999999999</v>
      </c>
      <c r="H291" s="14">
        <v>20</v>
      </c>
      <c r="I291" s="14">
        <v>120</v>
      </c>
      <c r="J291" s="14">
        <v>1.59</v>
      </c>
      <c r="K291" s="14">
        <v>0.68999999999999895</v>
      </c>
      <c r="L291" s="14">
        <v>0.42999999999999899</v>
      </c>
      <c r="M291" s="14">
        <v>1.35</v>
      </c>
      <c r="N291" s="14">
        <v>10.1999999999999</v>
      </c>
      <c r="O291" s="14">
        <v>0.58999999999999897</v>
      </c>
      <c r="P291" s="14">
        <v>1.56</v>
      </c>
      <c r="Q291">
        <v>835</v>
      </c>
    </row>
    <row r="292" spans="3:17" x14ac:dyDescent="0.25">
      <c r="C292" s="15" t="s">
        <v>331</v>
      </c>
      <c r="D292" s="14" t="s">
        <v>14</v>
      </c>
      <c r="E292" s="14">
        <v>12.34</v>
      </c>
      <c r="F292" s="14">
        <v>2.4500000000000002</v>
      </c>
      <c r="G292" s="14">
        <v>2.46</v>
      </c>
      <c r="H292" s="14">
        <v>21</v>
      </c>
      <c r="I292" s="14">
        <v>98</v>
      </c>
      <c r="J292" s="14">
        <v>2.56</v>
      </c>
      <c r="K292" s="14">
        <v>2.1099999999999901</v>
      </c>
      <c r="L292" s="14">
        <v>0.34</v>
      </c>
      <c r="M292" s="14">
        <v>1.31</v>
      </c>
      <c r="N292" s="14">
        <v>2.7999999999999901</v>
      </c>
      <c r="O292" s="14">
        <v>0.8</v>
      </c>
      <c r="P292" s="14">
        <v>3.3799999999999901</v>
      </c>
      <c r="Q292">
        <v>438</v>
      </c>
    </row>
    <row r="293" spans="3:17" x14ac:dyDescent="0.25">
      <c r="C293" s="15" t="s">
        <v>76</v>
      </c>
      <c r="D293" s="14" t="s">
        <v>13</v>
      </c>
      <c r="E293" s="14">
        <v>13.16</v>
      </c>
      <c r="F293" s="14">
        <v>2.3599999999999901</v>
      </c>
      <c r="G293" s="14">
        <v>2.6699999999999902</v>
      </c>
      <c r="H293" s="14">
        <v>18.600000000000001</v>
      </c>
      <c r="I293" s="14">
        <v>101</v>
      </c>
      <c r="J293" s="14">
        <v>2.7999999999999901</v>
      </c>
      <c r="K293" s="14">
        <v>3.24</v>
      </c>
      <c r="L293" s="14">
        <v>0.29999999999999899</v>
      </c>
      <c r="M293" s="14">
        <v>2.81</v>
      </c>
      <c r="N293" s="14">
        <v>5.6799999999999899</v>
      </c>
      <c r="O293" s="14">
        <v>1.03</v>
      </c>
      <c r="P293" s="14">
        <v>3.1699999999999902</v>
      </c>
      <c r="Q293">
        <v>1185</v>
      </c>
    </row>
    <row r="294" spans="3:17" x14ac:dyDescent="0.25">
      <c r="C294" s="15" t="s">
        <v>366</v>
      </c>
      <c r="D294" s="14" t="s">
        <v>15</v>
      </c>
      <c r="E294" s="14">
        <v>12.5299999999999</v>
      </c>
      <c r="F294" s="14">
        <v>5.50999999999999</v>
      </c>
      <c r="G294" s="14">
        <v>2.64</v>
      </c>
      <c r="H294" s="14">
        <v>25</v>
      </c>
      <c r="I294" s="14">
        <v>96</v>
      </c>
      <c r="J294" s="14">
        <v>1.79</v>
      </c>
      <c r="K294" s="14">
        <v>0.59999999999999898</v>
      </c>
      <c r="L294" s="14">
        <v>0.63</v>
      </c>
      <c r="M294" s="14">
        <v>1.1000000000000001</v>
      </c>
      <c r="N294" s="14">
        <v>5</v>
      </c>
      <c r="O294" s="14">
        <v>0.81999999999999895</v>
      </c>
      <c r="P294" s="14">
        <v>1.68999999999999</v>
      </c>
      <c r="Q294">
        <v>515</v>
      </c>
    </row>
    <row r="295" spans="3:17" x14ac:dyDescent="0.25">
      <c r="C295" s="15" t="s">
        <v>392</v>
      </c>
      <c r="D295" s="14" t="s">
        <v>15</v>
      </c>
      <c r="E295" s="14">
        <v>12.96</v>
      </c>
      <c r="F295" s="14">
        <v>3.45</v>
      </c>
      <c r="G295" s="14">
        <v>2.35</v>
      </c>
      <c r="H295" s="14">
        <v>18.5</v>
      </c>
      <c r="I295" s="14">
        <v>106</v>
      </c>
      <c r="J295" s="14">
        <v>1.3899999999999899</v>
      </c>
      <c r="K295" s="14">
        <v>0.69999999999999896</v>
      </c>
      <c r="L295" s="14">
        <v>0.4</v>
      </c>
      <c r="M295" s="14">
        <v>0.93999999999999895</v>
      </c>
      <c r="N295" s="14">
        <v>5.28</v>
      </c>
      <c r="O295" s="14">
        <v>0.68</v>
      </c>
      <c r="P295" s="14">
        <v>1.75</v>
      </c>
      <c r="Q295">
        <v>675</v>
      </c>
    </row>
    <row r="296" spans="3:17" x14ac:dyDescent="0.25">
      <c r="C296" s="15" t="s">
        <v>92</v>
      </c>
      <c r="D296" s="14" t="s">
        <v>13</v>
      </c>
      <c r="E296" s="14">
        <v>14.19</v>
      </c>
      <c r="F296" s="14">
        <v>1.59</v>
      </c>
      <c r="G296" s="14">
        <v>2.48</v>
      </c>
      <c r="H296" s="14">
        <v>16.5</v>
      </c>
      <c r="I296" s="14">
        <v>108</v>
      </c>
      <c r="J296" s="14">
        <v>3.2999999999999901</v>
      </c>
      <c r="K296" s="14">
        <v>3.93</v>
      </c>
      <c r="L296" s="14">
        <v>0.32</v>
      </c>
      <c r="M296" s="14">
        <v>1.86</v>
      </c>
      <c r="N296" s="14">
        <v>8.6999999999999904</v>
      </c>
      <c r="O296" s="14">
        <v>1.23</v>
      </c>
      <c r="P296" s="14">
        <v>2.8199999999999901</v>
      </c>
      <c r="Q296">
        <v>1680</v>
      </c>
    </row>
    <row r="297" spans="3:17" x14ac:dyDescent="0.25">
      <c r="C297" s="15" t="s">
        <v>356</v>
      </c>
      <c r="D297" s="14" t="s">
        <v>14</v>
      </c>
      <c r="E297" s="14">
        <v>11.7899999999999</v>
      </c>
      <c r="F297" s="14">
        <v>2.1299999999999901</v>
      </c>
      <c r="G297" s="14">
        <v>2.77999999999999</v>
      </c>
      <c r="H297" s="14">
        <v>28.5</v>
      </c>
      <c r="I297" s="14">
        <v>92</v>
      </c>
      <c r="J297" s="14">
        <v>2.1299999999999901</v>
      </c>
      <c r="K297" s="14">
        <v>2.2400000000000002</v>
      </c>
      <c r="L297" s="14">
        <v>0.57999999999999896</v>
      </c>
      <c r="M297" s="14">
        <v>1.76</v>
      </c>
      <c r="N297" s="14">
        <v>3</v>
      </c>
      <c r="O297" s="14">
        <v>0.96999999999999897</v>
      </c>
      <c r="P297" s="14">
        <v>2.4399999999999902</v>
      </c>
      <c r="Q297">
        <v>466</v>
      </c>
    </row>
    <row r="298" spans="3:17" x14ac:dyDescent="0.25">
      <c r="C298" s="15" t="s">
        <v>147</v>
      </c>
      <c r="D298" s="14" t="s">
        <v>14</v>
      </c>
      <c r="E298" s="14">
        <v>12.99</v>
      </c>
      <c r="F298" s="14">
        <v>1.6699999999999899</v>
      </c>
      <c r="G298" s="14">
        <v>2.6</v>
      </c>
      <c r="H298" s="14">
        <v>30</v>
      </c>
      <c r="I298" s="14">
        <v>139</v>
      </c>
      <c r="J298" s="14">
        <v>3.2999999999999901</v>
      </c>
      <c r="K298" s="14">
        <v>2.89</v>
      </c>
      <c r="L298" s="14">
        <v>0.20999999999999899</v>
      </c>
      <c r="M298" s="14">
        <v>1.96</v>
      </c>
      <c r="N298" s="14">
        <v>3.35</v>
      </c>
      <c r="O298" s="14">
        <v>1.31</v>
      </c>
      <c r="P298" s="14">
        <v>3.5</v>
      </c>
      <c r="Q298">
        <v>985</v>
      </c>
    </row>
    <row r="299" spans="3:17" x14ac:dyDescent="0.25">
      <c r="C299" s="15" t="s">
        <v>174</v>
      </c>
      <c r="D299" s="14" t="s">
        <v>14</v>
      </c>
      <c r="E299" s="14">
        <v>12.08</v>
      </c>
      <c r="F299" s="14">
        <v>2.08</v>
      </c>
      <c r="G299" s="14">
        <v>1.7</v>
      </c>
      <c r="H299" s="14">
        <v>17.5</v>
      </c>
      <c r="I299" s="14">
        <v>97</v>
      </c>
      <c r="J299" s="14">
        <v>2.23</v>
      </c>
      <c r="K299" s="14">
        <v>2.1699999999999902</v>
      </c>
      <c r="L299" s="14">
        <v>0.26</v>
      </c>
      <c r="M299" s="14">
        <v>1.3999999999999899</v>
      </c>
      <c r="N299" s="14">
        <v>3.2999999999999901</v>
      </c>
      <c r="O299" s="14">
        <v>1.27</v>
      </c>
      <c r="P299" s="14">
        <v>2.96</v>
      </c>
      <c r="Q299">
        <v>710</v>
      </c>
    </row>
    <row r="300" spans="3:17" x14ac:dyDescent="0.25">
      <c r="C300" s="15" t="s">
        <v>372</v>
      </c>
      <c r="D300" s="14" t="s">
        <v>15</v>
      </c>
      <c r="E300" s="14">
        <v>13.6199999999999</v>
      </c>
      <c r="F300" s="14">
        <v>4.95</v>
      </c>
      <c r="G300" s="14">
        <v>2.35</v>
      </c>
      <c r="H300" s="14">
        <v>20</v>
      </c>
      <c r="I300" s="14">
        <v>92</v>
      </c>
      <c r="J300" s="14">
        <v>2</v>
      </c>
      <c r="K300" s="14">
        <v>0.8</v>
      </c>
      <c r="L300" s="14">
        <v>0.46999999999999897</v>
      </c>
      <c r="M300" s="14">
        <v>1.02</v>
      </c>
      <c r="N300" s="14">
        <v>4.4000000000000004</v>
      </c>
      <c r="O300" s="14">
        <v>0.91</v>
      </c>
      <c r="P300" s="14">
        <v>2.0499999999999901</v>
      </c>
      <c r="Q300">
        <v>550</v>
      </c>
    </row>
    <row r="301" spans="3:17" x14ac:dyDescent="0.25">
      <c r="C301" s="15" t="s">
        <v>131</v>
      </c>
      <c r="D301" s="14" t="s">
        <v>13</v>
      </c>
      <c r="E301" s="14">
        <v>13.2899999999999</v>
      </c>
      <c r="F301" s="14">
        <v>1.97</v>
      </c>
      <c r="G301" s="14">
        <v>2.68</v>
      </c>
      <c r="H301" s="14">
        <v>16.8</v>
      </c>
      <c r="I301" s="14">
        <v>102</v>
      </c>
      <c r="J301" s="14">
        <v>3</v>
      </c>
      <c r="K301" s="14">
        <v>3.23</v>
      </c>
      <c r="L301" s="14">
        <v>0.31</v>
      </c>
      <c r="M301" s="14">
        <v>1.6599999999999899</v>
      </c>
      <c r="N301" s="14">
        <v>6</v>
      </c>
      <c r="O301" s="14">
        <v>1.07</v>
      </c>
      <c r="P301" s="14">
        <v>2.8399999999999901</v>
      </c>
      <c r="Q301">
        <v>1270</v>
      </c>
    </row>
    <row r="302" spans="3:17" x14ac:dyDescent="0.25">
      <c r="C302" s="15" t="s">
        <v>175</v>
      </c>
      <c r="D302" s="14" t="s">
        <v>14</v>
      </c>
      <c r="E302" s="14">
        <v>12.6</v>
      </c>
      <c r="F302" s="14">
        <v>1.34</v>
      </c>
      <c r="G302" s="14">
        <v>1.8999999999999899</v>
      </c>
      <c r="H302" s="14">
        <v>18.5</v>
      </c>
      <c r="I302" s="14">
        <v>88</v>
      </c>
      <c r="J302" s="14">
        <v>1.45</v>
      </c>
      <c r="K302" s="14">
        <v>1.36</v>
      </c>
      <c r="L302" s="14">
        <v>0.28999999999999898</v>
      </c>
      <c r="M302" s="14">
        <v>1.35</v>
      </c>
      <c r="N302" s="14">
        <v>2.4500000000000002</v>
      </c>
      <c r="O302" s="14">
        <v>1.04</v>
      </c>
      <c r="P302" s="14">
        <v>2.77</v>
      </c>
      <c r="Q302">
        <v>562</v>
      </c>
    </row>
    <row r="303" spans="3:17" x14ac:dyDescent="0.25">
      <c r="C303" s="15" t="s">
        <v>298</v>
      </c>
      <c r="D303" s="14" t="s">
        <v>14</v>
      </c>
      <c r="E303" s="14">
        <v>12.21</v>
      </c>
      <c r="F303" s="14">
        <v>1.18999999999999</v>
      </c>
      <c r="G303" s="14">
        <v>1.75</v>
      </c>
      <c r="H303" s="14">
        <v>16.8</v>
      </c>
      <c r="I303" s="14">
        <v>151</v>
      </c>
      <c r="J303" s="14">
        <v>1.85</v>
      </c>
      <c r="K303" s="14">
        <v>1.28</v>
      </c>
      <c r="L303" s="14">
        <v>0.14000000000000001</v>
      </c>
      <c r="M303" s="14">
        <v>2.5</v>
      </c>
      <c r="N303" s="14">
        <v>2.85</v>
      </c>
      <c r="O303" s="14">
        <v>1.28</v>
      </c>
      <c r="P303" s="14">
        <v>3.0699999999999901</v>
      </c>
      <c r="Q303">
        <v>718</v>
      </c>
    </row>
    <row r="304" spans="3:17" x14ac:dyDescent="0.25">
      <c r="C304" s="15" t="s">
        <v>136</v>
      </c>
      <c r="D304" s="14" t="s">
        <v>14</v>
      </c>
      <c r="E304" s="14">
        <v>13.67</v>
      </c>
      <c r="F304" s="14">
        <v>1.25</v>
      </c>
      <c r="G304" s="14">
        <v>1.9199999999999899</v>
      </c>
      <c r="H304" s="14">
        <v>18</v>
      </c>
      <c r="I304" s="14">
        <v>94</v>
      </c>
      <c r="J304" s="14">
        <v>2.1</v>
      </c>
      <c r="K304" s="14">
        <v>1.79</v>
      </c>
      <c r="L304" s="14">
        <v>0.32</v>
      </c>
      <c r="M304" s="14">
        <v>0.72999999999999898</v>
      </c>
      <c r="N304" s="14">
        <v>3.7999999999999901</v>
      </c>
      <c r="O304" s="14">
        <v>1.23</v>
      </c>
      <c r="P304" s="14">
        <v>2.46</v>
      </c>
      <c r="Q304">
        <v>630</v>
      </c>
    </row>
    <row r="305" spans="3:17" x14ac:dyDescent="0.25">
      <c r="C305" s="15" t="s">
        <v>326</v>
      </c>
      <c r="D305" s="14" t="s">
        <v>14</v>
      </c>
      <c r="E305" s="14">
        <v>12.2899999999999</v>
      </c>
      <c r="F305" s="14">
        <v>1.4099999999999899</v>
      </c>
      <c r="G305" s="14">
        <v>1.98</v>
      </c>
      <c r="H305" s="14">
        <v>16</v>
      </c>
      <c r="I305" s="14">
        <v>85</v>
      </c>
      <c r="J305" s="14">
        <v>2.5499999999999901</v>
      </c>
      <c r="K305" s="14">
        <v>2.5</v>
      </c>
      <c r="L305" s="14">
        <v>0.28999999999999898</v>
      </c>
      <c r="M305" s="14">
        <v>1.77</v>
      </c>
      <c r="N305" s="14">
        <v>2.8999999999999901</v>
      </c>
      <c r="O305" s="14">
        <v>1.23</v>
      </c>
      <c r="P305" s="14">
        <v>2.74</v>
      </c>
      <c r="Q305">
        <v>428</v>
      </c>
    </row>
    <row r="306" spans="3:17" x14ac:dyDescent="0.25">
      <c r="C306" s="15" t="s">
        <v>399</v>
      </c>
      <c r="D306" s="14" t="s">
        <v>15</v>
      </c>
      <c r="E306" s="14">
        <v>12.1999999999999</v>
      </c>
      <c r="F306" s="14">
        <v>3.02999999999999</v>
      </c>
      <c r="G306" s="14">
        <v>2.3199999999999901</v>
      </c>
      <c r="H306" s="14">
        <v>19</v>
      </c>
      <c r="I306" s="14">
        <v>96</v>
      </c>
      <c r="J306" s="14">
        <v>1.25</v>
      </c>
      <c r="K306" s="14">
        <v>0.48999999999999899</v>
      </c>
      <c r="L306" s="14">
        <v>0.4</v>
      </c>
      <c r="M306" s="14">
        <v>0.72999999999999898</v>
      </c>
      <c r="N306" s="14">
        <v>5.5</v>
      </c>
      <c r="O306" s="14">
        <v>0.66</v>
      </c>
      <c r="P306" s="14">
        <v>1.83</v>
      </c>
      <c r="Q306">
        <v>510</v>
      </c>
    </row>
    <row r="307" spans="3:17" x14ac:dyDescent="0.25">
      <c r="C307" s="15" t="s">
        <v>357</v>
      </c>
      <c r="D307" s="14" t="s">
        <v>14</v>
      </c>
      <c r="E307" s="14">
        <v>12.3699999999999</v>
      </c>
      <c r="F307" s="14">
        <v>1.6299999999999899</v>
      </c>
      <c r="G307" s="14">
        <v>2.2999999999999901</v>
      </c>
      <c r="H307" s="14">
        <v>24.5</v>
      </c>
      <c r="I307" s="14">
        <v>88</v>
      </c>
      <c r="J307" s="14">
        <v>2.2200000000000002</v>
      </c>
      <c r="K307" s="14">
        <v>2.4500000000000002</v>
      </c>
      <c r="L307" s="14">
        <v>0.4</v>
      </c>
      <c r="M307" s="14">
        <v>1.8999999999999899</v>
      </c>
      <c r="N307" s="14">
        <v>2.12</v>
      </c>
      <c r="O307" s="14">
        <v>0.89</v>
      </c>
      <c r="P307" s="14">
        <v>2.77999999999999</v>
      </c>
      <c r="Q307">
        <v>342</v>
      </c>
    </row>
    <row r="308" spans="3:17" x14ac:dyDescent="0.25">
      <c r="C308" s="15" t="s">
        <v>338</v>
      </c>
      <c r="D308" s="14" t="s">
        <v>14</v>
      </c>
      <c r="E308" s="14">
        <v>11.6099999999999</v>
      </c>
      <c r="F308" s="14">
        <v>1.35</v>
      </c>
      <c r="G308" s="14">
        <v>2.7</v>
      </c>
      <c r="H308" s="14">
        <v>20</v>
      </c>
      <c r="I308" s="14">
        <v>94</v>
      </c>
      <c r="J308" s="14">
        <v>2.74</v>
      </c>
      <c r="K308" s="14">
        <v>2.9199999999999902</v>
      </c>
      <c r="L308" s="14">
        <v>0.28999999999999898</v>
      </c>
      <c r="M308" s="14">
        <v>2.4900000000000002</v>
      </c>
      <c r="N308" s="14">
        <v>2.6499999999999901</v>
      </c>
      <c r="O308" s="14">
        <v>0.95999999999999897</v>
      </c>
      <c r="P308" s="14">
        <v>3.25999999999999</v>
      </c>
      <c r="Q308">
        <v>680</v>
      </c>
    </row>
    <row r="309" spans="3:17" x14ac:dyDescent="0.25">
      <c r="C309" s="15" t="s">
        <v>248</v>
      </c>
      <c r="D309" s="14" t="s">
        <v>15</v>
      </c>
      <c r="E309" s="14">
        <v>13.4</v>
      </c>
      <c r="F309" s="14">
        <v>3.91</v>
      </c>
      <c r="G309" s="14">
        <v>2.48</v>
      </c>
      <c r="H309" s="14">
        <v>23</v>
      </c>
      <c r="I309" s="14">
        <v>102</v>
      </c>
      <c r="J309" s="14">
        <v>1.8</v>
      </c>
      <c r="K309" s="14">
        <v>0.75</v>
      </c>
      <c r="L309" s="14">
        <v>0.42999999999999899</v>
      </c>
      <c r="M309" s="14">
        <v>1.4099999999999899</v>
      </c>
      <c r="N309" s="14">
        <v>7.2999999999999901</v>
      </c>
      <c r="O309" s="14">
        <v>0.69999999999999896</v>
      </c>
      <c r="P309" s="14">
        <v>1.56</v>
      </c>
      <c r="Q309">
        <v>750</v>
      </c>
    </row>
    <row r="310" spans="3:17" x14ac:dyDescent="0.25">
      <c r="C310" s="15" t="s">
        <v>250</v>
      </c>
      <c r="D310" s="14" t="s">
        <v>15</v>
      </c>
      <c r="E310" s="14">
        <v>13.17</v>
      </c>
      <c r="F310" s="14">
        <v>2.5899999999999901</v>
      </c>
      <c r="G310" s="14">
        <v>2.37</v>
      </c>
      <c r="H310" s="14">
        <v>20</v>
      </c>
      <c r="I310" s="14">
        <v>120</v>
      </c>
      <c r="J310" s="14">
        <v>1.6499999999999899</v>
      </c>
      <c r="K310" s="14">
        <v>0.68</v>
      </c>
      <c r="L310" s="14">
        <v>0.53</v>
      </c>
      <c r="M310" s="14">
        <v>1.46</v>
      </c>
      <c r="N310" s="14">
        <v>9.3000000000000007</v>
      </c>
      <c r="O310" s="14">
        <v>0.59999999999999898</v>
      </c>
      <c r="P310" s="14">
        <v>1.62</v>
      </c>
      <c r="Q310">
        <v>840</v>
      </c>
    </row>
    <row r="311" spans="3:17" x14ac:dyDescent="0.25">
      <c r="C311" s="15" t="s">
        <v>246</v>
      </c>
      <c r="D311" s="14" t="s">
        <v>15</v>
      </c>
      <c r="E311" s="14">
        <v>14.16</v>
      </c>
      <c r="F311" s="14">
        <v>2.50999999999999</v>
      </c>
      <c r="G311" s="14">
        <v>2.48</v>
      </c>
      <c r="H311" s="14">
        <v>20</v>
      </c>
      <c r="I311" s="14">
        <v>91</v>
      </c>
      <c r="J311" s="14">
        <v>1.6799999999999899</v>
      </c>
      <c r="K311" s="14">
        <v>0.69999999999999896</v>
      </c>
      <c r="L311" s="14">
        <v>0.44</v>
      </c>
      <c r="M311" s="14">
        <v>1.24</v>
      </c>
      <c r="N311" s="14">
        <v>9.6999999999999904</v>
      </c>
      <c r="O311" s="14">
        <v>0.62</v>
      </c>
      <c r="P311" s="14">
        <v>1.71</v>
      </c>
      <c r="Q311">
        <v>660</v>
      </c>
    </row>
    <row r="312" spans="3:17" x14ac:dyDescent="0.25">
      <c r="C312" s="15" t="s">
        <v>272</v>
      </c>
      <c r="D312" s="14" t="s">
        <v>13</v>
      </c>
      <c r="E312" s="14">
        <v>13.24</v>
      </c>
      <c r="F312" s="14">
        <v>3.98</v>
      </c>
      <c r="G312" s="14">
        <v>2.29</v>
      </c>
      <c r="H312" s="14">
        <v>17.5</v>
      </c>
      <c r="I312" s="14">
        <v>103</v>
      </c>
      <c r="J312" s="14">
        <v>2.64</v>
      </c>
      <c r="K312" s="14">
        <v>2.6299999999999901</v>
      </c>
      <c r="L312" s="14">
        <v>0.32</v>
      </c>
      <c r="M312" s="14">
        <v>1.6599999999999899</v>
      </c>
      <c r="N312" s="14">
        <v>4.3600000000000003</v>
      </c>
      <c r="O312" s="14">
        <v>0.81999999999999895</v>
      </c>
      <c r="P312" s="14">
        <v>3</v>
      </c>
      <c r="Q312">
        <v>680</v>
      </c>
    </row>
    <row r="313" spans="3:17" x14ac:dyDescent="0.25">
      <c r="C313" s="15" t="s">
        <v>80</v>
      </c>
      <c r="D313" s="14" t="s">
        <v>13</v>
      </c>
      <c r="E313" s="14">
        <v>14.39</v>
      </c>
      <c r="F313" s="14">
        <v>1.87</v>
      </c>
      <c r="G313" s="14">
        <v>2.4500000000000002</v>
      </c>
      <c r="H313" s="14">
        <v>14.6</v>
      </c>
      <c r="I313" s="14">
        <v>96</v>
      </c>
      <c r="J313" s="14">
        <v>2.5</v>
      </c>
      <c r="K313" s="14">
        <v>2.52</v>
      </c>
      <c r="L313" s="14">
        <v>0.29999999999999899</v>
      </c>
      <c r="M313" s="14">
        <v>1.98</v>
      </c>
      <c r="N313" s="14">
        <v>5.25</v>
      </c>
      <c r="O313" s="14">
        <v>1.02</v>
      </c>
      <c r="P313" s="14">
        <v>3.58</v>
      </c>
      <c r="Q313">
        <v>1290</v>
      </c>
    </row>
    <row r="314" spans="3:17" x14ac:dyDescent="0.25">
      <c r="C314" s="15" t="s">
        <v>159</v>
      </c>
      <c r="D314" s="14" t="s">
        <v>14</v>
      </c>
      <c r="E314" s="14">
        <v>12.67</v>
      </c>
      <c r="F314" s="14">
        <v>0.97999999999999898</v>
      </c>
      <c r="G314" s="14">
        <v>2.2400000000000002</v>
      </c>
      <c r="H314" s="14">
        <v>18</v>
      </c>
      <c r="I314" s="14">
        <v>99</v>
      </c>
      <c r="J314" s="14">
        <v>2.2000000000000002</v>
      </c>
      <c r="K314" s="14">
        <v>1.93999999999999</v>
      </c>
      <c r="L314" s="14">
        <v>0.29999999999999899</v>
      </c>
      <c r="M314" s="14">
        <v>1.46</v>
      </c>
      <c r="N314" s="14">
        <v>2.62</v>
      </c>
      <c r="O314" s="14">
        <v>1.23</v>
      </c>
      <c r="P314" s="14">
        <v>3.16</v>
      </c>
      <c r="Q314">
        <v>450</v>
      </c>
    </row>
    <row r="315" spans="3:17" x14ac:dyDescent="0.25">
      <c r="C315" s="15" t="s">
        <v>364</v>
      </c>
      <c r="D315" s="14" t="s">
        <v>15</v>
      </c>
      <c r="E315" s="14">
        <v>12.6</v>
      </c>
      <c r="F315" s="14">
        <v>2.46</v>
      </c>
      <c r="G315" s="14">
        <v>2.2000000000000002</v>
      </c>
      <c r="H315" s="14">
        <v>18.5</v>
      </c>
      <c r="I315" s="14">
        <v>94</v>
      </c>
      <c r="J315" s="14">
        <v>1.62</v>
      </c>
      <c r="K315" s="14">
        <v>0.66</v>
      </c>
      <c r="L315" s="14">
        <v>0.63</v>
      </c>
      <c r="M315" s="14">
        <v>0.93999999999999895</v>
      </c>
      <c r="N315" s="14">
        <v>7.0999999999999899</v>
      </c>
      <c r="O315" s="14">
        <v>0.72999999999999898</v>
      </c>
      <c r="P315" s="14">
        <v>1.58</v>
      </c>
      <c r="Q315">
        <v>695</v>
      </c>
    </row>
    <row r="316" spans="3:17" x14ac:dyDescent="0.25">
      <c r="C316" s="15" t="s">
        <v>103</v>
      </c>
      <c r="D316" s="14" t="s">
        <v>13</v>
      </c>
      <c r="E316" s="14">
        <v>14.02</v>
      </c>
      <c r="F316" s="14">
        <v>1.6799999999999899</v>
      </c>
      <c r="G316" s="14">
        <v>2.21</v>
      </c>
      <c r="H316" s="14">
        <v>16</v>
      </c>
      <c r="I316" s="14">
        <v>96</v>
      </c>
      <c r="J316" s="14">
        <v>2.6499999999999901</v>
      </c>
      <c r="K316" s="14">
        <v>2.33</v>
      </c>
      <c r="L316" s="14">
        <v>0.26</v>
      </c>
      <c r="M316" s="14">
        <v>1.98</v>
      </c>
      <c r="N316" s="14">
        <v>4.7</v>
      </c>
      <c r="O316" s="14">
        <v>1.04</v>
      </c>
      <c r="P316" s="14">
        <v>3.5899999999999901</v>
      </c>
      <c r="Q316">
        <v>1035</v>
      </c>
    </row>
    <row r="317" spans="3:17" x14ac:dyDescent="0.25">
      <c r="C317" s="15" t="s">
        <v>140</v>
      </c>
      <c r="D317" s="14" t="s">
        <v>14</v>
      </c>
      <c r="E317" s="14">
        <v>13.1099999999999</v>
      </c>
      <c r="F317" s="14">
        <v>1.01</v>
      </c>
      <c r="G317" s="14">
        <v>1.7</v>
      </c>
      <c r="H317" s="14">
        <v>15</v>
      </c>
      <c r="I317" s="14">
        <v>78</v>
      </c>
      <c r="J317" s="14">
        <v>2.98</v>
      </c>
      <c r="K317" s="14">
        <v>3.18</v>
      </c>
      <c r="L317" s="14">
        <v>0.26</v>
      </c>
      <c r="M317" s="14">
        <v>2.27999999999999</v>
      </c>
      <c r="N317" s="14">
        <v>5.2999999999999901</v>
      </c>
      <c r="O317" s="14">
        <v>1.1200000000000001</v>
      </c>
      <c r="P317" s="14">
        <v>3.18</v>
      </c>
      <c r="Q317">
        <v>502</v>
      </c>
    </row>
    <row r="318" spans="3:17" x14ac:dyDescent="0.25">
      <c r="C318" s="15" t="s">
        <v>158</v>
      </c>
      <c r="D318" s="14" t="s">
        <v>14</v>
      </c>
      <c r="E318" s="14">
        <v>11.84</v>
      </c>
      <c r="F318" s="14">
        <v>0.89</v>
      </c>
      <c r="G318" s="14">
        <v>2.58</v>
      </c>
      <c r="H318" s="14">
        <v>18</v>
      </c>
      <c r="I318" s="14">
        <v>94</v>
      </c>
      <c r="J318" s="14">
        <v>2.2000000000000002</v>
      </c>
      <c r="K318" s="14">
        <v>2.21</v>
      </c>
      <c r="L318" s="14">
        <v>0.22</v>
      </c>
      <c r="M318" s="14">
        <v>2.35</v>
      </c>
      <c r="N318" s="14">
        <v>3.0499999999999901</v>
      </c>
      <c r="O318" s="14">
        <v>0.79</v>
      </c>
      <c r="P318" s="14">
        <v>3.08</v>
      </c>
      <c r="Q318">
        <v>520</v>
      </c>
    </row>
    <row r="319" spans="3:17" x14ac:dyDescent="0.25">
      <c r="C319" s="15" t="s">
        <v>344</v>
      </c>
      <c r="D319" s="14" t="s">
        <v>14</v>
      </c>
      <c r="E319" s="14">
        <v>11.0299999999999</v>
      </c>
      <c r="F319" s="14">
        <v>1.51</v>
      </c>
      <c r="G319" s="14">
        <v>2.2000000000000002</v>
      </c>
      <c r="H319" s="14">
        <v>21.5</v>
      </c>
      <c r="I319" s="14">
        <v>85</v>
      </c>
      <c r="J319" s="14">
        <v>2.46</v>
      </c>
      <c r="K319" s="14">
        <v>2.1699999999999902</v>
      </c>
      <c r="L319" s="14">
        <v>0.52</v>
      </c>
      <c r="M319" s="14">
        <v>2.00999999999999</v>
      </c>
      <c r="N319" s="14">
        <v>1.8999999999999899</v>
      </c>
      <c r="O319" s="14">
        <v>1.71</v>
      </c>
      <c r="P319" s="14">
        <v>2.87</v>
      </c>
      <c r="Q319">
        <v>407</v>
      </c>
    </row>
    <row r="320" spans="3:17" x14ac:dyDescent="0.25">
      <c r="C320" s="15" t="s">
        <v>210</v>
      </c>
      <c r="D320" s="14" t="s">
        <v>15</v>
      </c>
      <c r="E320" s="14">
        <v>12.25</v>
      </c>
      <c r="F320" s="14">
        <v>4.71999999999999</v>
      </c>
      <c r="G320" s="14">
        <v>2.54</v>
      </c>
      <c r="H320" s="14">
        <v>21</v>
      </c>
      <c r="I320" s="14">
        <v>89</v>
      </c>
      <c r="J320" s="14">
        <v>1.3799999999999899</v>
      </c>
      <c r="K320" s="14">
        <v>0.46999999999999897</v>
      </c>
      <c r="L320" s="14">
        <v>0.53</v>
      </c>
      <c r="M320" s="14">
        <v>0.8</v>
      </c>
      <c r="N320" s="14">
        <v>3.85</v>
      </c>
      <c r="O320" s="14">
        <v>0.75</v>
      </c>
      <c r="P320" s="14">
        <v>1.27</v>
      </c>
      <c r="Q320">
        <v>720</v>
      </c>
    </row>
    <row r="321" spans="3:17" x14ac:dyDescent="0.25">
      <c r="C321" s="15" t="s">
        <v>148</v>
      </c>
      <c r="D321" s="14" t="s">
        <v>14</v>
      </c>
      <c r="E321" s="14">
        <v>11.96</v>
      </c>
      <c r="F321" s="14">
        <v>1.0900000000000001</v>
      </c>
      <c r="G321" s="14">
        <v>2.2999999999999901</v>
      </c>
      <c r="H321" s="14">
        <v>21</v>
      </c>
      <c r="I321" s="14">
        <v>101</v>
      </c>
      <c r="J321" s="14">
        <v>3.3799999999999901</v>
      </c>
      <c r="K321" s="14">
        <v>2.14</v>
      </c>
      <c r="L321" s="14">
        <v>0.13</v>
      </c>
      <c r="M321" s="14">
        <v>1.6499999999999899</v>
      </c>
      <c r="N321" s="14">
        <v>3.21</v>
      </c>
      <c r="O321" s="14">
        <v>0.98999999999999899</v>
      </c>
      <c r="P321" s="14">
        <v>3.1299999999999901</v>
      </c>
      <c r="Q321">
        <v>886</v>
      </c>
    </row>
    <row r="322" spans="3:17" x14ac:dyDescent="0.25">
      <c r="C322" s="15" t="s">
        <v>184</v>
      </c>
      <c r="D322" s="14" t="s">
        <v>14</v>
      </c>
      <c r="E322" s="14">
        <v>11.46</v>
      </c>
      <c r="F322" s="14">
        <v>3.74</v>
      </c>
      <c r="G322" s="14">
        <v>1.82</v>
      </c>
      <c r="H322" s="14">
        <v>19.5</v>
      </c>
      <c r="I322" s="14">
        <v>107</v>
      </c>
      <c r="J322" s="14">
        <v>3.18</v>
      </c>
      <c r="K322" s="14">
        <v>2.58</v>
      </c>
      <c r="L322" s="14">
        <v>0.23999999999999899</v>
      </c>
      <c r="M322" s="14">
        <v>3.58</v>
      </c>
      <c r="N322" s="14">
        <v>2.8999999999999901</v>
      </c>
      <c r="O322" s="14">
        <v>0.75</v>
      </c>
      <c r="P322" s="14">
        <v>2.81</v>
      </c>
      <c r="Q322">
        <v>562</v>
      </c>
    </row>
    <row r="323" spans="3:17" x14ac:dyDescent="0.25">
      <c r="C323" s="15" t="s">
        <v>125</v>
      </c>
      <c r="D323" s="14" t="s">
        <v>13</v>
      </c>
      <c r="E323" s="14">
        <v>13.83</v>
      </c>
      <c r="F323" s="14">
        <v>1.6499999999999899</v>
      </c>
      <c r="G323" s="14">
        <v>2.6</v>
      </c>
      <c r="H323" s="14">
        <v>17.1999999999999</v>
      </c>
      <c r="I323" s="14">
        <v>94</v>
      </c>
      <c r="J323" s="14">
        <v>2.4500000000000002</v>
      </c>
      <c r="K323" s="14">
        <v>2.99</v>
      </c>
      <c r="L323" s="14">
        <v>0.22</v>
      </c>
      <c r="M323" s="14">
        <v>2.29</v>
      </c>
      <c r="N323" s="14">
        <v>5.5999999999999899</v>
      </c>
      <c r="O323" s="14">
        <v>1.24</v>
      </c>
      <c r="P323" s="14">
        <v>3.37</v>
      </c>
      <c r="Q323">
        <v>1265</v>
      </c>
    </row>
    <row r="324" spans="3:17" x14ac:dyDescent="0.25">
      <c r="C324" s="15" t="s">
        <v>113</v>
      </c>
      <c r="D324" s="14" t="s">
        <v>13</v>
      </c>
      <c r="E324" s="14">
        <v>14.22</v>
      </c>
      <c r="F324" s="14">
        <v>3.99</v>
      </c>
      <c r="G324" s="14">
        <v>2.50999999999999</v>
      </c>
      <c r="H324" s="14">
        <v>13.1999999999999</v>
      </c>
      <c r="I324" s="14">
        <v>128</v>
      </c>
      <c r="J324" s="14">
        <v>3</v>
      </c>
      <c r="K324" s="14">
        <v>3.04</v>
      </c>
      <c r="L324" s="14">
        <v>0.2</v>
      </c>
      <c r="M324" s="14">
        <v>2.08</v>
      </c>
      <c r="N324" s="14">
        <v>5.0999999999999899</v>
      </c>
      <c r="O324" s="14">
        <v>0.89</v>
      </c>
      <c r="P324" s="14">
        <v>3.52999999999999</v>
      </c>
      <c r="Q324">
        <v>760</v>
      </c>
    </row>
    <row r="325" spans="3:17" x14ac:dyDescent="0.25">
      <c r="C325" s="15" t="s">
        <v>385</v>
      </c>
      <c r="D325" s="14" t="s">
        <v>15</v>
      </c>
      <c r="E325" s="14">
        <v>13.84</v>
      </c>
      <c r="F325" s="14">
        <v>4.12</v>
      </c>
      <c r="G325" s="14">
        <v>2.3799999999999901</v>
      </c>
      <c r="H325" s="14">
        <v>19.5</v>
      </c>
      <c r="I325" s="14">
        <v>89</v>
      </c>
      <c r="J325" s="14">
        <v>1.8</v>
      </c>
      <c r="K325" s="14">
        <v>0.82999999999999896</v>
      </c>
      <c r="L325" s="14">
        <v>0.47999999999999898</v>
      </c>
      <c r="M325" s="14">
        <v>1.56</v>
      </c>
      <c r="N325" s="14">
        <v>9.0099999999999891</v>
      </c>
      <c r="O325" s="14">
        <v>0.56999999999999895</v>
      </c>
      <c r="P325" s="14">
        <v>1.6399999999999899</v>
      </c>
      <c r="Q325">
        <v>480</v>
      </c>
    </row>
    <row r="326" spans="3:17" x14ac:dyDescent="0.25">
      <c r="C326" s="15" t="s">
        <v>299</v>
      </c>
      <c r="D326" s="14" t="s">
        <v>14</v>
      </c>
      <c r="E326" s="14">
        <v>12.2899999999999</v>
      </c>
      <c r="F326" s="14">
        <v>1.61</v>
      </c>
      <c r="G326" s="14">
        <v>2.21</v>
      </c>
      <c r="H326" s="14">
        <v>20.399999999999899</v>
      </c>
      <c r="I326" s="14">
        <v>103</v>
      </c>
      <c r="J326" s="14">
        <v>1.1000000000000001</v>
      </c>
      <c r="K326" s="14">
        <v>1.02</v>
      </c>
      <c r="L326" s="14">
        <v>0.37</v>
      </c>
      <c r="M326" s="14">
        <v>1.46</v>
      </c>
      <c r="N326" s="14">
        <v>3.0499999999999901</v>
      </c>
      <c r="O326" s="14">
        <v>0.90600000000000003</v>
      </c>
      <c r="P326" s="14">
        <v>1.82</v>
      </c>
      <c r="Q326">
        <v>870</v>
      </c>
    </row>
    <row r="327" spans="3:17" x14ac:dyDescent="0.25">
      <c r="C327" s="15" t="s">
        <v>166</v>
      </c>
      <c r="D327" s="14" t="s">
        <v>14</v>
      </c>
      <c r="E327" s="14">
        <v>12.69</v>
      </c>
      <c r="F327" s="14">
        <v>1.53</v>
      </c>
      <c r="G327" s="14">
        <v>2.25999999999999</v>
      </c>
      <c r="H327" s="14">
        <v>20.6999999999999</v>
      </c>
      <c r="I327" s="14">
        <v>80</v>
      </c>
      <c r="J327" s="14">
        <v>1.3799999999999899</v>
      </c>
      <c r="K327" s="14">
        <v>1.46</v>
      </c>
      <c r="L327" s="14">
        <v>0.57999999999999896</v>
      </c>
      <c r="M327" s="14">
        <v>1.62</v>
      </c>
      <c r="N327" s="14">
        <v>3.0499999999999901</v>
      </c>
      <c r="O327" s="14">
        <v>0.95999999999999897</v>
      </c>
      <c r="P327" s="14">
        <v>2.06</v>
      </c>
      <c r="Q327">
        <v>495</v>
      </c>
    </row>
    <row r="328" spans="3:17" x14ac:dyDescent="0.25">
      <c r="C328" s="15" t="s">
        <v>289</v>
      </c>
      <c r="D328" s="14" t="s">
        <v>14</v>
      </c>
      <c r="E328" s="14">
        <v>12.33</v>
      </c>
      <c r="F328" s="14">
        <v>1.1000000000000001</v>
      </c>
      <c r="G328" s="14">
        <v>2.27999999999999</v>
      </c>
      <c r="H328" s="14">
        <v>16</v>
      </c>
      <c r="I328" s="14">
        <v>101</v>
      </c>
      <c r="J328" s="14">
        <v>2.0499999999999901</v>
      </c>
      <c r="K328" s="14">
        <v>1.0900000000000001</v>
      </c>
      <c r="L328" s="14">
        <v>0.63</v>
      </c>
      <c r="M328" s="14">
        <v>0.40999999999999898</v>
      </c>
      <c r="N328" s="14">
        <v>3.27</v>
      </c>
      <c r="O328" s="14">
        <v>1.25</v>
      </c>
      <c r="P328" s="14">
        <v>1.6699999999999899</v>
      </c>
      <c r="Q328">
        <v>680</v>
      </c>
    </row>
    <row r="329" spans="3:17" x14ac:dyDescent="0.25">
      <c r="C329" s="15" t="s">
        <v>176</v>
      </c>
      <c r="D329" s="14" t="s">
        <v>14</v>
      </c>
      <c r="E329" s="14">
        <v>12.34</v>
      </c>
      <c r="F329" s="14">
        <v>2.4500000000000002</v>
      </c>
      <c r="G329" s="14">
        <v>2.46</v>
      </c>
      <c r="H329" s="14">
        <v>21</v>
      </c>
      <c r="I329" s="14">
        <v>98</v>
      </c>
      <c r="J329" s="14">
        <v>2.56</v>
      </c>
      <c r="K329" s="14">
        <v>2.1099999999999901</v>
      </c>
      <c r="L329" s="14">
        <v>0.34</v>
      </c>
      <c r="M329" s="14">
        <v>1.31</v>
      </c>
      <c r="N329" s="14">
        <v>2.7999999999999901</v>
      </c>
      <c r="O329" s="14">
        <v>0.8</v>
      </c>
      <c r="P329" s="14">
        <v>3.3799999999999901</v>
      </c>
      <c r="Q329">
        <v>438</v>
      </c>
    </row>
    <row r="330" spans="3:17" x14ac:dyDescent="0.25">
      <c r="C330" s="15" t="s">
        <v>204</v>
      </c>
      <c r="D330" s="14" t="s">
        <v>15</v>
      </c>
      <c r="E330" s="14">
        <v>12.8599999999999</v>
      </c>
      <c r="F330" s="14">
        <v>1.35</v>
      </c>
      <c r="G330" s="14">
        <v>2.3199999999999901</v>
      </c>
      <c r="H330" s="14">
        <v>18</v>
      </c>
      <c r="I330" s="14">
        <v>122</v>
      </c>
      <c r="J330" s="14">
        <v>1.51</v>
      </c>
      <c r="K330" s="14">
        <v>1.25</v>
      </c>
      <c r="L330" s="14">
        <v>0.20999999999999899</v>
      </c>
      <c r="M330" s="14">
        <v>0.93999999999999895</v>
      </c>
      <c r="N330" s="14">
        <v>4.0999999999999899</v>
      </c>
      <c r="O330" s="14">
        <v>0.76</v>
      </c>
      <c r="P330" s="14">
        <v>1.29</v>
      </c>
      <c r="Q330">
        <v>630</v>
      </c>
    </row>
    <row r="331" spans="3:17" x14ac:dyDescent="0.25">
      <c r="C331" s="15" t="s">
        <v>374</v>
      </c>
      <c r="D331" s="14" t="s">
        <v>15</v>
      </c>
      <c r="E331" s="14">
        <v>13.16</v>
      </c>
      <c r="F331" s="14">
        <v>3.5699999999999901</v>
      </c>
      <c r="G331" s="14">
        <v>2.1499999999999901</v>
      </c>
      <c r="H331" s="14">
        <v>21</v>
      </c>
      <c r="I331" s="14">
        <v>102</v>
      </c>
      <c r="J331" s="14">
        <v>1.5</v>
      </c>
      <c r="K331" s="14">
        <v>0.55000000000000004</v>
      </c>
      <c r="L331" s="14">
        <v>0.42999999999999899</v>
      </c>
      <c r="M331" s="14">
        <v>1.3</v>
      </c>
      <c r="N331" s="14">
        <v>4</v>
      </c>
      <c r="O331" s="14">
        <v>0.59999999999999898</v>
      </c>
      <c r="P331" s="14">
        <v>1.6799999999999899</v>
      </c>
      <c r="Q331">
        <v>830</v>
      </c>
    </row>
    <row r="332" spans="3:17" x14ac:dyDescent="0.25">
      <c r="C332" s="15" t="s">
        <v>300</v>
      </c>
      <c r="D332" s="14" t="s">
        <v>14</v>
      </c>
      <c r="E332" s="14">
        <v>13.8599999999999</v>
      </c>
      <c r="F332" s="14">
        <v>1.51</v>
      </c>
      <c r="G332" s="14">
        <v>2.6699999999999902</v>
      </c>
      <c r="H332" s="14">
        <v>25</v>
      </c>
      <c r="I332" s="14">
        <v>86</v>
      </c>
      <c r="J332" s="14">
        <v>2.95</v>
      </c>
      <c r="K332" s="14">
        <v>2.8599999999999901</v>
      </c>
      <c r="L332" s="14">
        <v>0.20999999999999899</v>
      </c>
      <c r="M332" s="14">
        <v>1.87</v>
      </c>
      <c r="N332" s="14">
        <v>3.3799999999999901</v>
      </c>
      <c r="O332" s="14">
        <v>1.36</v>
      </c>
      <c r="P332" s="14">
        <v>3.16</v>
      </c>
      <c r="Q332">
        <v>410</v>
      </c>
    </row>
    <row r="333" spans="3:17" x14ac:dyDescent="0.25">
      <c r="C333" s="15" t="s">
        <v>279</v>
      </c>
      <c r="D333" s="14" t="s">
        <v>13</v>
      </c>
      <c r="E333" s="14">
        <v>13.05</v>
      </c>
      <c r="F333" s="14">
        <v>1.73</v>
      </c>
      <c r="G333" s="14">
        <v>2.04</v>
      </c>
      <c r="H333" s="14">
        <v>12.4</v>
      </c>
      <c r="I333" s="14">
        <v>92</v>
      </c>
      <c r="J333" s="14">
        <v>2.72</v>
      </c>
      <c r="K333" s="14">
        <v>3.27</v>
      </c>
      <c r="L333" s="14">
        <v>0.17</v>
      </c>
      <c r="M333" s="14">
        <v>2.91</v>
      </c>
      <c r="N333" s="14">
        <v>7.2</v>
      </c>
      <c r="O333" s="14">
        <v>1.1200000000000001</v>
      </c>
      <c r="P333" s="14">
        <v>2.91</v>
      </c>
      <c r="Q333">
        <v>1150</v>
      </c>
    </row>
    <row r="334" spans="3:17" x14ac:dyDescent="0.25">
      <c r="C334" s="15" t="s">
        <v>225</v>
      </c>
      <c r="D334" s="14" t="s">
        <v>15</v>
      </c>
      <c r="E334" s="14">
        <v>12.7899999999999</v>
      </c>
      <c r="F334" s="14">
        <v>2.6699999999999902</v>
      </c>
      <c r="G334" s="14">
        <v>2.48</v>
      </c>
      <c r="H334" s="14">
        <v>22</v>
      </c>
      <c r="I334" s="14">
        <v>112</v>
      </c>
      <c r="J334" s="14">
        <v>1.48</v>
      </c>
      <c r="K334" s="14">
        <v>1.36</v>
      </c>
      <c r="L334" s="14">
        <v>0.23999999999999899</v>
      </c>
      <c r="M334" s="14">
        <v>1.26</v>
      </c>
      <c r="N334" s="14">
        <v>10.8</v>
      </c>
      <c r="O334" s="14">
        <v>0.47999999999999898</v>
      </c>
      <c r="P334" s="14">
        <v>1.47</v>
      </c>
      <c r="Q334">
        <v>480</v>
      </c>
    </row>
    <row r="335" spans="3:17" x14ac:dyDescent="0.25">
      <c r="C335" s="15" t="s">
        <v>286</v>
      </c>
      <c r="D335" s="14" t="s">
        <v>13</v>
      </c>
      <c r="E335" s="14">
        <v>13.2899999999999</v>
      </c>
      <c r="F335" s="14">
        <v>1.97</v>
      </c>
      <c r="G335" s="14">
        <v>2.68</v>
      </c>
      <c r="H335" s="14">
        <v>16.8</v>
      </c>
      <c r="I335" s="14">
        <v>102</v>
      </c>
      <c r="J335" s="14">
        <v>3</v>
      </c>
      <c r="K335" s="14">
        <v>3.23</v>
      </c>
      <c r="L335" s="14">
        <v>0.31</v>
      </c>
      <c r="M335" s="14">
        <v>1.6599999999999899</v>
      </c>
      <c r="N335" s="14">
        <v>6</v>
      </c>
      <c r="O335" s="14">
        <v>1.07</v>
      </c>
      <c r="P335" s="14">
        <v>2.8399999999999901</v>
      </c>
      <c r="Q335">
        <v>1270</v>
      </c>
    </row>
    <row r="336" spans="3:17" x14ac:dyDescent="0.25">
      <c r="C336" s="15" t="s">
        <v>119</v>
      </c>
      <c r="D336" s="14" t="s">
        <v>13</v>
      </c>
      <c r="E336" s="14">
        <v>14.21</v>
      </c>
      <c r="F336" s="14">
        <v>4.04</v>
      </c>
      <c r="G336" s="14">
        <v>2.4399999999999902</v>
      </c>
      <c r="H336" s="14">
        <v>18.899999999999899</v>
      </c>
      <c r="I336" s="14">
        <v>111</v>
      </c>
      <c r="J336" s="14">
        <v>2.85</v>
      </c>
      <c r="K336" s="14">
        <v>2.6499999999999901</v>
      </c>
      <c r="L336" s="14">
        <v>0.29999999999999899</v>
      </c>
      <c r="M336" s="14">
        <v>1.25</v>
      </c>
      <c r="N336" s="14">
        <v>5.24</v>
      </c>
      <c r="O336" s="14">
        <v>0.87</v>
      </c>
      <c r="P336" s="14">
        <v>3.33</v>
      </c>
      <c r="Q336">
        <v>1080</v>
      </c>
    </row>
    <row r="337" spans="3:17" x14ac:dyDescent="0.25">
      <c r="C337" s="15" t="s">
        <v>82</v>
      </c>
      <c r="D337" s="14" t="s">
        <v>13</v>
      </c>
      <c r="E337" s="14">
        <v>14.83</v>
      </c>
      <c r="F337" s="14">
        <v>1.6399999999999899</v>
      </c>
      <c r="G337" s="14">
        <v>2.1699999999999902</v>
      </c>
      <c r="H337" s="14">
        <v>14</v>
      </c>
      <c r="I337" s="14">
        <v>97</v>
      </c>
      <c r="J337" s="14">
        <v>2.7999999999999901</v>
      </c>
      <c r="K337" s="14">
        <v>2.98</v>
      </c>
      <c r="L337" s="14">
        <v>0.28999999999999898</v>
      </c>
      <c r="M337" s="14">
        <v>1.98</v>
      </c>
      <c r="N337" s="14">
        <v>5.2</v>
      </c>
      <c r="O337" s="14">
        <v>1.08</v>
      </c>
      <c r="P337" s="14">
        <v>2.85</v>
      </c>
      <c r="Q337">
        <v>1045</v>
      </c>
    </row>
    <row r="338" spans="3:17" x14ac:dyDescent="0.25">
      <c r="C338" s="15" t="s">
        <v>304</v>
      </c>
      <c r="D338" s="14" t="s">
        <v>14</v>
      </c>
      <c r="E338" s="14">
        <v>11.66</v>
      </c>
      <c r="F338" s="14">
        <v>1.8799999999999899</v>
      </c>
      <c r="G338" s="14">
        <v>1.9199999999999899</v>
      </c>
      <c r="H338" s="14">
        <v>16</v>
      </c>
      <c r="I338" s="14">
        <v>97</v>
      </c>
      <c r="J338" s="14">
        <v>1.61</v>
      </c>
      <c r="K338" s="14">
        <v>1.57</v>
      </c>
      <c r="L338" s="14">
        <v>0.34</v>
      </c>
      <c r="M338" s="14">
        <v>1.1499999999999899</v>
      </c>
      <c r="N338" s="14">
        <v>3.7999999999999901</v>
      </c>
      <c r="O338" s="14">
        <v>1.23</v>
      </c>
      <c r="P338" s="14">
        <v>2.14</v>
      </c>
      <c r="Q338">
        <v>428</v>
      </c>
    </row>
    <row r="339" spans="3:17" x14ac:dyDescent="0.25">
      <c r="C339" s="15" t="s">
        <v>163</v>
      </c>
      <c r="D339" s="14" t="s">
        <v>14</v>
      </c>
      <c r="E339" s="14">
        <v>12.08</v>
      </c>
      <c r="F339" s="14">
        <v>1.33</v>
      </c>
      <c r="G339" s="14">
        <v>2.2999999999999901</v>
      </c>
      <c r="H339" s="14">
        <v>23.6</v>
      </c>
      <c r="I339" s="14">
        <v>70</v>
      </c>
      <c r="J339" s="14">
        <v>2.2000000000000002</v>
      </c>
      <c r="K339" s="14">
        <v>1.59</v>
      </c>
      <c r="L339" s="14">
        <v>0.41999999999999899</v>
      </c>
      <c r="M339" s="14">
        <v>1.3799999999999899</v>
      </c>
      <c r="N339" s="14">
        <v>1.74</v>
      </c>
      <c r="O339" s="14">
        <v>1.07</v>
      </c>
      <c r="P339" s="14">
        <v>3.21</v>
      </c>
      <c r="Q339">
        <v>625</v>
      </c>
    </row>
    <row r="340" spans="3:17" x14ac:dyDescent="0.25">
      <c r="C340" s="15" t="s">
        <v>152</v>
      </c>
      <c r="D340" s="14" t="s">
        <v>14</v>
      </c>
      <c r="E340" s="14">
        <v>12.33</v>
      </c>
      <c r="F340" s="14">
        <v>0.98999999999999899</v>
      </c>
      <c r="G340" s="14">
        <v>1.95</v>
      </c>
      <c r="H340" s="14">
        <v>14.8</v>
      </c>
      <c r="I340" s="14">
        <v>136</v>
      </c>
      <c r="J340" s="14">
        <v>1.8999999999999899</v>
      </c>
      <c r="K340" s="14">
        <v>1.85</v>
      </c>
      <c r="L340" s="14">
        <v>0.34999999999999898</v>
      </c>
      <c r="M340" s="14">
        <v>2.75999999999999</v>
      </c>
      <c r="N340" s="14">
        <v>3.3999999999999901</v>
      </c>
      <c r="O340" s="14">
        <v>1.06</v>
      </c>
      <c r="P340" s="14">
        <v>2.31</v>
      </c>
      <c r="Q340">
        <v>750</v>
      </c>
    </row>
    <row r="341" spans="3:17" x14ac:dyDescent="0.25">
      <c r="C341" s="15" t="s">
        <v>197</v>
      </c>
      <c r="D341" s="14" t="s">
        <v>14</v>
      </c>
      <c r="E341" s="14">
        <v>13.05</v>
      </c>
      <c r="F341" s="14">
        <v>5.7999999999999901</v>
      </c>
      <c r="G341" s="14">
        <v>2.1299999999999901</v>
      </c>
      <c r="H341" s="14">
        <v>21.5</v>
      </c>
      <c r="I341" s="14">
        <v>86</v>
      </c>
      <c r="J341" s="14">
        <v>2.62</v>
      </c>
      <c r="K341" s="14">
        <v>2.6499999999999901</v>
      </c>
      <c r="L341" s="14">
        <v>0.29999999999999899</v>
      </c>
      <c r="M341" s="14">
        <v>2.00999999999999</v>
      </c>
      <c r="N341" s="14">
        <v>2.6</v>
      </c>
      <c r="O341" s="14">
        <v>0.72999999999999898</v>
      </c>
      <c r="P341" s="14">
        <v>3.1</v>
      </c>
      <c r="Q341">
        <v>380</v>
      </c>
    </row>
    <row r="342" spans="3:17" x14ac:dyDescent="0.25">
      <c r="C342" s="15" t="s">
        <v>378</v>
      </c>
      <c r="D342" s="14" t="s">
        <v>15</v>
      </c>
      <c r="E342" s="14">
        <v>13.08</v>
      </c>
      <c r="F342" s="14">
        <v>3.8999999999999901</v>
      </c>
      <c r="G342" s="14">
        <v>2.3599999999999901</v>
      </c>
      <c r="H342" s="14">
        <v>21.5</v>
      </c>
      <c r="I342" s="14">
        <v>113</v>
      </c>
      <c r="J342" s="14">
        <v>1.4099999999999899</v>
      </c>
      <c r="K342" s="14">
        <v>1.3899999999999899</v>
      </c>
      <c r="L342" s="14">
        <v>0.34</v>
      </c>
      <c r="M342" s="14">
        <v>1.1399999999999899</v>
      </c>
      <c r="N342" s="14">
        <v>9.4</v>
      </c>
      <c r="O342" s="14">
        <v>0.56999999999999895</v>
      </c>
      <c r="P342" s="14">
        <v>1.33</v>
      </c>
      <c r="Q342">
        <v>550</v>
      </c>
    </row>
    <row r="343" spans="3:17" x14ac:dyDescent="0.25">
      <c r="C343" s="15" t="s">
        <v>233</v>
      </c>
      <c r="D343" s="14" t="s">
        <v>15</v>
      </c>
      <c r="E343" s="14">
        <v>13.48</v>
      </c>
      <c r="F343" s="14">
        <v>1.6699999999999899</v>
      </c>
      <c r="G343" s="14">
        <v>2.64</v>
      </c>
      <c r="H343" s="14">
        <v>22.5</v>
      </c>
      <c r="I343" s="14">
        <v>89</v>
      </c>
      <c r="J343" s="14">
        <v>2.6</v>
      </c>
      <c r="K343" s="14">
        <v>1.1000000000000001</v>
      </c>
      <c r="L343" s="14">
        <v>0.52</v>
      </c>
      <c r="M343" s="14">
        <v>2.29</v>
      </c>
      <c r="N343" s="14">
        <v>11.75</v>
      </c>
      <c r="O343" s="14">
        <v>0.56999999999999895</v>
      </c>
      <c r="P343" s="14">
        <v>1.78</v>
      </c>
      <c r="Q343">
        <v>620</v>
      </c>
    </row>
    <row r="344" spans="3:17" x14ac:dyDescent="0.25">
      <c r="C344" s="15" t="s">
        <v>346</v>
      </c>
      <c r="D344" s="14" t="s">
        <v>14</v>
      </c>
      <c r="E344" s="14">
        <v>12.42</v>
      </c>
      <c r="F344" s="14">
        <v>1.61</v>
      </c>
      <c r="G344" s="14">
        <v>2.1899999999999902</v>
      </c>
      <c r="H344" s="14">
        <v>22.5</v>
      </c>
      <c r="I344" s="14">
        <v>108</v>
      </c>
      <c r="J344" s="14">
        <v>2</v>
      </c>
      <c r="K344" s="14">
        <v>2.0899999999999901</v>
      </c>
      <c r="L344" s="14">
        <v>0.34</v>
      </c>
      <c r="M344" s="14">
        <v>1.61</v>
      </c>
      <c r="N344" s="14">
        <v>2.06</v>
      </c>
      <c r="O344" s="14">
        <v>1.06</v>
      </c>
      <c r="P344" s="14">
        <v>2.96</v>
      </c>
      <c r="Q344">
        <v>345</v>
      </c>
    </row>
    <row r="345" spans="3:17" x14ac:dyDescent="0.25">
      <c r="C345" s="15" t="s">
        <v>271</v>
      </c>
      <c r="D345" s="14" t="s">
        <v>13</v>
      </c>
      <c r="E345" s="14">
        <v>13.88</v>
      </c>
      <c r="F345" s="14">
        <v>1.8899999999999899</v>
      </c>
      <c r="G345" s="14">
        <v>2.5899999999999901</v>
      </c>
      <c r="H345" s="14">
        <v>15</v>
      </c>
      <c r="I345" s="14">
        <v>101</v>
      </c>
      <c r="J345" s="14">
        <v>3.25</v>
      </c>
      <c r="K345" s="14">
        <v>3.56</v>
      </c>
      <c r="L345" s="14">
        <v>0.17</v>
      </c>
      <c r="M345" s="14">
        <v>1.7</v>
      </c>
      <c r="N345" s="14">
        <v>5.4299999999999899</v>
      </c>
      <c r="O345" s="14">
        <v>0.88</v>
      </c>
      <c r="P345" s="14">
        <v>3.56</v>
      </c>
      <c r="Q345">
        <v>1095</v>
      </c>
    </row>
    <row r="346" spans="3:17" x14ac:dyDescent="0.25">
      <c r="C346" s="15" t="s">
        <v>228</v>
      </c>
      <c r="D346" s="14" t="s">
        <v>15</v>
      </c>
      <c r="E346" s="14">
        <v>12.58</v>
      </c>
      <c r="F346" s="14">
        <v>1.29</v>
      </c>
      <c r="G346" s="14">
        <v>2.1</v>
      </c>
      <c r="H346" s="14">
        <v>20</v>
      </c>
      <c r="I346" s="14">
        <v>103</v>
      </c>
      <c r="J346" s="14">
        <v>1.48</v>
      </c>
      <c r="K346" s="14">
        <v>0.57999999999999896</v>
      </c>
      <c r="L346" s="14">
        <v>0.53</v>
      </c>
      <c r="M346" s="14">
        <v>1.3999999999999899</v>
      </c>
      <c r="N346" s="14">
        <v>7.5999999999999899</v>
      </c>
      <c r="O346" s="14">
        <v>0.57999999999999896</v>
      </c>
      <c r="P346" s="14">
        <v>1.55</v>
      </c>
      <c r="Q346">
        <v>640</v>
      </c>
    </row>
    <row r="347" spans="3:17" x14ac:dyDescent="0.25">
      <c r="C347" s="15" t="s">
        <v>200</v>
      </c>
      <c r="D347" s="14" t="s">
        <v>14</v>
      </c>
      <c r="E347" s="14">
        <v>12.43</v>
      </c>
      <c r="F347" s="14">
        <v>1.53</v>
      </c>
      <c r="G347" s="14">
        <v>2.29</v>
      </c>
      <c r="H347" s="14">
        <v>21.5</v>
      </c>
      <c r="I347" s="14">
        <v>86</v>
      </c>
      <c r="J347" s="14">
        <v>2.74</v>
      </c>
      <c r="K347" s="14">
        <v>3.1499999999999901</v>
      </c>
      <c r="L347" s="14">
        <v>0.39</v>
      </c>
      <c r="M347" s="14">
        <v>1.77</v>
      </c>
      <c r="N347" s="14">
        <v>3.9399999999999902</v>
      </c>
      <c r="O347" s="14">
        <v>0.68999999999999895</v>
      </c>
      <c r="P347" s="14">
        <v>2.8399999999999901</v>
      </c>
      <c r="Q347">
        <v>352</v>
      </c>
    </row>
    <row r="348" spans="3:17" x14ac:dyDescent="0.25">
      <c r="C348" s="15" t="s">
        <v>270</v>
      </c>
      <c r="D348" s="14" t="s">
        <v>13</v>
      </c>
      <c r="E348" s="14">
        <v>13.41</v>
      </c>
      <c r="F348" s="14">
        <v>3.8399999999999901</v>
      </c>
      <c r="G348" s="14">
        <v>2.12</v>
      </c>
      <c r="H348" s="14">
        <v>18.8</v>
      </c>
      <c r="I348" s="14">
        <v>90</v>
      </c>
      <c r="J348" s="14">
        <v>2.4500000000000002</v>
      </c>
      <c r="K348" s="14">
        <v>2.68</v>
      </c>
      <c r="L348" s="14">
        <v>0.27</v>
      </c>
      <c r="M348" s="14">
        <v>1.48</v>
      </c>
      <c r="N348" s="14">
        <v>4.28</v>
      </c>
      <c r="O348" s="14">
        <v>0.91</v>
      </c>
      <c r="P348" s="14">
        <v>3</v>
      </c>
      <c r="Q348">
        <v>1035</v>
      </c>
    </row>
    <row r="349" spans="3:17" x14ac:dyDescent="0.25">
      <c r="C349" s="15" t="s">
        <v>208</v>
      </c>
      <c r="D349" s="14" t="s">
        <v>15</v>
      </c>
      <c r="E349" s="14">
        <v>12.51</v>
      </c>
      <c r="F349" s="14">
        <v>1.24</v>
      </c>
      <c r="G349" s="14">
        <v>2.25</v>
      </c>
      <c r="H349" s="14">
        <v>17.5</v>
      </c>
      <c r="I349" s="14">
        <v>85</v>
      </c>
      <c r="J349" s="14">
        <v>2</v>
      </c>
      <c r="K349" s="14">
        <v>0.57999999999999896</v>
      </c>
      <c r="L349" s="14">
        <v>0.59999999999999898</v>
      </c>
      <c r="M349" s="14">
        <v>1.25</v>
      </c>
      <c r="N349" s="14">
        <v>5.45</v>
      </c>
      <c r="O349" s="14">
        <v>0.75</v>
      </c>
      <c r="P349" s="14">
        <v>1.51</v>
      </c>
      <c r="Q349">
        <v>650</v>
      </c>
    </row>
    <row r="350" spans="3:17" x14ac:dyDescent="0.25">
      <c r="C350" s="15" t="s">
        <v>253</v>
      </c>
      <c r="D350" s="14" t="s">
        <v>13</v>
      </c>
      <c r="E350" s="14">
        <v>13.5</v>
      </c>
      <c r="F350" s="14">
        <v>1.81</v>
      </c>
      <c r="G350" s="14">
        <v>2.6099999999999901</v>
      </c>
      <c r="H350" s="14">
        <v>20</v>
      </c>
      <c r="I350" s="14">
        <v>96</v>
      </c>
      <c r="J350" s="14">
        <v>2.52999999999999</v>
      </c>
      <c r="K350" s="14">
        <v>2.6099999999999901</v>
      </c>
      <c r="L350" s="14">
        <v>0.28000000000000003</v>
      </c>
      <c r="M350" s="14">
        <v>1.6599999999999899</v>
      </c>
      <c r="N350" s="14">
        <v>3.52</v>
      </c>
      <c r="O350" s="14">
        <v>1.1200000000000001</v>
      </c>
      <c r="P350" s="14">
        <v>3.8199999999999901</v>
      </c>
      <c r="Q350">
        <v>845</v>
      </c>
    </row>
    <row r="351" spans="3:17" x14ac:dyDescent="0.25">
      <c r="C351" s="15" t="s">
        <v>224</v>
      </c>
      <c r="D351" s="14" t="s">
        <v>15</v>
      </c>
      <c r="E351" s="14">
        <v>13.5</v>
      </c>
      <c r="F351" s="14">
        <v>3.12</v>
      </c>
      <c r="G351" s="14">
        <v>2.62</v>
      </c>
      <c r="H351" s="14">
        <v>24</v>
      </c>
      <c r="I351" s="14">
        <v>123</v>
      </c>
      <c r="J351" s="14">
        <v>1.3999999999999899</v>
      </c>
      <c r="K351" s="14">
        <v>1.57</v>
      </c>
      <c r="L351" s="14">
        <v>0.22</v>
      </c>
      <c r="M351" s="14">
        <v>1.25</v>
      </c>
      <c r="N351" s="14">
        <v>8.5999999999999908</v>
      </c>
      <c r="O351" s="14">
        <v>0.58999999999999897</v>
      </c>
      <c r="P351" s="14">
        <v>1.3</v>
      </c>
      <c r="Q351">
        <v>500</v>
      </c>
    </row>
    <row r="352" spans="3:17" x14ac:dyDescent="0.25">
      <c r="C352" s="15" t="s">
        <v>245</v>
      </c>
      <c r="D352" s="14" t="s">
        <v>15</v>
      </c>
      <c r="E352" s="14">
        <v>12.77</v>
      </c>
      <c r="F352" s="14">
        <v>2.39</v>
      </c>
      <c r="G352" s="14">
        <v>2.27999999999999</v>
      </c>
      <c r="H352" s="14">
        <v>19.5</v>
      </c>
      <c r="I352" s="14">
        <v>86</v>
      </c>
      <c r="J352" s="14">
        <v>1.3899999999999899</v>
      </c>
      <c r="K352" s="14">
        <v>0.51</v>
      </c>
      <c r="L352" s="14">
        <v>0.47999999999999898</v>
      </c>
      <c r="M352" s="14">
        <v>0.64</v>
      </c>
      <c r="N352" s="14">
        <v>9.8999989999999904</v>
      </c>
      <c r="O352" s="14">
        <v>0.56999999999999895</v>
      </c>
      <c r="P352" s="14">
        <v>1.6299999999999899</v>
      </c>
      <c r="Q352">
        <v>470</v>
      </c>
    </row>
    <row r="353" spans="3:17" x14ac:dyDescent="0.25">
      <c r="C353" s="15" t="s">
        <v>194</v>
      </c>
      <c r="D353" s="14" t="s">
        <v>14</v>
      </c>
      <c r="E353" s="14">
        <v>11.4499999999999</v>
      </c>
      <c r="F353" s="14">
        <v>2.3999999999999901</v>
      </c>
      <c r="G353" s="14">
        <v>2.4199999999999902</v>
      </c>
      <c r="H353" s="14">
        <v>20</v>
      </c>
      <c r="I353" s="14">
        <v>96</v>
      </c>
      <c r="J353" s="14">
        <v>2.8999999999999901</v>
      </c>
      <c r="K353" s="14">
        <v>2.79</v>
      </c>
      <c r="L353" s="14">
        <v>0.32</v>
      </c>
      <c r="M353" s="14">
        <v>1.83</v>
      </c>
      <c r="N353" s="14">
        <v>3.25</v>
      </c>
      <c r="O353" s="14">
        <v>0.8</v>
      </c>
      <c r="P353" s="14">
        <v>3.39</v>
      </c>
      <c r="Q353">
        <v>625</v>
      </c>
    </row>
    <row r="354" spans="3:17" x14ac:dyDescent="0.25">
      <c r="C354" s="15" t="s">
        <v>251</v>
      </c>
      <c r="D354" s="14" t="s">
        <v>15</v>
      </c>
      <c r="E354" s="14">
        <v>14.13</v>
      </c>
      <c r="F354" s="14">
        <v>4.0999999999999899</v>
      </c>
      <c r="G354" s="14">
        <v>2.74</v>
      </c>
      <c r="H354" s="14">
        <v>24.5</v>
      </c>
      <c r="I354" s="14">
        <v>96</v>
      </c>
      <c r="J354" s="14">
        <v>2.0499999999999901</v>
      </c>
      <c r="K354" s="14">
        <v>0.76</v>
      </c>
      <c r="L354" s="14">
        <v>0.56000000000000005</v>
      </c>
      <c r="M354" s="14">
        <v>1.35</v>
      </c>
      <c r="N354" s="14">
        <v>9.1999999999999904</v>
      </c>
      <c r="O354" s="14">
        <v>0.60999999999999899</v>
      </c>
      <c r="P354" s="14">
        <v>1.6</v>
      </c>
      <c r="Q354">
        <v>560</v>
      </c>
    </row>
    <row r="355" spans="3:17" x14ac:dyDescent="0.25">
      <c r="C355" s="15" t="s">
        <v>349</v>
      </c>
      <c r="D355" s="14" t="s">
        <v>14</v>
      </c>
      <c r="E355" s="14">
        <v>11.4499999999999</v>
      </c>
      <c r="F355" s="14">
        <v>2.3999999999999901</v>
      </c>
      <c r="G355" s="14">
        <v>2.4199999999999902</v>
      </c>
      <c r="H355" s="14">
        <v>20</v>
      </c>
      <c r="I355" s="14">
        <v>96</v>
      </c>
      <c r="J355" s="14">
        <v>2.8999999999999901</v>
      </c>
      <c r="K355" s="14">
        <v>2.79</v>
      </c>
      <c r="L355" s="14">
        <v>0.32</v>
      </c>
      <c r="M355" s="14">
        <v>1.83</v>
      </c>
      <c r="N355" s="14">
        <v>3.25</v>
      </c>
      <c r="O355" s="14">
        <v>0.8</v>
      </c>
      <c r="P355" s="14">
        <v>3.39</v>
      </c>
      <c r="Q355">
        <v>625</v>
      </c>
    </row>
    <row r="356" spans="3:17" x14ac:dyDescent="0.25">
      <c r="C356" s="15" t="s">
        <v>107</v>
      </c>
      <c r="D356" s="14" t="s">
        <v>13</v>
      </c>
      <c r="E356" s="14">
        <v>13.76</v>
      </c>
      <c r="F356" s="14">
        <v>1.53</v>
      </c>
      <c r="G356" s="14">
        <v>2.7</v>
      </c>
      <c r="H356" s="14">
        <v>19.5</v>
      </c>
      <c r="I356" s="14">
        <v>132</v>
      </c>
      <c r="J356" s="14">
        <v>2.95</v>
      </c>
      <c r="K356" s="14">
        <v>2.74</v>
      </c>
      <c r="L356" s="14">
        <v>0.5</v>
      </c>
      <c r="M356" s="14">
        <v>1.35</v>
      </c>
      <c r="N356" s="14">
        <v>5.4</v>
      </c>
      <c r="O356" s="14">
        <v>1.25</v>
      </c>
      <c r="P356" s="14">
        <v>3</v>
      </c>
      <c r="Q356">
        <v>1235</v>
      </c>
    </row>
    <row r="357" spans="3:17" x14ac:dyDescent="0.25">
      <c r="C357" s="15" t="s">
        <v>169</v>
      </c>
      <c r="D357" s="14" t="s">
        <v>14</v>
      </c>
      <c r="E357" s="14">
        <v>12.47</v>
      </c>
      <c r="F357" s="14">
        <v>1.52</v>
      </c>
      <c r="G357" s="14">
        <v>2.2000000000000002</v>
      </c>
      <c r="H357" s="14">
        <v>19</v>
      </c>
      <c r="I357" s="14">
        <v>162</v>
      </c>
      <c r="J357" s="14">
        <v>2.5</v>
      </c>
      <c r="K357" s="14">
        <v>2.27</v>
      </c>
      <c r="L357" s="14">
        <v>0.32</v>
      </c>
      <c r="M357" s="14">
        <v>3.27999999999999</v>
      </c>
      <c r="N357" s="14">
        <v>2.6</v>
      </c>
      <c r="O357" s="14">
        <v>1.1599999999999899</v>
      </c>
      <c r="P357" s="14">
        <v>2.6299999999999901</v>
      </c>
      <c r="Q357">
        <v>937</v>
      </c>
    </row>
    <row r="358" spans="3:17" x14ac:dyDescent="0.25">
      <c r="C358" s="15" t="s">
        <v>361</v>
      </c>
      <c r="D358" s="14" t="s">
        <v>15</v>
      </c>
      <c r="E358" s="14">
        <v>12.81</v>
      </c>
      <c r="F358" s="14">
        <v>2.31</v>
      </c>
      <c r="G358" s="14">
        <v>2.3999999999999901</v>
      </c>
      <c r="H358" s="14">
        <v>24</v>
      </c>
      <c r="I358" s="14">
        <v>98</v>
      </c>
      <c r="J358" s="14">
        <v>1.1499999999999899</v>
      </c>
      <c r="K358" s="14">
        <v>1.0900000000000001</v>
      </c>
      <c r="L358" s="14">
        <v>0.27</v>
      </c>
      <c r="M358" s="14">
        <v>0.82999999999999896</v>
      </c>
      <c r="N358" s="14">
        <v>5.7</v>
      </c>
      <c r="O358" s="14">
        <v>0.66</v>
      </c>
      <c r="P358" s="14">
        <v>1.36</v>
      </c>
      <c r="Q358">
        <v>560</v>
      </c>
    </row>
    <row r="359" spans="3:17" x14ac:dyDescent="0.25">
      <c r="C359" s="15" t="s">
        <v>328</v>
      </c>
      <c r="D359" s="14" t="s">
        <v>14</v>
      </c>
      <c r="E359" s="14">
        <v>12.2899999999999</v>
      </c>
      <c r="F359" s="14">
        <v>3.1699999999999902</v>
      </c>
      <c r="G359" s="14">
        <v>2.21</v>
      </c>
      <c r="H359" s="14">
        <v>18</v>
      </c>
      <c r="I359" s="14">
        <v>88</v>
      </c>
      <c r="J359" s="14">
        <v>2.85</v>
      </c>
      <c r="K359" s="14">
        <v>2.99</v>
      </c>
      <c r="L359" s="14">
        <v>0.45</v>
      </c>
      <c r="M359" s="14">
        <v>2.81</v>
      </c>
      <c r="N359" s="14">
        <v>2.2999999999999901</v>
      </c>
      <c r="O359" s="14">
        <v>1.4199999999999899</v>
      </c>
      <c r="P359" s="14">
        <v>2.83</v>
      </c>
      <c r="Q359">
        <v>406</v>
      </c>
    </row>
    <row r="360" spans="3:17" x14ac:dyDescent="0.25">
      <c r="C360" s="15" t="s">
        <v>311</v>
      </c>
      <c r="D360" s="14" t="s">
        <v>14</v>
      </c>
      <c r="E360" s="14">
        <v>12.08</v>
      </c>
      <c r="F360" s="14">
        <v>1.1299999999999899</v>
      </c>
      <c r="G360" s="14">
        <v>2.50999999999999</v>
      </c>
      <c r="H360" s="14">
        <v>24</v>
      </c>
      <c r="I360" s="14">
        <v>78</v>
      </c>
      <c r="J360" s="14">
        <v>2</v>
      </c>
      <c r="K360" s="14">
        <v>1.58</v>
      </c>
      <c r="L360" s="14">
        <v>0.4</v>
      </c>
      <c r="M360" s="14">
        <v>1.3999999999999899</v>
      </c>
      <c r="N360" s="14">
        <v>2.2000000000000002</v>
      </c>
      <c r="O360" s="14">
        <v>1.31</v>
      </c>
      <c r="P360" s="14">
        <v>2.72</v>
      </c>
      <c r="Q360">
        <v>630</v>
      </c>
    </row>
    <row r="361" spans="3:17" x14ac:dyDescent="0.25">
      <c r="C361" s="15" t="s">
        <v>276</v>
      </c>
      <c r="D361" s="14" t="s">
        <v>13</v>
      </c>
      <c r="E361" s="14">
        <v>13.9</v>
      </c>
      <c r="F361" s="14">
        <v>1.6799999999999899</v>
      </c>
      <c r="G361" s="14">
        <v>2.12</v>
      </c>
      <c r="H361" s="14">
        <v>16</v>
      </c>
      <c r="I361" s="14">
        <v>101</v>
      </c>
      <c r="J361" s="14">
        <v>3.1</v>
      </c>
      <c r="K361" s="14">
        <v>3.39</v>
      </c>
      <c r="L361" s="14">
        <v>0.20999999999999899</v>
      </c>
      <c r="M361" s="14">
        <v>2.14</v>
      </c>
      <c r="N361" s="14">
        <v>6.0999999999999899</v>
      </c>
      <c r="O361" s="14">
        <v>0.91</v>
      </c>
      <c r="P361" s="14">
        <v>3.33</v>
      </c>
      <c r="Q361">
        <v>985</v>
      </c>
    </row>
    <row r="362" spans="3:17" x14ac:dyDescent="0.25">
      <c r="C362" s="15" t="s">
        <v>379</v>
      </c>
      <c r="D362" s="14" t="s">
        <v>15</v>
      </c>
      <c r="E362" s="14">
        <v>13.5</v>
      </c>
      <c r="F362" s="14">
        <v>3.12</v>
      </c>
      <c r="G362" s="14">
        <v>2.62</v>
      </c>
      <c r="H362" s="14">
        <v>24</v>
      </c>
      <c r="I362" s="14">
        <v>123</v>
      </c>
      <c r="J362" s="14">
        <v>1.3999999999999899</v>
      </c>
      <c r="K362" s="14">
        <v>1.57</v>
      </c>
      <c r="L362" s="14">
        <v>0.22</v>
      </c>
      <c r="M362" s="14">
        <v>1.25</v>
      </c>
      <c r="N362" s="14">
        <v>8.5999999999999908</v>
      </c>
      <c r="O362" s="14">
        <v>0.58999999999999897</v>
      </c>
      <c r="P362" s="14">
        <v>1.3</v>
      </c>
      <c r="Q362">
        <v>500</v>
      </c>
    </row>
    <row r="363" spans="3:17" x14ac:dyDescent="0.25">
      <c r="C363" s="15" t="s">
        <v>369</v>
      </c>
      <c r="D363" s="14" t="s">
        <v>15</v>
      </c>
      <c r="E363" s="14">
        <v>12.93</v>
      </c>
      <c r="F363" s="14">
        <v>2.81</v>
      </c>
      <c r="G363" s="14">
        <v>2.7</v>
      </c>
      <c r="H363" s="14">
        <v>21</v>
      </c>
      <c r="I363" s="14">
        <v>96</v>
      </c>
      <c r="J363" s="14">
        <v>1.54</v>
      </c>
      <c r="K363" s="14">
        <v>0.5</v>
      </c>
      <c r="L363" s="14">
        <v>0.53</v>
      </c>
      <c r="M363" s="14">
        <v>0.75</v>
      </c>
      <c r="N363" s="14">
        <v>4.5999999999999899</v>
      </c>
      <c r="O363" s="14">
        <v>0.77</v>
      </c>
      <c r="P363" s="14">
        <v>2.31</v>
      </c>
      <c r="Q363">
        <v>600</v>
      </c>
    </row>
    <row r="364" spans="3:17" x14ac:dyDescent="0.25">
      <c r="C364" s="15" t="s">
        <v>222</v>
      </c>
      <c r="D364" s="14" t="s">
        <v>15</v>
      </c>
      <c r="E364" s="14">
        <v>13.32</v>
      </c>
      <c r="F364" s="14">
        <v>3.24</v>
      </c>
      <c r="G364" s="14">
        <v>2.3799999999999901</v>
      </c>
      <c r="H364" s="14">
        <v>21.5</v>
      </c>
      <c r="I364" s="14">
        <v>92</v>
      </c>
      <c r="J364" s="14">
        <v>1.9299999999999899</v>
      </c>
      <c r="K364" s="14">
        <v>0.76</v>
      </c>
      <c r="L364" s="14">
        <v>0.45</v>
      </c>
      <c r="M364" s="14">
        <v>1.25</v>
      </c>
      <c r="N364" s="14">
        <v>8.4199999999999893</v>
      </c>
      <c r="O364" s="14">
        <v>0.55000000000000004</v>
      </c>
      <c r="P364" s="14">
        <v>1.62</v>
      </c>
      <c r="Q364">
        <v>650</v>
      </c>
    </row>
    <row r="365" spans="3:17" x14ac:dyDescent="0.25">
      <c r="C365" s="15" t="s">
        <v>383</v>
      </c>
      <c r="D365" s="14" t="s">
        <v>15</v>
      </c>
      <c r="E365" s="14">
        <v>12.58</v>
      </c>
      <c r="F365" s="14">
        <v>1.29</v>
      </c>
      <c r="G365" s="14">
        <v>2.1</v>
      </c>
      <c r="H365" s="14">
        <v>20</v>
      </c>
      <c r="I365" s="14">
        <v>103</v>
      </c>
      <c r="J365" s="14">
        <v>1.48</v>
      </c>
      <c r="K365" s="14">
        <v>0.57999999999999896</v>
      </c>
      <c r="L365" s="14">
        <v>0.53</v>
      </c>
      <c r="M365" s="14">
        <v>1.3999999999999899</v>
      </c>
      <c r="N365" s="14">
        <v>7.5999999999999899</v>
      </c>
      <c r="O365" s="14">
        <v>0.57999999999999896</v>
      </c>
      <c r="P365" s="14">
        <v>1.55</v>
      </c>
      <c r="Q365">
        <v>640</v>
      </c>
    </row>
  </sheetData>
  <mergeCells count="27"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C18:S18"/>
    <mergeCell ref="C19:E19"/>
    <mergeCell ref="C20:E20"/>
    <mergeCell ref="F19:S19"/>
    <mergeCell ref="C22:I22"/>
    <mergeCell ref="C24:E24"/>
    <mergeCell ref="C25:E25"/>
    <mergeCell ref="C26:E26"/>
    <mergeCell ref="F23:I23"/>
    <mergeCell ref="F24:I24"/>
    <mergeCell ref="F25:I25"/>
    <mergeCell ref="F26:I26"/>
    <mergeCell ref="C23:E23"/>
    <mergeCell ref="B4:C4"/>
    <mergeCell ref="D4:E4"/>
    <mergeCell ref="F4:G4"/>
    <mergeCell ref="B3:G3"/>
    <mergeCell ref="J3:M3"/>
  </mergeCells>
  <hyperlinks>
    <hyperlink ref="B4" location="'STDPartition3'!$B$10:$B$10" display="Inputs" xr:uid="{86FC54A6-E0EA-4DAB-9EB9-6C8CDA713683}"/>
    <hyperlink ref="D4" location="'STDPartition3'!$B$28:$B$28" display="Partition Summary" xr:uid="{E5DDDE51-FBDE-444C-9CE8-FA7045CE0811}"/>
    <hyperlink ref="F4" location="'STDPartition3'!$B$34:$B$34" display="Partitioned Data" xr:uid="{977634C7-1356-4E98-AF87-5A1B0218CA1D}"/>
  </hyperlinks>
  <pageMargins left="0.7" right="0.7" top="0.75" bottom="0.75" header="0.3" footer="0.3"/>
  <tableParts count="2">
    <tablePart r:id="rId1"/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2FA91-DFA1-4650-A0E2-24EA3C0A192D}">
  <dimension ref="B1:CV83"/>
  <sheetViews>
    <sheetView showGridLines="0" topLeftCell="A23" workbookViewId="0"/>
  </sheetViews>
  <sheetFormatPr defaultRowHeight="13.2" x14ac:dyDescent="0.25"/>
  <cols>
    <col min="3" max="3" width="18" customWidth="1"/>
    <col min="4" max="4" width="12.6640625" customWidth="1"/>
    <col min="7" max="7" width="18" customWidth="1"/>
    <col min="8" max="8" width="12.109375" customWidth="1"/>
    <col min="14" max="14" width="33.109375" bestFit="1" customWidth="1"/>
  </cols>
  <sheetData>
    <row r="1" spans="2:100" ht="18" x14ac:dyDescent="0.35">
      <c r="B1" s="12" t="s">
        <v>564</v>
      </c>
      <c r="N1" t="s">
        <v>711</v>
      </c>
      <c r="CV1" s="19" t="s">
        <v>596</v>
      </c>
    </row>
    <row r="3" spans="2:100" ht="15.6" x14ac:dyDescent="0.3">
      <c r="B3" s="21" t="s">
        <v>30</v>
      </c>
      <c r="C3" s="22"/>
      <c r="D3" s="22"/>
      <c r="E3" s="22"/>
      <c r="F3" s="22"/>
      <c r="G3" s="22"/>
      <c r="H3" s="22"/>
      <c r="I3" s="22"/>
      <c r="J3" s="22"/>
      <c r="K3" s="23"/>
      <c r="N3" s="21" t="s">
        <v>53</v>
      </c>
      <c r="O3" s="22"/>
      <c r="P3" s="22"/>
      <c r="Q3" s="23"/>
    </row>
    <row r="4" spans="2:100" ht="13.8" x14ac:dyDescent="0.3">
      <c r="B4" s="35" t="s">
        <v>543</v>
      </c>
      <c r="C4" s="36"/>
      <c r="D4" s="35" t="s">
        <v>544</v>
      </c>
      <c r="E4" s="36"/>
      <c r="F4" s="35" t="s">
        <v>545</v>
      </c>
      <c r="G4" s="36"/>
      <c r="H4" s="35" t="s">
        <v>31</v>
      </c>
      <c r="I4" s="36"/>
      <c r="J4" s="35" t="s">
        <v>546</v>
      </c>
      <c r="K4" s="36"/>
      <c r="N4" s="18" t="s">
        <v>54</v>
      </c>
      <c r="O4" s="18" t="s">
        <v>55</v>
      </c>
      <c r="P4" s="18" t="s">
        <v>56</v>
      </c>
      <c r="Q4" s="18" t="s">
        <v>57</v>
      </c>
    </row>
    <row r="5" spans="2:100" ht="13.8" x14ac:dyDescent="0.3">
      <c r="B5" s="35" t="s">
        <v>421</v>
      </c>
      <c r="C5" s="36"/>
      <c r="D5" s="35" t="s">
        <v>547</v>
      </c>
      <c r="E5" s="36"/>
      <c r="F5" s="35" t="s">
        <v>548</v>
      </c>
      <c r="G5" s="36"/>
      <c r="H5" s="30"/>
      <c r="I5" s="31"/>
      <c r="J5" s="30"/>
      <c r="K5" s="31"/>
      <c r="N5" s="16">
        <v>307</v>
      </c>
      <c r="O5" s="16">
        <v>68</v>
      </c>
      <c r="P5" s="16">
        <v>8</v>
      </c>
      <c r="Q5" s="16">
        <v>383</v>
      </c>
    </row>
    <row r="10" spans="2:100" ht="18" x14ac:dyDescent="0.35">
      <c r="B10" s="13" t="s">
        <v>31</v>
      </c>
    </row>
    <row r="12" spans="2:100" ht="15.6" x14ac:dyDescent="0.3">
      <c r="C12" s="28" t="s">
        <v>33</v>
      </c>
      <c r="D12" s="28"/>
      <c r="E12" s="28"/>
      <c r="F12" s="28"/>
      <c r="G12" s="28"/>
      <c r="H12" s="28"/>
      <c r="I12" s="28"/>
      <c r="J12" s="28"/>
      <c r="K12" s="28"/>
    </row>
    <row r="13" spans="2:100" ht="13.8" x14ac:dyDescent="0.3">
      <c r="C13" s="24" t="s">
        <v>34</v>
      </c>
      <c r="D13" s="24"/>
      <c r="E13" s="24"/>
      <c r="F13" s="25"/>
      <c r="G13" s="27" t="s">
        <v>48</v>
      </c>
      <c r="H13" s="27"/>
      <c r="I13" s="27"/>
      <c r="J13" s="27"/>
      <c r="K13" s="27"/>
    </row>
    <row r="14" spans="2:100" ht="13.8" x14ac:dyDescent="0.3">
      <c r="C14" s="24" t="s">
        <v>35</v>
      </c>
      <c r="D14" s="24"/>
      <c r="E14" s="24"/>
      <c r="F14" s="25"/>
      <c r="G14" s="27" t="s">
        <v>775</v>
      </c>
      <c r="H14" s="27"/>
      <c r="I14" s="27"/>
      <c r="J14" s="27"/>
      <c r="K14" s="27"/>
    </row>
    <row r="15" spans="2:100" ht="13.8" x14ac:dyDescent="0.3">
      <c r="C15" s="24" t="s">
        <v>577</v>
      </c>
      <c r="D15" s="24"/>
      <c r="E15" s="24"/>
      <c r="F15" s="25"/>
      <c r="G15" s="27" t="s">
        <v>776</v>
      </c>
      <c r="H15" s="27"/>
      <c r="I15" s="27"/>
      <c r="J15" s="27"/>
      <c r="K15" s="27"/>
    </row>
    <row r="16" spans="2:100" ht="13.8" x14ac:dyDescent="0.3">
      <c r="C16" s="24" t="s">
        <v>578</v>
      </c>
      <c r="D16" s="24"/>
      <c r="E16" s="24"/>
      <c r="F16" s="25"/>
      <c r="G16" s="27">
        <v>263</v>
      </c>
      <c r="H16" s="27"/>
      <c r="I16" s="27"/>
      <c r="J16" s="27"/>
      <c r="K16" s="27"/>
    </row>
    <row r="17" spans="3:17" ht="13.8" x14ac:dyDescent="0.3">
      <c r="C17" s="24" t="s">
        <v>579</v>
      </c>
      <c r="D17" s="24"/>
      <c r="E17" s="24"/>
      <c r="F17" s="25"/>
      <c r="G17" s="27" t="s">
        <v>777</v>
      </c>
      <c r="H17" s="27"/>
      <c r="I17" s="27"/>
      <c r="J17" s="27"/>
      <c r="K17" s="27"/>
    </row>
    <row r="18" spans="3:17" ht="13.8" x14ac:dyDescent="0.3">
      <c r="C18" s="24" t="s">
        <v>580</v>
      </c>
      <c r="D18" s="24"/>
      <c r="E18" s="24"/>
      <c r="F18" s="25"/>
      <c r="G18" s="27">
        <v>66</v>
      </c>
      <c r="H18" s="27"/>
      <c r="I18" s="27"/>
      <c r="J18" s="27"/>
      <c r="K18" s="27"/>
    </row>
    <row r="20" spans="3:17" ht="15.6" x14ac:dyDescent="0.3">
      <c r="C20" s="28" t="s">
        <v>38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  <row r="21" spans="3:17" ht="13.8" x14ac:dyDescent="0.3">
      <c r="C21" s="24" t="s">
        <v>581</v>
      </c>
      <c r="D21" s="25"/>
      <c r="E21" s="27">
        <v>13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2" spans="3:17" ht="13.8" x14ac:dyDescent="0.3">
      <c r="C22" s="24" t="s">
        <v>582</v>
      </c>
      <c r="D22" s="25"/>
      <c r="E22" s="16" t="s">
        <v>61</v>
      </c>
      <c r="F22" s="16" t="s">
        <v>62</v>
      </c>
      <c r="G22" s="16" t="s">
        <v>63</v>
      </c>
      <c r="H22" s="16" t="s">
        <v>64</v>
      </c>
      <c r="I22" s="16" t="s">
        <v>65</v>
      </c>
      <c r="J22" s="16" t="s">
        <v>66</v>
      </c>
      <c r="K22" s="16" t="s">
        <v>67</v>
      </c>
      <c r="L22" s="16" t="s">
        <v>68</v>
      </c>
      <c r="M22" s="16" t="s">
        <v>69</v>
      </c>
      <c r="N22" s="16" t="s">
        <v>70</v>
      </c>
      <c r="O22" s="16" t="s">
        <v>71</v>
      </c>
      <c r="P22" s="16" t="s">
        <v>72</v>
      </c>
      <c r="Q22" s="16" t="s">
        <v>73</v>
      </c>
    </row>
    <row r="23" spans="3:17" ht="13.8" x14ac:dyDescent="0.3">
      <c r="C23" s="24" t="s">
        <v>583</v>
      </c>
      <c r="D23" s="2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 spans="3:17" ht="13.8" x14ac:dyDescent="0.3">
      <c r="C24" s="24" t="s">
        <v>584</v>
      </c>
      <c r="D24" s="25"/>
      <c r="E24" s="29" t="s">
        <v>0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6" spans="3:17" ht="15.6" x14ac:dyDescent="0.3">
      <c r="C26" s="28" t="s">
        <v>585</v>
      </c>
      <c r="D26" s="28"/>
      <c r="E26" s="28"/>
      <c r="F26" s="28"/>
      <c r="G26" s="28"/>
      <c r="H26" s="28"/>
      <c r="I26" s="28"/>
    </row>
    <row r="27" spans="3:17" ht="13.8" x14ac:dyDescent="0.3">
      <c r="C27" s="24" t="s">
        <v>586</v>
      </c>
      <c r="D27" s="24"/>
      <c r="E27" s="25"/>
      <c r="F27" s="27" t="b">
        <v>1</v>
      </c>
      <c r="G27" s="27"/>
      <c r="H27" s="27"/>
      <c r="I27" s="27"/>
    </row>
    <row r="28" spans="3:17" ht="13.8" x14ac:dyDescent="0.3">
      <c r="C28" s="24" t="s">
        <v>587</v>
      </c>
      <c r="D28" s="24"/>
      <c r="E28" s="25"/>
      <c r="F28" s="39" t="s">
        <v>591</v>
      </c>
      <c r="G28" s="40"/>
      <c r="H28" s="40"/>
      <c r="I28" s="41"/>
    </row>
    <row r="29" spans="3:17" ht="13.8" x14ac:dyDescent="0.3">
      <c r="C29" s="24" t="s">
        <v>588</v>
      </c>
      <c r="D29" s="24"/>
      <c r="E29" s="25"/>
      <c r="F29" s="39">
        <v>0.01</v>
      </c>
      <c r="G29" s="40"/>
      <c r="H29" s="40"/>
      <c r="I29" s="41"/>
    </row>
    <row r="31" spans="3:17" ht="15.6" x14ac:dyDescent="0.3">
      <c r="C31" s="21" t="s">
        <v>589</v>
      </c>
      <c r="D31" s="22"/>
      <c r="E31" s="22"/>
      <c r="F31" s="22"/>
      <c r="G31" s="22"/>
      <c r="H31" s="22"/>
      <c r="I31" s="23"/>
    </row>
    <row r="32" spans="3:17" ht="13.8" x14ac:dyDescent="0.3">
      <c r="C32" s="25" t="s">
        <v>590</v>
      </c>
      <c r="D32" s="37"/>
      <c r="E32" s="38"/>
      <c r="F32" s="39" t="s">
        <v>592</v>
      </c>
      <c r="G32" s="40"/>
      <c r="H32" s="40"/>
      <c r="I32" s="41"/>
    </row>
    <row r="34" spans="3:9" ht="15.6" x14ac:dyDescent="0.3">
      <c r="C34" s="21" t="s">
        <v>598</v>
      </c>
      <c r="D34" s="22"/>
      <c r="E34" s="22"/>
      <c r="F34" s="22"/>
      <c r="G34" s="22"/>
      <c r="H34" s="22"/>
      <c r="I34" s="23"/>
    </row>
    <row r="35" spans="3:9" ht="13.8" x14ac:dyDescent="0.3">
      <c r="C35" s="25" t="s">
        <v>599</v>
      </c>
      <c r="D35" s="37"/>
      <c r="E35" s="38"/>
      <c r="F35" s="39" t="b">
        <v>1</v>
      </c>
      <c r="G35" s="40"/>
      <c r="H35" s="40"/>
      <c r="I35" s="41"/>
    </row>
    <row r="36" spans="3:9" ht="13.8" x14ac:dyDescent="0.3">
      <c r="C36" s="25" t="s">
        <v>600</v>
      </c>
      <c r="D36" s="37"/>
      <c r="E36" s="38"/>
      <c r="F36" s="39" t="s">
        <v>610</v>
      </c>
      <c r="G36" s="40"/>
      <c r="H36" s="40"/>
      <c r="I36" s="41"/>
    </row>
    <row r="38" spans="3:9" ht="15.6" x14ac:dyDescent="0.3">
      <c r="C38" s="21" t="s">
        <v>601</v>
      </c>
      <c r="D38" s="22"/>
      <c r="E38" s="22"/>
      <c r="F38" s="22"/>
      <c r="G38" s="22"/>
      <c r="H38" s="22"/>
      <c r="I38" s="23"/>
    </row>
    <row r="39" spans="3:9" ht="13.8" x14ac:dyDescent="0.3">
      <c r="C39" s="25" t="s">
        <v>602</v>
      </c>
      <c r="D39" s="37"/>
      <c r="E39" s="38"/>
      <c r="F39" s="39">
        <v>3</v>
      </c>
      <c r="G39" s="40"/>
      <c r="H39" s="40"/>
      <c r="I39" s="41"/>
    </row>
    <row r="41" spans="3:9" ht="15.6" x14ac:dyDescent="0.3">
      <c r="C41" s="21" t="s">
        <v>603</v>
      </c>
      <c r="D41" s="22"/>
      <c r="E41" s="22"/>
      <c r="F41" s="22"/>
      <c r="G41" s="22"/>
      <c r="H41" s="22"/>
      <c r="I41" s="23"/>
    </row>
    <row r="42" spans="3:9" ht="13.8" x14ac:dyDescent="0.3">
      <c r="C42" s="25" t="s">
        <v>604</v>
      </c>
      <c r="D42" s="37"/>
      <c r="E42" s="38"/>
      <c r="F42" s="39" t="s">
        <v>611</v>
      </c>
      <c r="G42" s="40"/>
      <c r="H42" s="40"/>
      <c r="I42" s="41"/>
    </row>
    <row r="43" spans="3:9" ht="13.8" x14ac:dyDescent="0.3">
      <c r="C43" s="25" t="s">
        <v>605</v>
      </c>
      <c r="D43" s="37"/>
      <c r="E43" s="38"/>
      <c r="F43" s="39">
        <v>7</v>
      </c>
      <c r="G43" s="40"/>
      <c r="H43" s="40"/>
      <c r="I43" s="41"/>
    </row>
    <row r="44" spans="3:9" ht="13.8" x14ac:dyDescent="0.3">
      <c r="C44" s="25" t="s">
        <v>606</v>
      </c>
      <c r="D44" s="37"/>
      <c r="E44" s="38"/>
      <c r="F44" s="39" t="b">
        <v>1</v>
      </c>
      <c r="G44" s="40"/>
      <c r="H44" s="40"/>
      <c r="I44" s="41"/>
    </row>
    <row r="46" spans="3:9" ht="15.6" x14ac:dyDescent="0.3">
      <c r="C46" s="21" t="s">
        <v>607</v>
      </c>
      <c r="D46" s="22"/>
      <c r="E46" s="22"/>
      <c r="F46" s="22"/>
      <c r="G46" s="23"/>
    </row>
    <row r="47" spans="3:9" ht="13.8" x14ac:dyDescent="0.3">
      <c r="C47" s="32" t="s">
        <v>608</v>
      </c>
      <c r="D47" s="33"/>
      <c r="E47" s="33"/>
      <c r="F47" s="33"/>
      <c r="G47" s="34"/>
    </row>
    <row r="48" spans="3:9" ht="13.8" x14ac:dyDescent="0.3">
      <c r="C48" s="32" t="s">
        <v>609</v>
      </c>
      <c r="D48" s="33"/>
      <c r="E48" s="33"/>
      <c r="F48" s="33"/>
      <c r="G48" s="34"/>
    </row>
    <row r="51" spans="2:8" ht="18" x14ac:dyDescent="0.35">
      <c r="B51" s="13" t="s">
        <v>597</v>
      </c>
      <c r="F51" s="13" t="s">
        <v>612</v>
      </c>
    </row>
    <row r="53" spans="2:8" x14ac:dyDescent="0.25">
      <c r="C53" s="15" t="s">
        <v>613</v>
      </c>
      <c r="D53" t="s">
        <v>614</v>
      </c>
      <c r="G53" s="15" t="s">
        <v>613</v>
      </c>
      <c r="H53" t="s">
        <v>614</v>
      </c>
    </row>
    <row r="54" spans="2:8" x14ac:dyDescent="0.25">
      <c r="C54" s="15">
        <v>0</v>
      </c>
      <c r="D54">
        <v>0.56653992395437269</v>
      </c>
      <c r="G54" s="15">
        <v>0</v>
      </c>
      <c r="H54">
        <v>0.5757575757575758</v>
      </c>
    </row>
    <row r="55" spans="2:8" x14ac:dyDescent="0.25">
      <c r="C55" s="15">
        <v>1</v>
      </c>
      <c r="D55">
        <v>0.28897338403041828</v>
      </c>
      <c r="G55" s="15">
        <v>1</v>
      </c>
      <c r="H55">
        <v>0.40909090909090912</v>
      </c>
    </row>
    <row r="56" spans="2:8" x14ac:dyDescent="0.25">
      <c r="C56" s="15">
        <v>2</v>
      </c>
      <c r="D56">
        <v>9.8859315589353514E-2</v>
      </c>
      <c r="G56" s="15">
        <v>2</v>
      </c>
      <c r="H56">
        <v>0.16666666666666666</v>
      </c>
    </row>
    <row r="57" spans="2:8" x14ac:dyDescent="0.25">
      <c r="C57" s="15">
        <v>3</v>
      </c>
      <c r="D57">
        <v>6.8441064638783189E-2</v>
      </c>
      <c r="G57" s="15">
        <v>3</v>
      </c>
      <c r="H57">
        <v>0.13636363636363635</v>
      </c>
    </row>
    <row r="58" spans="2:8" x14ac:dyDescent="0.25">
      <c r="C58" s="15">
        <v>4</v>
      </c>
      <c r="D58">
        <v>5.3231939163498054E-2</v>
      </c>
      <c r="G58" s="15">
        <v>4</v>
      </c>
      <c r="H58">
        <v>0.15151515151515152</v>
      </c>
    </row>
    <row r="59" spans="2:8" x14ac:dyDescent="0.25">
      <c r="C59" s="15">
        <v>5</v>
      </c>
      <c r="D59">
        <v>3.4220532319391608E-2</v>
      </c>
      <c r="G59" s="15">
        <v>5</v>
      </c>
      <c r="H59">
        <v>0.12121212121212122</v>
      </c>
    </row>
    <row r="60" spans="2:8" x14ac:dyDescent="0.25">
      <c r="C60" s="15">
        <v>6</v>
      </c>
      <c r="D60">
        <v>2.661596958174902E-2</v>
      </c>
      <c r="G60" s="15">
        <v>6</v>
      </c>
      <c r="H60">
        <v>0.10606060606060606</v>
      </c>
    </row>
    <row r="61" spans="2:8" x14ac:dyDescent="0.25">
      <c r="C61" s="15">
        <v>7</v>
      </c>
      <c r="D61">
        <v>1.5209125475285161E-2</v>
      </c>
      <c r="G61" s="15">
        <v>7</v>
      </c>
      <c r="H61">
        <v>0.10606060606060606</v>
      </c>
    </row>
    <row r="62" spans="2:8" x14ac:dyDescent="0.25">
      <c r="C62" s="15">
        <v>8</v>
      </c>
      <c r="D62">
        <v>1.1406844106463846E-2</v>
      </c>
      <c r="G62" s="15">
        <v>8</v>
      </c>
      <c r="H62">
        <v>6.0606060606060608E-2</v>
      </c>
    </row>
    <row r="63" spans="2:8" x14ac:dyDescent="0.25">
      <c r="C63" s="15">
        <v>9</v>
      </c>
      <c r="D63">
        <v>1.1406844106463847E-2</v>
      </c>
      <c r="G63" s="15">
        <v>9</v>
      </c>
      <c r="H63">
        <v>6.0606060606060608E-2</v>
      </c>
    </row>
    <row r="64" spans="2:8" x14ac:dyDescent="0.25">
      <c r="C64" s="15">
        <v>10</v>
      </c>
      <c r="D64">
        <v>3.8022813688212598E-3</v>
      </c>
      <c r="G64" s="15">
        <v>10</v>
      </c>
      <c r="H64">
        <v>6.0606060606060608E-2</v>
      </c>
    </row>
    <row r="65" spans="2:8" x14ac:dyDescent="0.25">
      <c r="C65" s="15">
        <v>11</v>
      </c>
      <c r="D65">
        <v>-3.2959746043559335E-17</v>
      </c>
      <c r="G65" s="15">
        <v>11</v>
      </c>
      <c r="H65">
        <v>3.0303030303030304E-2</v>
      </c>
    </row>
    <row r="68" spans="2:8" ht="18" x14ac:dyDescent="0.35">
      <c r="B68" s="13" t="s">
        <v>546</v>
      </c>
    </row>
    <row r="70" spans="2:8" x14ac:dyDescent="0.25">
      <c r="C70" s="15" t="s">
        <v>615</v>
      </c>
      <c r="D70" t="s">
        <v>616</v>
      </c>
    </row>
    <row r="71" spans="2:8" x14ac:dyDescent="0.25">
      <c r="C71" s="15" t="s">
        <v>61</v>
      </c>
      <c r="D71">
        <v>1.1406844106463846E-2</v>
      </c>
    </row>
    <row r="72" spans="2:8" x14ac:dyDescent="0.25">
      <c r="C72" s="15" t="s">
        <v>62</v>
      </c>
      <c r="D72">
        <v>3.4220532319391608E-2</v>
      </c>
    </row>
    <row r="73" spans="2:8" x14ac:dyDescent="0.25">
      <c r="C73" s="15" t="s">
        <v>63</v>
      </c>
      <c r="D73">
        <v>0</v>
      </c>
    </row>
    <row r="74" spans="2:8" x14ac:dyDescent="0.25">
      <c r="C74" s="15" t="s">
        <v>64</v>
      </c>
      <c r="D74">
        <v>0</v>
      </c>
    </row>
    <row r="75" spans="2:8" x14ac:dyDescent="0.25">
      <c r="C75" s="15" t="s">
        <v>65</v>
      </c>
      <c r="D75">
        <v>2.661596958174902E-2</v>
      </c>
    </row>
    <row r="76" spans="2:8" x14ac:dyDescent="0.25">
      <c r="C76" s="15" t="s">
        <v>66</v>
      </c>
      <c r="D76">
        <v>3.8022813688212598E-3</v>
      </c>
    </row>
    <row r="77" spans="2:8" x14ac:dyDescent="0.25">
      <c r="C77" s="15" t="s">
        <v>67</v>
      </c>
      <c r="D77">
        <v>0.22053231939163476</v>
      </c>
    </row>
    <row r="78" spans="2:8" x14ac:dyDescent="0.25">
      <c r="C78" s="15" t="s">
        <v>68</v>
      </c>
      <c r="D78">
        <v>0</v>
      </c>
    </row>
    <row r="79" spans="2:8" x14ac:dyDescent="0.25">
      <c r="C79" s="15" t="s">
        <v>69</v>
      </c>
      <c r="D79">
        <v>0</v>
      </c>
    </row>
    <row r="80" spans="2:8" x14ac:dyDescent="0.25">
      <c r="C80" s="15" t="s">
        <v>70</v>
      </c>
      <c r="D80">
        <v>0.30038022813688214</v>
      </c>
    </row>
    <row r="81" spans="3:4" x14ac:dyDescent="0.25">
      <c r="C81" s="15" t="s">
        <v>71</v>
      </c>
      <c r="D81">
        <v>0</v>
      </c>
    </row>
    <row r="82" spans="3:4" x14ac:dyDescent="0.25">
      <c r="C82" s="15" t="s">
        <v>72</v>
      </c>
      <c r="D82">
        <v>1.5209125475285161E-2</v>
      </c>
    </row>
    <row r="83" spans="3:4" x14ac:dyDescent="0.25">
      <c r="C83" s="15" t="s">
        <v>73</v>
      </c>
      <c r="D83">
        <v>0.56653992395437269</v>
      </c>
    </row>
  </sheetData>
  <mergeCells count="60">
    <mergeCell ref="C12:K12"/>
    <mergeCell ref="C13:F13"/>
    <mergeCell ref="C14:F14"/>
    <mergeCell ref="C15:F15"/>
    <mergeCell ref="C16:F16"/>
    <mergeCell ref="C18:F18"/>
    <mergeCell ref="G13:K13"/>
    <mergeCell ref="G14:K14"/>
    <mergeCell ref="G15:K15"/>
    <mergeCell ref="G16:K16"/>
    <mergeCell ref="G17:K17"/>
    <mergeCell ref="G18:K18"/>
    <mergeCell ref="C17:F17"/>
    <mergeCell ref="C20:Q20"/>
    <mergeCell ref="C21:D21"/>
    <mergeCell ref="C22:D22"/>
    <mergeCell ref="C23:D23"/>
    <mergeCell ref="C24:D24"/>
    <mergeCell ref="E21:Q21"/>
    <mergeCell ref="E24:Q24"/>
    <mergeCell ref="C36:E36"/>
    <mergeCell ref="F35:I35"/>
    <mergeCell ref="F36:I36"/>
    <mergeCell ref="C26:I26"/>
    <mergeCell ref="C27:E27"/>
    <mergeCell ref="C28:E28"/>
    <mergeCell ref="C29:E29"/>
    <mergeCell ref="F27:I27"/>
    <mergeCell ref="F28:I28"/>
    <mergeCell ref="F29:I29"/>
    <mergeCell ref="C31:I31"/>
    <mergeCell ref="C32:E32"/>
    <mergeCell ref="F32:I32"/>
    <mergeCell ref="C34:I34"/>
    <mergeCell ref="C35:E35"/>
    <mergeCell ref="F44:I44"/>
    <mergeCell ref="C46:G46"/>
    <mergeCell ref="C47:G47"/>
    <mergeCell ref="C38:I38"/>
    <mergeCell ref="C39:E39"/>
    <mergeCell ref="F39:I39"/>
    <mergeCell ref="C41:I41"/>
    <mergeCell ref="C42:E42"/>
    <mergeCell ref="C43:E43"/>
    <mergeCell ref="J5:K5"/>
    <mergeCell ref="B3:K3"/>
    <mergeCell ref="N3:Q3"/>
    <mergeCell ref="C48:G48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C44:E44"/>
    <mergeCell ref="F42:I42"/>
    <mergeCell ref="F43:I43"/>
  </mergeCells>
  <hyperlinks>
    <hyperlink ref="B4" location="'CT_BestTree3'!$B$10:$B$10" display="Best Pruned Tree Rules (Using Validation Data)" xr:uid="{C604858F-447F-4094-80E4-5AC876DF150D}"/>
    <hyperlink ref="D4" location="'CT_FullTree3'!$B$10:$B$10" display="Fully Grown Tree Rules (Using Training Data)" xr:uid="{3A11D33B-12AE-448B-BE73-78FC7CE86A81}"/>
    <hyperlink ref="F4" location="'CT_MinErrorTree3'!$B$10:$B$10" display="Min Error Tree Rules (Using Validation Data)" xr:uid="{9B203FBF-E23A-4680-9819-2A6C244F817D}"/>
    <hyperlink ref="H4" location="'CT_Output3'!$B$10:$B$10" display="Inputs" xr:uid="{A502B6DB-F421-4BFB-9B00-77568CC2A8B3}"/>
    <hyperlink ref="J4" location="'CT_Output3'!$B$68:$B$68" display="Feature Importance" xr:uid="{DC9453AD-22B6-4BC0-9C3C-451F44C3D385}"/>
    <hyperlink ref="B5" location="'CT_Stored3'!$B$10:$B$10" display="PMML Model" xr:uid="{A2C212B2-2A2A-4072-9545-34C1CA417DEC}"/>
    <hyperlink ref="D5" location="'CT_TrainingScore3'!$B$10:$B$10" display="Training: Classification Summary" xr:uid="{C1DD6F57-16B3-4098-AE55-0C4F501453B4}"/>
    <hyperlink ref="F5" location="'CT_ValidationScore3'!$B$10:$B$10" display="Validation: Classification Summary" xr:uid="{78C79FD8-0223-444A-9ED2-B92E4631955E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B6DF-F669-44F2-878C-9FDCEFF56355}">
  <dimension ref="B1:Q33"/>
  <sheetViews>
    <sheetView showGridLines="0" workbookViewId="0"/>
  </sheetViews>
  <sheetFormatPr defaultRowHeight="13.2" x14ac:dyDescent="0.25"/>
  <cols>
    <col min="3" max="3" width="9.77734375" customWidth="1"/>
    <col min="4" max="4" width="11" customWidth="1"/>
    <col min="5" max="5" width="13.5546875" customWidth="1"/>
    <col min="6" max="6" width="14.88671875" customWidth="1"/>
    <col min="7" max="7" width="10.33203125" customWidth="1"/>
    <col min="8" max="8" width="15.5546875" customWidth="1"/>
    <col min="9" max="9" width="15.88671875" customWidth="1"/>
    <col min="10" max="10" width="17.33203125" customWidth="1"/>
    <col min="11" max="11" width="11.5546875" customWidth="1"/>
    <col min="12" max="12" width="12.21875" customWidth="1"/>
    <col min="14" max="14" width="24.33203125" bestFit="1" customWidth="1"/>
  </cols>
  <sheetData>
    <row r="1" spans="2:17" ht="18" x14ac:dyDescent="0.35">
      <c r="B1" s="12" t="s">
        <v>564</v>
      </c>
      <c r="N1" t="s">
        <v>711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307</v>
      </c>
      <c r="O5" s="16">
        <v>68</v>
      </c>
      <c r="P5" s="16">
        <v>8</v>
      </c>
      <c r="Q5" s="16">
        <v>383</v>
      </c>
    </row>
    <row r="10" spans="2:17" ht="18" x14ac:dyDescent="0.35">
      <c r="B10" s="13" t="s">
        <v>544</v>
      </c>
    </row>
    <row r="12" spans="2:17" x14ac:dyDescent="0.25">
      <c r="C12" s="15" t="s">
        <v>565</v>
      </c>
      <c r="D12" t="s">
        <v>566</v>
      </c>
      <c r="E12" t="s">
        <v>567</v>
      </c>
      <c r="F12" t="s">
        <v>568</v>
      </c>
      <c r="G12" t="s">
        <v>569</v>
      </c>
      <c r="H12" t="s">
        <v>570</v>
      </c>
      <c r="I12" t="s">
        <v>571</v>
      </c>
      <c r="J12" t="s">
        <v>572</v>
      </c>
      <c r="K12" t="s">
        <v>573</v>
      </c>
      <c r="L12" t="s">
        <v>574</v>
      </c>
    </row>
    <row r="13" spans="2:17" x14ac:dyDescent="0.25">
      <c r="C13" s="15">
        <v>1</v>
      </c>
      <c r="D13" s="14" t="e">
        <f>NA()</f>
        <v>#N/A</v>
      </c>
      <c r="E13" s="14">
        <v>2</v>
      </c>
      <c r="F13" s="14">
        <v>3</v>
      </c>
      <c r="G13" s="14" t="s">
        <v>73</v>
      </c>
      <c r="H13" s="14">
        <v>0.34022999999999998</v>
      </c>
      <c r="I13" s="14">
        <v>263</v>
      </c>
      <c r="J13" s="14">
        <v>66</v>
      </c>
      <c r="K13" s="14" t="s">
        <v>14</v>
      </c>
      <c r="L13" t="s">
        <v>575</v>
      </c>
    </row>
    <row r="14" spans="2:17" x14ac:dyDescent="0.25">
      <c r="C14" s="15">
        <v>2</v>
      </c>
      <c r="D14" s="14">
        <v>1</v>
      </c>
      <c r="E14" s="14">
        <v>4</v>
      </c>
      <c r="F14" s="14">
        <v>5</v>
      </c>
      <c r="G14" s="14" t="s">
        <v>70</v>
      </c>
      <c r="H14" s="14">
        <v>0.30493999999999999</v>
      </c>
      <c r="I14" s="14">
        <v>172</v>
      </c>
      <c r="J14" s="14">
        <v>47</v>
      </c>
      <c r="K14" s="14" t="s">
        <v>14</v>
      </c>
      <c r="L14" t="s">
        <v>575</v>
      </c>
    </row>
    <row r="15" spans="2:17" x14ac:dyDescent="0.25">
      <c r="C15" s="15">
        <v>3</v>
      </c>
      <c r="D15" s="14">
        <v>1</v>
      </c>
      <c r="E15" s="14">
        <v>6</v>
      </c>
      <c r="F15" s="14">
        <v>7</v>
      </c>
      <c r="G15" s="14" t="s">
        <v>67</v>
      </c>
      <c r="H15" s="14">
        <v>0.38550000000000001</v>
      </c>
      <c r="I15" s="14">
        <v>91</v>
      </c>
      <c r="J15" s="14">
        <v>19</v>
      </c>
      <c r="K15" s="14" t="s">
        <v>13</v>
      </c>
      <c r="L15" t="s">
        <v>575</v>
      </c>
    </row>
    <row r="16" spans="2:17" x14ac:dyDescent="0.25">
      <c r="C16" s="15">
        <v>4</v>
      </c>
      <c r="D16" s="14">
        <v>2</v>
      </c>
      <c r="E16" s="14">
        <v>8</v>
      </c>
      <c r="F16" s="14">
        <v>9</v>
      </c>
      <c r="G16" s="14" t="s">
        <v>67</v>
      </c>
      <c r="H16" s="14">
        <v>4.5168E-2</v>
      </c>
      <c r="I16" s="14">
        <v>112</v>
      </c>
      <c r="J16" s="14">
        <v>29</v>
      </c>
      <c r="K16" s="14" t="s">
        <v>14</v>
      </c>
      <c r="L16" t="s">
        <v>575</v>
      </c>
    </row>
    <row r="17" spans="3:12" x14ac:dyDescent="0.25">
      <c r="C17" s="15">
        <v>5</v>
      </c>
      <c r="D17" s="14">
        <v>2</v>
      </c>
      <c r="E17" s="14">
        <v>10</v>
      </c>
      <c r="F17" s="14">
        <v>11</v>
      </c>
      <c r="G17" s="14" t="s">
        <v>67</v>
      </c>
      <c r="H17" s="14">
        <v>0.22478999999999999</v>
      </c>
      <c r="I17" s="14">
        <v>60</v>
      </c>
      <c r="J17" s="14">
        <v>18</v>
      </c>
      <c r="K17" s="14" t="s">
        <v>15</v>
      </c>
      <c r="L17" t="s">
        <v>575</v>
      </c>
    </row>
    <row r="18" spans="3:12" x14ac:dyDescent="0.25">
      <c r="C18" s="15">
        <v>6</v>
      </c>
      <c r="D18" s="14">
        <v>3</v>
      </c>
      <c r="E18" s="14">
        <v>12</v>
      </c>
      <c r="F18" s="14">
        <v>13</v>
      </c>
      <c r="G18" s="14" t="s">
        <v>62</v>
      </c>
      <c r="H18" s="14">
        <v>0.26673000000000002</v>
      </c>
      <c r="I18" s="14">
        <v>10</v>
      </c>
      <c r="J18" s="14">
        <v>4</v>
      </c>
      <c r="K18" s="14" t="s">
        <v>15</v>
      </c>
      <c r="L18" t="s">
        <v>575</v>
      </c>
    </row>
    <row r="19" spans="3:12" x14ac:dyDescent="0.25">
      <c r="C19" s="15">
        <v>7</v>
      </c>
      <c r="D19" s="14">
        <v>3</v>
      </c>
      <c r="E19" s="14">
        <v>14</v>
      </c>
      <c r="F19" s="14">
        <v>15</v>
      </c>
      <c r="G19" s="14" t="s">
        <v>65</v>
      </c>
      <c r="H19" s="14">
        <v>0.71191000000000004</v>
      </c>
      <c r="I19" s="14">
        <v>81</v>
      </c>
      <c r="J19" s="14">
        <v>15</v>
      </c>
      <c r="K19" s="14" t="s">
        <v>13</v>
      </c>
      <c r="L19" t="s">
        <v>575</v>
      </c>
    </row>
    <row r="20" spans="3:12" x14ac:dyDescent="0.25">
      <c r="C20" s="15">
        <v>8</v>
      </c>
      <c r="D20" s="14">
        <v>4</v>
      </c>
      <c r="E20" s="14" t="e">
        <f>NA()</f>
        <v>#N/A</v>
      </c>
      <c r="F20" s="14" t="e">
        <f>NA()</f>
        <v>#N/A</v>
      </c>
      <c r="G20" s="14" t="e">
        <f>NA()</f>
        <v>#N/A</v>
      </c>
      <c r="H20" s="14" t="e">
        <f>NA()</f>
        <v>#N/A</v>
      </c>
      <c r="I20" s="14">
        <v>4</v>
      </c>
      <c r="J20" s="14">
        <v>2</v>
      </c>
      <c r="K20" s="14" t="s">
        <v>15</v>
      </c>
      <c r="L20" t="s">
        <v>576</v>
      </c>
    </row>
    <row r="21" spans="3:12" x14ac:dyDescent="0.25">
      <c r="C21" s="15">
        <v>9</v>
      </c>
      <c r="D21" s="14">
        <v>4</v>
      </c>
      <c r="E21" s="14">
        <v>16</v>
      </c>
      <c r="F21" s="14">
        <v>17</v>
      </c>
      <c r="G21" s="14" t="s">
        <v>72</v>
      </c>
      <c r="H21" s="14">
        <v>0.08</v>
      </c>
      <c r="I21" s="14">
        <v>108</v>
      </c>
      <c r="J21" s="14">
        <v>27</v>
      </c>
      <c r="K21" s="14" t="s">
        <v>14</v>
      </c>
      <c r="L21" t="s">
        <v>575</v>
      </c>
    </row>
    <row r="22" spans="3:12" x14ac:dyDescent="0.25">
      <c r="C22" s="15">
        <v>10</v>
      </c>
      <c r="D22" s="14">
        <v>5</v>
      </c>
      <c r="E22" s="14" t="e">
        <f>NA()</f>
        <v>#N/A</v>
      </c>
      <c r="F22" s="14" t="e">
        <f>NA()</f>
        <v>#N/A</v>
      </c>
      <c r="G22" s="14" t="e">
        <f>NA()</f>
        <v>#N/A</v>
      </c>
      <c r="H22" s="14" t="e">
        <f>NA()</f>
        <v>#N/A</v>
      </c>
      <c r="I22" s="14">
        <v>55</v>
      </c>
      <c r="J22" s="14">
        <v>15</v>
      </c>
      <c r="K22" s="14" t="s">
        <v>15</v>
      </c>
      <c r="L22" t="s">
        <v>576</v>
      </c>
    </row>
    <row r="23" spans="3:12" x14ac:dyDescent="0.25">
      <c r="C23" s="15">
        <v>11</v>
      </c>
      <c r="D23" s="14">
        <v>5</v>
      </c>
      <c r="E23" s="14" t="e">
        <f>NA()</f>
        <v>#N/A</v>
      </c>
      <c r="F23" s="14" t="e">
        <f>NA()</f>
        <v>#N/A</v>
      </c>
      <c r="G23" s="14" t="e">
        <f>NA()</f>
        <v>#N/A</v>
      </c>
      <c r="H23" s="14" t="e">
        <f>NA()</f>
        <v>#N/A</v>
      </c>
      <c r="I23" s="14">
        <v>5</v>
      </c>
      <c r="J23" s="14">
        <v>3</v>
      </c>
      <c r="K23" s="14" t="s">
        <v>14</v>
      </c>
      <c r="L23" t="s">
        <v>576</v>
      </c>
    </row>
    <row r="24" spans="3:12" x14ac:dyDescent="0.25">
      <c r="C24" s="15">
        <v>12</v>
      </c>
      <c r="D24" s="14">
        <v>6</v>
      </c>
      <c r="E24" s="14" t="e">
        <f>NA()</f>
        <v>#N/A</v>
      </c>
      <c r="F24" s="14" t="e">
        <f>NA()</f>
        <v>#N/A</v>
      </c>
      <c r="G24" s="14" t="e">
        <f>NA()</f>
        <v>#N/A</v>
      </c>
      <c r="H24" s="14" t="e">
        <f>NA()</f>
        <v>#N/A</v>
      </c>
      <c r="I24" s="14">
        <v>2</v>
      </c>
      <c r="J24" s="14">
        <v>2</v>
      </c>
      <c r="K24" s="14" t="s">
        <v>14</v>
      </c>
      <c r="L24" t="s">
        <v>576</v>
      </c>
    </row>
    <row r="25" spans="3:12" x14ac:dyDescent="0.25">
      <c r="C25" s="15">
        <v>13</v>
      </c>
      <c r="D25" s="14">
        <v>6</v>
      </c>
      <c r="E25" s="14" t="e">
        <f>NA()</f>
        <v>#N/A</v>
      </c>
      <c r="F25" s="14" t="e">
        <f>NA()</f>
        <v>#N/A</v>
      </c>
      <c r="G25" s="14" t="e">
        <f>NA()</f>
        <v>#N/A</v>
      </c>
      <c r="H25" s="14" t="e">
        <f>NA()</f>
        <v>#N/A</v>
      </c>
      <c r="I25" s="14">
        <v>8</v>
      </c>
      <c r="J25" s="14">
        <v>2</v>
      </c>
      <c r="K25" s="14" t="s">
        <v>15</v>
      </c>
      <c r="L25" t="s">
        <v>576</v>
      </c>
    </row>
    <row r="26" spans="3:12" x14ac:dyDescent="0.25">
      <c r="C26" s="15">
        <v>14</v>
      </c>
      <c r="D26" s="14">
        <v>7</v>
      </c>
      <c r="E26" s="14" t="e">
        <f>NA()</f>
        <v>#N/A</v>
      </c>
      <c r="F26" s="14" t="e">
        <f>NA()</f>
        <v>#N/A</v>
      </c>
      <c r="G26" s="14" t="e">
        <f>NA()</f>
        <v>#N/A</v>
      </c>
      <c r="H26" s="14" t="e">
        <f>NA()</f>
        <v>#N/A</v>
      </c>
      <c r="I26" s="14">
        <v>78</v>
      </c>
      <c r="J26" s="14">
        <v>14</v>
      </c>
      <c r="K26" s="14" t="s">
        <v>13</v>
      </c>
      <c r="L26" t="s">
        <v>576</v>
      </c>
    </row>
    <row r="27" spans="3:12" x14ac:dyDescent="0.25">
      <c r="C27" s="15">
        <v>15</v>
      </c>
      <c r="D27" s="14">
        <v>7</v>
      </c>
      <c r="E27" s="14" t="e">
        <f>NA()</f>
        <v>#N/A</v>
      </c>
      <c r="F27" s="14" t="e">
        <f>NA()</f>
        <v>#N/A</v>
      </c>
      <c r="G27" s="14" t="e">
        <f>NA()</f>
        <v>#N/A</v>
      </c>
      <c r="H27" s="14" t="e">
        <f>NA()</f>
        <v>#N/A</v>
      </c>
      <c r="I27" s="14">
        <v>3</v>
      </c>
      <c r="J27" s="14">
        <v>1</v>
      </c>
      <c r="K27" s="14" t="s">
        <v>14</v>
      </c>
      <c r="L27" t="s">
        <v>576</v>
      </c>
    </row>
    <row r="28" spans="3:12" x14ac:dyDescent="0.25">
      <c r="C28" s="15">
        <v>16</v>
      </c>
      <c r="D28" s="14">
        <v>9</v>
      </c>
      <c r="E28" s="14" t="e">
        <f>NA()</f>
        <v>#N/A</v>
      </c>
      <c r="F28" s="14" t="e">
        <f>NA()</f>
        <v>#N/A</v>
      </c>
      <c r="G28" s="14" t="e">
        <f>NA()</f>
        <v>#N/A</v>
      </c>
      <c r="H28" s="14" t="e">
        <f>NA()</f>
        <v>#N/A</v>
      </c>
      <c r="I28" s="14">
        <v>1</v>
      </c>
      <c r="J28" s="14">
        <v>1</v>
      </c>
      <c r="K28" s="14" t="s">
        <v>15</v>
      </c>
      <c r="L28" t="s">
        <v>576</v>
      </c>
    </row>
    <row r="29" spans="3:12" x14ac:dyDescent="0.25">
      <c r="C29" s="15">
        <v>17</v>
      </c>
      <c r="D29" s="14">
        <v>9</v>
      </c>
      <c r="E29" s="14">
        <v>18</v>
      </c>
      <c r="F29" s="14">
        <v>19</v>
      </c>
      <c r="G29" s="14" t="s">
        <v>61</v>
      </c>
      <c r="H29" s="14">
        <v>0.56818000000000002</v>
      </c>
      <c r="I29" s="14">
        <v>107</v>
      </c>
      <c r="J29" s="14">
        <v>26</v>
      </c>
      <c r="K29" s="14" t="s">
        <v>14</v>
      </c>
      <c r="L29" t="s">
        <v>575</v>
      </c>
    </row>
    <row r="30" spans="3:12" x14ac:dyDescent="0.25">
      <c r="C30" s="15">
        <v>18</v>
      </c>
      <c r="D30" s="14">
        <v>17</v>
      </c>
      <c r="E30" s="14" t="e">
        <f>NA()</f>
        <v>#N/A</v>
      </c>
      <c r="F30" s="14" t="e">
        <f>NA()</f>
        <v>#N/A</v>
      </c>
      <c r="G30" s="14" t="e">
        <f>NA()</f>
        <v>#N/A</v>
      </c>
      <c r="H30" s="14" t="e">
        <f>NA()</f>
        <v>#N/A</v>
      </c>
      <c r="I30" s="14">
        <v>98</v>
      </c>
      <c r="J30" s="14">
        <v>22</v>
      </c>
      <c r="K30" s="14" t="s">
        <v>14</v>
      </c>
      <c r="L30" t="s">
        <v>576</v>
      </c>
    </row>
    <row r="31" spans="3:12" x14ac:dyDescent="0.25">
      <c r="C31" s="15">
        <v>19</v>
      </c>
      <c r="D31" s="14">
        <v>17</v>
      </c>
      <c r="E31" s="14">
        <v>20</v>
      </c>
      <c r="F31" s="14">
        <v>21</v>
      </c>
      <c r="G31" s="14" t="s">
        <v>70</v>
      </c>
      <c r="H31" s="14">
        <v>0.23765</v>
      </c>
      <c r="I31" s="14">
        <v>9</v>
      </c>
      <c r="J31" s="14">
        <v>4</v>
      </c>
      <c r="K31" s="14" t="s">
        <v>14</v>
      </c>
      <c r="L31" t="s">
        <v>575</v>
      </c>
    </row>
    <row r="32" spans="3:12" x14ac:dyDescent="0.25">
      <c r="C32" s="15">
        <v>20</v>
      </c>
      <c r="D32" s="14">
        <v>19</v>
      </c>
      <c r="E32" s="14" t="e">
        <f>NA()</f>
        <v>#N/A</v>
      </c>
      <c r="F32" s="14" t="e">
        <f>NA()</f>
        <v>#N/A</v>
      </c>
      <c r="G32" s="14" t="e">
        <f>NA()</f>
        <v>#N/A</v>
      </c>
      <c r="H32" s="14" t="e">
        <f>NA()</f>
        <v>#N/A</v>
      </c>
      <c r="I32" s="14">
        <v>6</v>
      </c>
      <c r="J32" s="14">
        <v>2</v>
      </c>
      <c r="K32" s="14" t="s">
        <v>14</v>
      </c>
      <c r="L32" t="s">
        <v>576</v>
      </c>
    </row>
    <row r="33" spans="3:12" x14ac:dyDescent="0.25">
      <c r="C33" s="15">
        <v>21</v>
      </c>
      <c r="D33" s="14">
        <v>19</v>
      </c>
      <c r="E33" s="14" t="e">
        <f>NA()</f>
        <v>#N/A</v>
      </c>
      <c r="F33" s="14" t="e">
        <f>NA()</f>
        <v>#N/A</v>
      </c>
      <c r="G33" s="14" t="e">
        <f>NA()</f>
        <v>#N/A</v>
      </c>
      <c r="H33" s="14" t="e">
        <f>NA()</f>
        <v>#N/A</v>
      </c>
      <c r="I33" s="14">
        <v>3</v>
      </c>
      <c r="J33" s="14">
        <v>2</v>
      </c>
      <c r="K33" s="14" t="s">
        <v>13</v>
      </c>
      <c r="L33" t="s">
        <v>576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3'!$B$10:$B$10" display="Best Pruned Tree Rules (Using Validation Data)" xr:uid="{B14EABF7-A4A0-4B1B-A5E9-C49D37C0E5EC}"/>
    <hyperlink ref="D4" location="'CT_FullTree3'!$B$10:$B$10" display="Fully Grown Tree Rules (Using Training Data)" xr:uid="{23776A09-621F-4541-85C4-4CB9826C0EC5}"/>
    <hyperlink ref="F4" location="'CT_MinErrorTree3'!$B$10:$B$10" display="Min Error Tree Rules (Using Validation Data)" xr:uid="{19A85455-DD09-4EFE-8460-B05696E74F06}"/>
    <hyperlink ref="H4" location="'CT_Output3'!$B$10:$B$10" display="Inputs" xr:uid="{F6ECC582-800E-49DC-99B1-06CF00BEA8C0}"/>
    <hyperlink ref="J4" location="'CT_Output3'!$B$68:$B$68" display="Feature Importance" xr:uid="{D9D24C3D-9E9E-4555-8DCB-78C358C6544B}"/>
    <hyperlink ref="B5" location="'CT_Stored3'!$B$10:$B$10" display="PMML Model" xr:uid="{D0782B56-65DB-4296-8643-C7E01C738508}"/>
    <hyperlink ref="D5" location="'CT_TrainingScore3'!$B$10:$B$10" display="Training: Classification Summary" xr:uid="{E0983F65-740E-40DA-AE8D-C5DD9F8504CD}"/>
    <hyperlink ref="F5" location="'CT_ValidationScore3'!$B$10:$B$10" display="Validation: Classification Summary" xr:uid="{C8B46E30-C452-467F-94C8-4810F1A3D4A6}"/>
  </hyperlink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8DE7-CD1C-466F-8EFB-2B6ABA963C5E}">
  <dimension ref="B1:Q33"/>
  <sheetViews>
    <sheetView showGridLines="0" workbookViewId="0"/>
  </sheetViews>
  <sheetFormatPr defaultRowHeight="13.2" x14ac:dyDescent="0.25"/>
  <cols>
    <col min="3" max="3" width="9.77734375" customWidth="1"/>
    <col min="4" max="4" width="11" customWidth="1"/>
    <col min="5" max="5" width="13.5546875" customWidth="1"/>
    <col min="6" max="6" width="14.88671875" customWidth="1"/>
    <col min="7" max="7" width="10.33203125" customWidth="1"/>
    <col min="8" max="8" width="15.5546875" customWidth="1"/>
    <col min="9" max="9" width="15.88671875" customWidth="1"/>
    <col min="10" max="10" width="17.33203125" customWidth="1"/>
    <col min="11" max="11" width="11.5546875" customWidth="1"/>
    <col min="12" max="12" width="12.21875" customWidth="1"/>
    <col min="14" max="14" width="24.33203125" bestFit="1" customWidth="1"/>
  </cols>
  <sheetData>
    <row r="1" spans="2:17" ht="18" x14ac:dyDescent="0.35">
      <c r="B1" s="12" t="s">
        <v>564</v>
      </c>
      <c r="N1" t="s">
        <v>711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307</v>
      </c>
      <c r="O5" s="16">
        <v>68</v>
      </c>
      <c r="P5" s="16">
        <v>8</v>
      </c>
      <c r="Q5" s="16">
        <v>383</v>
      </c>
    </row>
    <row r="10" spans="2:17" ht="18" x14ac:dyDescent="0.35">
      <c r="B10" s="13" t="s">
        <v>543</v>
      </c>
    </row>
    <row r="12" spans="2:17" x14ac:dyDescent="0.25">
      <c r="C12" s="15" t="s">
        <v>565</v>
      </c>
      <c r="D12" t="s">
        <v>566</v>
      </c>
      <c r="E12" t="s">
        <v>567</v>
      </c>
      <c r="F12" t="s">
        <v>568</v>
      </c>
      <c r="G12" t="s">
        <v>569</v>
      </c>
      <c r="H12" t="s">
        <v>570</v>
      </c>
      <c r="I12" t="s">
        <v>571</v>
      </c>
      <c r="J12" t="s">
        <v>572</v>
      </c>
      <c r="K12" t="s">
        <v>573</v>
      </c>
      <c r="L12" t="s">
        <v>574</v>
      </c>
    </row>
    <row r="13" spans="2:17" x14ac:dyDescent="0.25">
      <c r="C13" s="15">
        <v>1</v>
      </c>
      <c r="D13" s="14" t="e">
        <f>NA()</f>
        <v>#N/A</v>
      </c>
      <c r="E13" s="14">
        <v>2</v>
      </c>
      <c r="F13" s="14">
        <v>3</v>
      </c>
      <c r="G13" s="14" t="s">
        <v>73</v>
      </c>
      <c r="H13" s="14">
        <v>0.34022999999999998</v>
      </c>
      <c r="I13" s="14">
        <v>263</v>
      </c>
      <c r="J13" s="14">
        <v>66</v>
      </c>
      <c r="K13" s="14" t="s">
        <v>14</v>
      </c>
      <c r="L13" t="s">
        <v>575</v>
      </c>
    </row>
    <row r="14" spans="2:17" x14ac:dyDescent="0.25">
      <c r="C14" s="15">
        <v>2</v>
      </c>
      <c r="D14" s="14">
        <v>1</v>
      </c>
      <c r="E14" s="14">
        <v>4</v>
      </c>
      <c r="F14" s="14">
        <v>5</v>
      </c>
      <c r="G14" s="14" t="s">
        <v>70</v>
      </c>
      <c r="H14" s="14">
        <v>0.30493999999999999</v>
      </c>
      <c r="I14" s="14">
        <v>172</v>
      </c>
      <c r="J14" s="14">
        <v>47</v>
      </c>
      <c r="K14" s="14" t="s">
        <v>14</v>
      </c>
      <c r="L14" t="s">
        <v>575</v>
      </c>
    </row>
    <row r="15" spans="2:17" x14ac:dyDescent="0.25">
      <c r="C15" s="15">
        <v>3</v>
      </c>
      <c r="D15" s="14">
        <v>1</v>
      </c>
      <c r="E15" s="14">
        <v>6</v>
      </c>
      <c r="F15" s="14">
        <v>7</v>
      </c>
      <c r="G15" s="14" t="s">
        <v>67</v>
      </c>
      <c r="H15" s="14">
        <v>0.38550000000000001</v>
      </c>
      <c r="I15" s="14">
        <v>91</v>
      </c>
      <c r="J15" s="14">
        <v>19</v>
      </c>
      <c r="K15" s="14" t="s">
        <v>13</v>
      </c>
      <c r="L15" t="s">
        <v>575</v>
      </c>
    </row>
    <row r="16" spans="2:17" x14ac:dyDescent="0.25">
      <c r="C16" s="15">
        <v>4</v>
      </c>
      <c r="D16" s="14">
        <v>2</v>
      </c>
      <c r="E16" s="14">
        <v>8</v>
      </c>
      <c r="F16" s="14">
        <v>9</v>
      </c>
      <c r="G16" s="14" t="s">
        <v>67</v>
      </c>
      <c r="H16" s="14">
        <v>4.5168E-2</v>
      </c>
      <c r="I16" s="14">
        <v>112</v>
      </c>
      <c r="J16" s="14">
        <v>29</v>
      </c>
      <c r="K16" s="14" t="s">
        <v>14</v>
      </c>
      <c r="L16" t="s">
        <v>575</v>
      </c>
    </row>
    <row r="17" spans="3:12" x14ac:dyDescent="0.25">
      <c r="C17" s="15">
        <v>5</v>
      </c>
      <c r="D17" s="14">
        <v>2</v>
      </c>
      <c r="E17" s="14">
        <v>10</v>
      </c>
      <c r="F17" s="14">
        <v>11</v>
      </c>
      <c r="G17" s="14" t="s">
        <v>67</v>
      </c>
      <c r="H17" s="14">
        <v>0.22478999999999999</v>
      </c>
      <c r="I17" s="14">
        <v>60</v>
      </c>
      <c r="J17" s="14">
        <v>18</v>
      </c>
      <c r="K17" s="14" t="s">
        <v>15</v>
      </c>
      <c r="L17" t="s">
        <v>575</v>
      </c>
    </row>
    <row r="18" spans="3:12" x14ac:dyDescent="0.25">
      <c r="C18" s="15">
        <v>6</v>
      </c>
      <c r="D18" s="14">
        <v>3</v>
      </c>
      <c r="E18" s="14">
        <v>12</v>
      </c>
      <c r="F18" s="14">
        <v>13</v>
      </c>
      <c r="G18" s="14" t="s">
        <v>62</v>
      </c>
      <c r="H18" s="14">
        <v>0.26673000000000002</v>
      </c>
      <c r="I18" s="14">
        <v>10</v>
      </c>
      <c r="J18" s="14">
        <v>4</v>
      </c>
      <c r="K18" s="14" t="s">
        <v>15</v>
      </c>
      <c r="L18" t="s">
        <v>575</v>
      </c>
    </row>
    <row r="19" spans="3:12" x14ac:dyDescent="0.25">
      <c r="C19" s="15">
        <v>7</v>
      </c>
      <c r="D19" s="14">
        <v>3</v>
      </c>
      <c r="E19" s="14">
        <v>14</v>
      </c>
      <c r="F19" s="14">
        <v>15</v>
      </c>
      <c r="G19" s="14" t="s">
        <v>65</v>
      </c>
      <c r="H19" s="14">
        <v>0.71191000000000004</v>
      </c>
      <c r="I19" s="14">
        <v>81</v>
      </c>
      <c r="J19" s="14">
        <v>15</v>
      </c>
      <c r="K19" s="14" t="s">
        <v>13</v>
      </c>
      <c r="L19" t="s">
        <v>575</v>
      </c>
    </row>
    <row r="20" spans="3:12" x14ac:dyDescent="0.25">
      <c r="C20" s="15">
        <v>8</v>
      </c>
      <c r="D20" s="14">
        <v>4</v>
      </c>
      <c r="E20" s="14" t="e">
        <f>NA()</f>
        <v>#N/A</v>
      </c>
      <c r="F20" s="14" t="e">
        <f>NA()</f>
        <v>#N/A</v>
      </c>
      <c r="G20" s="14" t="e">
        <f>NA()</f>
        <v>#N/A</v>
      </c>
      <c r="H20" s="14" t="e">
        <f>NA()</f>
        <v>#N/A</v>
      </c>
      <c r="I20" s="14">
        <v>4</v>
      </c>
      <c r="J20" s="14">
        <v>2</v>
      </c>
      <c r="K20" s="14" t="s">
        <v>15</v>
      </c>
      <c r="L20" t="s">
        <v>576</v>
      </c>
    </row>
    <row r="21" spans="3:12" x14ac:dyDescent="0.25">
      <c r="C21" s="15">
        <v>9</v>
      </c>
      <c r="D21" s="14">
        <v>4</v>
      </c>
      <c r="E21" s="14">
        <v>16</v>
      </c>
      <c r="F21" s="14">
        <v>17</v>
      </c>
      <c r="G21" s="14" t="s">
        <v>72</v>
      </c>
      <c r="H21" s="14">
        <v>0.08</v>
      </c>
      <c r="I21" s="14">
        <v>108</v>
      </c>
      <c r="J21" s="14">
        <v>27</v>
      </c>
      <c r="K21" s="14" t="s">
        <v>14</v>
      </c>
      <c r="L21" t="s">
        <v>575</v>
      </c>
    </row>
    <row r="22" spans="3:12" x14ac:dyDescent="0.25">
      <c r="C22" s="15">
        <v>10</v>
      </c>
      <c r="D22" s="14">
        <v>5</v>
      </c>
      <c r="E22" s="14" t="e">
        <f>NA()</f>
        <v>#N/A</v>
      </c>
      <c r="F22" s="14" t="e">
        <f>NA()</f>
        <v>#N/A</v>
      </c>
      <c r="G22" s="14" t="e">
        <f>NA()</f>
        <v>#N/A</v>
      </c>
      <c r="H22" s="14" t="e">
        <f>NA()</f>
        <v>#N/A</v>
      </c>
      <c r="I22" s="14">
        <v>55</v>
      </c>
      <c r="J22" s="14">
        <v>15</v>
      </c>
      <c r="K22" s="14" t="s">
        <v>15</v>
      </c>
      <c r="L22" t="s">
        <v>576</v>
      </c>
    </row>
    <row r="23" spans="3:12" x14ac:dyDescent="0.25">
      <c r="C23" s="15">
        <v>11</v>
      </c>
      <c r="D23" s="14">
        <v>5</v>
      </c>
      <c r="E23" s="14" t="e">
        <f>NA()</f>
        <v>#N/A</v>
      </c>
      <c r="F23" s="14" t="e">
        <f>NA()</f>
        <v>#N/A</v>
      </c>
      <c r="G23" s="14" t="e">
        <f>NA()</f>
        <v>#N/A</v>
      </c>
      <c r="H23" s="14" t="e">
        <f>NA()</f>
        <v>#N/A</v>
      </c>
      <c r="I23" s="14">
        <v>5</v>
      </c>
      <c r="J23" s="14">
        <v>3</v>
      </c>
      <c r="K23" s="14" t="s">
        <v>14</v>
      </c>
      <c r="L23" t="s">
        <v>576</v>
      </c>
    </row>
    <row r="24" spans="3:12" x14ac:dyDescent="0.25">
      <c r="C24" s="15">
        <v>12</v>
      </c>
      <c r="D24" s="14">
        <v>6</v>
      </c>
      <c r="E24" s="14" t="e">
        <f>NA()</f>
        <v>#N/A</v>
      </c>
      <c r="F24" s="14" t="e">
        <f>NA()</f>
        <v>#N/A</v>
      </c>
      <c r="G24" s="14" t="e">
        <f>NA()</f>
        <v>#N/A</v>
      </c>
      <c r="H24" s="14" t="e">
        <f>NA()</f>
        <v>#N/A</v>
      </c>
      <c r="I24" s="14">
        <v>2</v>
      </c>
      <c r="J24" s="14">
        <v>2</v>
      </c>
      <c r="K24" s="14" t="s">
        <v>14</v>
      </c>
      <c r="L24" t="s">
        <v>576</v>
      </c>
    </row>
    <row r="25" spans="3:12" x14ac:dyDescent="0.25">
      <c r="C25" s="15">
        <v>13</v>
      </c>
      <c r="D25" s="14">
        <v>6</v>
      </c>
      <c r="E25" s="14" t="e">
        <f>NA()</f>
        <v>#N/A</v>
      </c>
      <c r="F25" s="14" t="e">
        <f>NA()</f>
        <v>#N/A</v>
      </c>
      <c r="G25" s="14" t="e">
        <f>NA()</f>
        <v>#N/A</v>
      </c>
      <c r="H25" s="14" t="e">
        <f>NA()</f>
        <v>#N/A</v>
      </c>
      <c r="I25" s="14">
        <v>8</v>
      </c>
      <c r="J25" s="14">
        <v>2</v>
      </c>
      <c r="K25" s="14" t="s">
        <v>15</v>
      </c>
      <c r="L25" t="s">
        <v>576</v>
      </c>
    </row>
    <row r="26" spans="3:12" x14ac:dyDescent="0.25">
      <c r="C26" s="15">
        <v>14</v>
      </c>
      <c r="D26" s="14">
        <v>7</v>
      </c>
      <c r="E26" s="14" t="e">
        <f>NA()</f>
        <v>#N/A</v>
      </c>
      <c r="F26" s="14" t="e">
        <f>NA()</f>
        <v>#N/A</v>
      </c>
      <c r="G26" s="14" t="e">
        <f>NA()</f>
        <v>#N/A</v>
      </c>
      <c r="H26" s="14" t="e">
        <f>NA()</f>
        <v>#N/A</v>
      </c>
      <c r="I26" s="14">
        <v>78</v>
      </c>
      <c r="J26" s="14">
        <v>14</v>
      </c>
      <c r="K26" s="14" t="s">
        <v>13</v>
      </c>
      <c r="L26" t="s">
        <v>576</v>
      </c>
    </row>
    <row r="27" spans="3:12" x14ac:dyDescent="0.25">
      <c r="C27" s="15">
        <v>15</v>
      </c>
      <c r="D27" s="14">
        <v>7</v>
      </c>
      <c r="E27" s="14" t="e">
        <f>NA()</f>
        <v>#N/A</v>
      </c>
      <c r="F27" s="14" t="e">
        <f>NA()</f>
        <v>#N/A</v>
      </c>
      <c r="G27" s="14" t="e">
        <f>NA()</f>
        <v>#N/A</v>
      </c>
      <c r="H27" s="14" t="e">
        <f>NA()</f>
        <v>#N/A</v>
      </c>
      <c r="I27" s="14">
        <v>3</v>
      </c>
      <c r="J27" s="14">
        <v>1</v>
      </c>
      <c r="K27" s="14" t="s">
        <v>14</v>
      </c>
      <c r="L27" t="s">
        <v>576</v>
      </c>
    </row>
    <row r="28" spans="3:12" x14ac:dyDescent="0.25">
      <c r="C28" s="15">
        <v>16</v>
      </c>
      <c r="D28" s="14">
        <v>9</v>
      </c>
      <c r="E28" s="14" t="e">
        <f>NA()</f>
        <v>#N/A</v>
      </c>
      <c r="F28" s="14" t="e">
        <f>NA()</f>
        <v>#N/A</v>
      </c>
      <c r="G28" s="14" t="e">
        <f>NA()</f>
        <v>#N/A</v>
      </c>
      <c r="H28" s="14" t="e">
        <f>NA()</f>
        <v>#N/A</v>
      </c>
      <c r="I28" s="14">
        <v>1</v>
      </c>
      <c r="J28" s="14">
        <v>1</v>
      </c>
      <c r="K28" s="14" t="s">
        <v>15</v>
      </c>
      <c r="L28" t="s">
        <v>576</v>
      </c>
    </row>
    <row r="29" spans="3:12" x14ac:dyDescent="0.25">
      <c r="C29" s="15">
        <v>17</v>
      </c>
      <c r="D29" s="14">
        <v>9</v>
      </c>
      <c r="E29" s="14">
        <v>18</v>
      </c>
      <c r="F29" s="14">
        <v>19</v>
      </c>
      <c r="G29" s="14" t="s">
        <v>61</v>
      </c>
      <c r="H29" s="14">
        <v>0.56818000000000002</v>
      </c>
      <c r="I29" s="14">
        <v>107</v>
      </c>
      <c r="J29" s="14">
        <v>26</v>
      </c>
      <c r="K29" s="14" t="s">
        <v>14</v>
      </c>
      <c r="L29" t="s">
        <v>575</v>
      </c>
    </row>
    <row r="30" spans="3:12" x14ac:dyDescent="0.25">
      <c r="C30" s="15">
        <v>18</v>
      </c>
      <c r="D30" s="14">
        <v>17</v>
      </c>
      <c r="E30" s="14" t="e">
        <f>NA()</f>
        <v>#N/A</v>
      </c>
      <c r="F30" s="14" t="e">
        <f>NA()</f>
        <v>#N/A</v>
      </c>
      <c r="G30" s="14" t="e">
        <f>NA()</f>
        <v>#N/A</v>
      </c>
      <c r="H30" s="14" t="e">
        <f>NA()</f>
        <v>#N/A</v>
      </c>
      <c r="I30" s="14">
        <v>98</v>
      </c>
      <c r="J30" s="14">
        <v>22</v>
      </c>
      <c r="K30" s="14" t="s">
        <v>14</v>
      </c>
      <c r="L30" t="s">
        <v>576</v>
      </c>
    </row>
    <row r="31" spans="3:12" x14ac:dyDescent="0.25">
      <c r="C31" s="15">
        <v>19</v>
      </c>
      <c r="D31" s="14">
        <v>17</v>
      </c>
      <c r="E31" s="14">
        <v>20</v>
      </c>
      <c r="F31" s="14">
        <v>21</v>
      </c>
      <c r="G31" s="14" t="s">
        <v>70</v>
      </c>
      <c r="H31" s="14">
        <v>0.23765</v>
      </c>
      <c r="I31" s="14">
        <v>9</v>
      </c>
      <c r="J31" s="14">
        <v>4</v>
      </c>
      <c r="K31" s="14" t="s">
        <v>14</v>
      </c>
      <c r="L31" t="s">
        <v>575</v>
      </c>
    </row>
    <row r="32" spans="3:12" x14ac:dyDescent="0.25">
      <c r="C32" s="15">
        <v>20</v>
      </c>
      <c r="D32" s="14">
        <v>19</v>
      </c>
      <c r="E32" s="14" t="e">
        <f>NA()</f>
        <v>#N/A</v>
      </c>
      <c r="F32" s="14" t="e">
        <f>NA()</f>
        <v>#N/A</v>
      </c>
      <c r="G32" s="14" t="e">
        <f>NA()</f>
        <v>#N/A</v>
      </c>
      <c r="H32" s="14" t="e">
        <f>NA()</f>
        <v>#N/A</v>
      </c>
      <c r="I32" s="14">
        <v>6</v>
      </c>
      <c r="J32" s="14">
        <v>2</v>
      </c>
      <c r="K32" s="14" t="s">
        <v>14</v>
      </c>
      <c r="L32" t="s">
        <v>576</v>
      </c>
    </row>
    <row r="33" spans="3:12" x14ac:dyDescent="0.25">
      <c r="C33" s="15">
        <v>21</v>
      </c>
      <c r="D33" s="14">
        <v>19</v>
      </c>
      <c r="E33" s="14" t="e">
        <f>NA()</f>
        <v>#N/A</v>
      </c>
      <c r="F33" s="14" t="e">
        <f>NA()</f>
        <v>#N/A</v>
      </c>
      <c r="G33" s="14" t="e">
        <f>NA()</f>
        <v>#N/A</v>
      </c>
      <c r="H33" s="14" t="e">
        <f>NA()</f>
        <v>#N/A</v>
      </c>
      <c r="I33" s="14">
        <v>3</v>
      </c>
      <c r="J33" s="14">
        <v>2</v>
      </c>
      <c r="K33" s="14" t="s">
        <v>13</v>
      </c>
      <c r="L33" t="s">
        <v>576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3'!$B$10:$B$10" display="Best Pruned Tree Rules (Using Validation Data)" xr:uid="{3B8A915E-7D5A-4779-AA17-8DEFB73A8E28}"/>
    <hyperlink ref="D4" location="'CT_FullTree3'!$B$10:$B$10" display="Fully Grown Tree Rules (Using Training Data)" xr:uid="{54C305A7-3C05-468C-B9B2-AA0420B95387}"/>
    <hyperlink ref="F4" location="'CT_MinErrorTree3'!$B$10:$B$10" display="Min Error Tree Rules (Using Validation Data)" xr:uid="{9EE2C866-A470-4FD2-A8B7-98A83A953132}"/>
    <hyperlink ref="H4" location="'CT_Output3'!$B$10:$B$10" display="Inputs" xr:uid="{DBD14678-A98C-4D46-8E99-5F386DDAD114}"/>
    <hyperlink ref="J4" location="'CT_Output3'!$B$68:$B$68" display="Feature Importance" xr:uid="{523847BA-0306-4C88-9068-7216C3C801E3}"/>
    <hyperlink ref="B5" location="'CT_Stored3'!$B$10:$B$10" display="PMML Model" xr:uid="{BD7535B2-A8D4-4B90-9C9D-C6F40C86B69D}"/>
    <hyperlink ref="D5" location="'CT_TrainingScore3'!$B$10:$B$10" display="Training: Classification Summary" xr:uid="{1EC4C65C-2DA5-474B-AD12-E64A39E27C9A}"/>
    <hyperlink ref="F5" location="'CT_ValidationScore3'!$B$10:$B$10" display="Validation: Classification Summary" xr:uid="{839F28DE-736A-4DB8-AD95-356CA461E87F}"/>
  </hyperlink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4AD8-6B3A-457C-9FD5-78185749A8DB}">
  <dimension ref="B1:Q33"/>
  <sheetViews>
    <sheetView showGridLines="0" workbookViewId="0"/>
  </sheetViews>
  <sheetFormatPr defaultRowHeight="13.2" x14ac:dyDescent="0.25"/>
  <cols>
    <col min="3" max="3" width="9.77734375" customWidth="1"/>
    <col min="4" max="4" width="11" customWidth="1"/>
    <col min="5" max="5" width="13.5546875" customWidth="1"/>
    <col min="6" max="6" width="14.88671875" customWidth="1"/>
    <col min="7" max="7" width="10.33203125" customWidth="1"/>
    <col min="8" max="8" width="15.5546875" customWidth="1"/>
    <col min="9" max="9" width="15.88671875" customWidth="1"/>
    <col min="10" max="10" width="17.33203125" customWidth="1"/>
    <col min="11" max="11" width="11.5546875" customWidth="1"/>
    <col min="12" max="12" width="12.21875" customWidth="1"/>
    <col min="14" max="14" width="24.33203125" bestFit="1" customWidth="1"/>
  </cols>
  <sheetData>
    <row r="1" spans="2:17" ht="18" x14ac:dyDescent="0.35">
      <c r="B1" s="12" t="s">
        <v>564</v>
      </c>
      <c r="N1" t="s">
        <v>711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307</v>
      </c>
      <c r="O5" s="16">
        <v>68</v>
      </c>
      <c r="P5" s="16">
        <v>8</v>
      </c>
      <c r="Q5" s="16">
        <v>383</v>
      </c>
    </row>
    <row r="10" spans="2:17" ht="18" x14ac:dyDescent="0.35">
      <c r="B10" s="13" t="s">
        <v>545</v>
      </c>
    </row>
    <row r="12" spans="2:17" x14ac:dyDescent="0.25">
      <c r="C12" s="15" t="s">
        <v>565</v>
      </c>
      <c r="D12" t="s">
        <v>566</v>
      </c>
      <c r="E12" t="s">
        <v>567</v>
      </c>
      <c r="F12" t="s">
        <v>568</v>
      </c>
      <c r="G12" t="s">
        <v>569</v>
      </c>
      <c r="H12" t="s">
        <v>570</v>
      </c>
      <c r="I12" t="s">
        <v>571</v>
      </c>
      <c r="J12" t="s">
        <v>572</v>
      </c>
      <c r="K12" t="s">
        <v>573</v>
      </c>
      <c r="L12" t="s">
        <v>574</v>
      </c>
    </row>
    <row r="13" spans="2:17" x14ac:dyDescent="0.25">
      <c r="C13" s="15">
        <v>1</v>
      </c>
      <c r="D13" s="14" t="e">
        <f>NA()</f>
        <v>#N/A</v>
      </c>
      <c r="E13" s="14">
        <v>2</v>
      </c>
      <c r="F13" s="14">
        <v>3</v>
      </c>
      <c r="G13" s="14" t="s">
        <v>73</v>
      </c>
      <c r="H13" s="14">
        <v>0.34022999999999998</v>
      </c>
      <c r="I13" s="14">
        <v>263</v>
      </c>
      <c r="J13" s="14">
        <v>66</v>
      </c>
      <c r="K13" s="14" t="s">
        <v>14</v>
      </c>
      <c r="L13" t="s">
        <v>575</v>
      </c>
    </row>
    <row r="14" spans="2:17" x14ac:dyDescent="0.25">
      <c r="C14" s="15">
        <v>2</v>
      </c>
      <c r="D14" s="14">
        <v>1</v>
      </c>
      <c r="E14" s="14">
        <v>4</v>
      </c>
      <c r="F14" s="14">
        <v>5</v>
      </c>
      <c r="G14" s="14" t="s">
        <v>70</v>
      </c>
      <c r="H14" s="14">
        <v>0.30493999999999999</v>
      </c>
      <c r="I14" s="14">
        <v>172</v>
      </c>
      <c r="J14" s="14">
        <v>47</v>
      </c>
      <c r="K14" s="14" t="s">
        <v>14</v>
      </c>
      <c r="L14" t="s">
        <v>575</v>
      </c>
    </row>
    <row r="15" spans="2:17" x14ac:dyDescent="0.25">
      <c r="C15" s="15">
        <v>3</v>
      </c>
      <c r="D15" s="14">
        <v>1</v>
      </c>
      <c r="E15" s="14">
        <v>6</v>
      </c>
      <c r="F15" s="14">
        <v>7</v>
      </c>
      <c r="G15" s="14" t="s">
        <v>67</v>
      </c>
      <c r="H15" s="14">
        <v>0.38550000000000001</v>
      </c>
      <c r="I15" s="14">
        <v>91</v>
      </c>
      <c r="J15" s="14">
        <v>19</v>
      </c>
      <c r="K15" s="14" t="s">
        <v>13</v>
      </c>
      <c r="L15" t="s">
        <v>575</v>
      </c>
    </row>
    <row r="16" spans="2:17" x14ac:dyDescent="0.25">
      <c r="C16" s="15">
        <v>4</v>
      </c>
      <c r="D16" s="14">
        <v>2</v>
      </c>
      <c r="E16" s="14">
        <v>8</v>
      </c>
      <c r="F16" s="14">
        <v>9</v>
      </c>
      <c r="G16" s="14" t="s">
        <v>67</v>
      </c>
      <c r="H16" s="14">
        <v>4.5168E-2</v>
      </c>
      <c r="I16" s="14">
        <v>112</v>
      </c>
      <c r="J16" s="14">
        <v>29</v>
      </c>
      <c r="K16" s="14" t="s">
        <v>14</v>
      </c>
      <c r="L16" t="s">
        <v>575</v>
      </c>
    </row>
    <row r="17" spans="3:12" x14ac:dyDescent="0.25">
      <c r="C17" s="15">
        <v>5</v>
      </c>
      <c r="D17" s="14">
        <v>2</v>
      </c>
      <c r="E17" s="14">
        <v>10</v>
      </c>
      <c r="F17" s="14">
        <v>11</v>
      </c>
      <c r="G17" s="14" t="s">
        <v>67</v>
      </c>
      <c r="H17" s="14">
        <v>0.22478999999999999</v>
      </c>
      <c r="I17" s="14">
        <v>60</v>
      </c>
      <c r="J17" s="14">
        <v>18</v>
      </c>
      <c r="K17" s="14" t="s">
        <v>15</v>
      </c>
      <c r="L17" t="s">
        <v>575</v>
      </c>
    </row>
    <row r="18" spans="3:12" x14ac:dyDescent="0.25">
      <c r="C18" s="15">
        <v>6</v>
      </c>
      <c r="D18" s="14">
        <v>3</v>
      </c>
      <c r="E18" s="14">
        <v>12</v>
      </c>
      <c r="F18" s="14">
        <v>13</v>
      </c>
      <c r="G18" s="14" t="s">
        <v>62</v>
      </c>
      <c r="H18" s="14">
        <v>0.26673000000000002</v>
      </c>
      <c r="I18" s="14">
        <v>10</v>
      </c>
      <c r="J18" s="14">
        <v>4</v>
      </c>
      <c r="K18" s="14" t="s">
        <v>15</v>
      </c>
      <c r="L18" t="s">
        <v>575</v>
      </c>
    </row>
    <row r="19" spans="3:12" x14ac:dyDescent="0.25">
      <c r="C19" s="15">
        <v>7</v>
      </c>
      <c r="D19" s="14">
        <v>3</v>
      </c>
      <c r="E19" s="14">
        <v>14</v>
      </c>
      <c r="F19" s="14">
        <v>15</v>
      </c>
      <c r="G19" s="14" t="s">
        <v>65</v>
      </c>
      <c r="H19" s="14">
        <v>0.71191000000000004</v>
      </c>
      <c r="I19" s="14">
        <v>81</v>
      </c>
      <c r="J19" s="14">
        <v>15</v>
      </c>
      <c r="K19" s="14" t="s">
        <v>13</v>
      </c>
      <c r="L19" t="s">
        <v>575</v>
      </c>
    </row>
    <row r="20" spans="3:12" x14ac:dyDescent="0.25">
      <c r="C20" s="15">
        <v>8</v>
      </c>
      <c r="D20" s="14">
        <v>4</v>
      </c>
      <c r="E20" s="14" t="e">
        <f>NA()</f>
        <v>#N/A</v>
      </c>
      <c r="F20" s="14" t="e">
        <f>NA()</f>
        <v>#N/A</v>
      </c>
      <c r="G20" s="14" t="e">
        <f>NA()</f>
        <v>#N/A</v>
      </c>
      <c r="H20" s="14" t="e">
        <f>NA()</f>
        <v>#N/A</v>
      </c>
      <c r="I20" s="14">
        <v>4</v>
      </c>
      <c r="J20" s="14">
        <v>2</v>
      </c>
      <c r="K20" s="14" t="s">
        <v>15</v>
      </c>
      <c r="L20" t="s">
        <v>576</v>
      </c>
    </row>
    <row r="21" spans="3:12" x14ac:dyDescent="0.25">
      <c r="C21" s="15">
        <v>9</v>
      </c>
      <c r="D21" s="14">
        <v>4</v>
      </c>
      <c r="E21" s="14">
        <v>16</v>
      </c>
      <c r="F21" s="14">
        <v>17</v>
      </c>
      <c r="G21" s="14" t="s">
        <v>72</v>
      </c>
      <c r="H21" s="14">
        <v>0.08</v>
      </c>
      <c r="I21" s="14">
        <v>108</v>
      </c>
      <c r="J21" s="14">
        <v>27</v>
      </c>
      <c r="K21" s="14" t="s">
        <v>14</v>
      </c>
      <c r="L21" t="s">
        <v>575</v>
      </c>
    </row>
    <row r="22" spans="3:12" x14ac:dyDescent="0.25">
      <c r="C22" s="15">
        <v>10</v>
      </c>
      <c r="D22" s="14">
        <v>5</v>
      </c>
      <c r="E22" s="14" t="e">
        <f>NA()</f>
        <v>#N/A</v>
      </c>
      <c r="F22" s="14" t="e">
        <f>NA()</f>
        <v>#N/A</v>
      </c>
      <c r="G22" s="14" t="e">
        <f>NA()</f>
        <v>#N/A</v>
      </c>
      <c r="H22" s="14" t="e">
        <f>NA()</f>
        <v>#N/A</v>
      </c>
      <c r="I22" s="14">
        <v>55</v>
      </c>
      <c r="J22" s="14">
        <v>15</v>
      </c>
      <c r="K22" s="14" t="s">
        <v>15</v>
      </c>
      <c r="L22" t="s">
        <v>576</v>
      </c>
    </row>
    <row r="23" spans="3:12" x14ac:dyDescent="0.25">
      <c r="C23" s="15">
        <v>11</v>
      </c>
      <c r="D23" s="14">
        <v>5</v>
      </c>
      <c r="E23" s="14" t="e">
        <f>NA()</f>
        <v>#N/A</v>
      </c>
      <c r="F23" s="14" t="e">
        <f>NA()</f>
        <v>#N/A</v>
      </c>
      <c r="G23" s="14" t="e">
        <f>NA()</f>
        <v>#N/A</v>
      </c>
      <c r="H23" s="14" t="e">
        <f>NA()</f>
        <v>#N/A</v>
      </c>
      <c r="I23" s="14">
        <v>5</v>
      </c>
      <c r="J23" s="14">
        <v>3</v>
      </c>
      <c r="K23" s="14" t="s">
        <v>14</v>
      </c>
      <c r="L23" t="s">
        <v>576</v>
      </c>
    </row>
    <row r="24" spans="3:12" x14ac:dyDescent="0.25">
      <c r="C24" s="15">
        <v>12</v>
      </c>
      <c r="D24" s="14">
        <v>6</v>
      </c>
      <c r="E24" s="14" t="e">
        <f>NA()</f>
        <v>#N/A</v>
      </c>
      <c r="F24" s="14" t="e">
        <f>NA()</f>
        <v>#N/A</v>
      </c>
      <c r="G24" s="14" t="e">
        <f>NA()</f>
        <v>#N/A</v>
      </c>
      <c r="H24" s="14" t="e">
        <f>NA()</f>
        <v>#N/A</v>
      </c>
      <c r="I24" s="14">
        <v>2</v>
      </c>
      <c r="J24" s="14">
        <v>2</v>
      </c>
      <c r="K24" s="14" t="s">
        <v>14</v>
      </c>
      <c r="L24" t="s">
        <v>576</v>
      </c>
    </row>
    <row r="25" spans="3:12" x14ac:dyDescent="0.25">
      <c r="C25" s="15">
        <v>13</v>
      </c>
      <c r="D25" s="14">
        <v>6</v>
      </c>
      <c r="E25" s="14" t="e">
        <f>NA()</f>
        <v>#N/A</v>
      </c>
      <c r="F25" s="14" t="e">
        <f>NA()</f>
        <v>#N/A</v>
      </c>
      <c r="G25" s="14" t="e">
        <f>NA()</f>
        <v>#N/A</v>
      </c>
      <c r="H25" s="14" t="e">
        <f>NA()</f>
        <v>#N/A</v>
      </c>
      <c r="I25" s="14">
        <v>8</v>
      </c>
      <c r="J25" s="14">
        <v>2</v>
      </c>
      <c r="K25" s="14" t="s">
        <v>15</v>
      </c>
      <c r="L25" t="s">
        <v>576</v>
      </c>
    </row>
    <row r="26" spans="3:12" x14ac:dyDescent="0.25">
      <c r="C26" s="15">
        <v>14</v>
      </c>
      <c r="D26" s="14">
        <v>7</v>
      </c>
      <c r="E26" s="14" t="e">
        <f>NA()</f>
        <v>#N/A</v>
      </c>
      <c r="F26" s="14" t="e">
        <f>NA()</f>
        <v>#N/A</v>
      </c>
      <c r="G26" s="14" t="e">
        <f>NA()</f>
        <v>#N/A</v>
      </c>
      <c r="H26" s="14" t="e">
        <f>NA()</f>
        <v>#N/A</v>
      </c>
      <c r="I26" s="14">
        <v>78</v>
      </c>
      <c r="J26" s="14">
        <v>14</v>
      </c>
      <c r="K26" s="14" t="s">
        <v>13</v>
      </c>
      <c r="L26" t="s">
        <v>576</v>
      </c>
    </row>
    <row r="27" spans="3:12" x14ac:dyDescent="0.25">
      <c r="C27" s="15">
        <v>15</v>
      </c>
      <c r="D27" s="14">
        <v>7</v>
      </c>
      <c r="E27" s="14" t="e">
        <f>NA()</f>
        <v>#N/A</v>
      </c>
      <c r="F27" s="14" t="e">
        <f>NA()</f>
        <v>#N/A</v>
      </c>
      <c r="G27" s="14" t="e">
        <f>NA()</f>
        <v>#N/A</v>
      </c>
      <c r="H27" s="14" t="e">
        <f>NA()</f>
        <v>#N/A</v>
      </c>
      <c r="I27" s="14">
        <v>3</v>
      </c>
      <c r="J27" s="14">
        <v>1</v>
      </c>
      <c r="K27" s="14" t="s">
        <v>14</v>
      </c>
      <c r="L27" t="s">
        <v>576</v>
      </c>
    </row>
    <row r="28" spans="3:12" x14ac:dyDescent="0.25">
      <c r="C28" s="15">
        <v>16</v>
      </c>
      <c r="D28" s="14">
        <v>9</v>
      </c>
      <c r="E28" s="14" t="e">
        <f>NA()</f>
        <v>#N/A</v>
      </c>
      <c r="F28" s="14" t="e">
        <f>NA()</f>
        <v>#N/A</v>
      </c>
      <c r="G28" s="14" t="e">
        <f>NA()</f>
        <v>#N/A</v>
      </c>
      <c r="H28" s="14" t="e">
        <f>NA()</f>
        <v>#N/A</v>
      </c>
      <c r="I28" s="14">
        <v>1</v>
      </c>
      <c r="J28" s="14">
        <v>1</v>
      </c>
      <c r="K28" s="14" t="s">
        <v>15</v>
      </c>
      <c r="L28" t="s">
        <v>576</v>
      </c>
    </row>
    <row r="29" spans="3:12" x14ac:dyDescent="0.25">
      <c r="C29" s="15">
        <v>17</v>
      </c>
      <c r="D29" s="14">
        <v>9</v>
      </c>
      <c r="E29" s="14">
        <v>18</v>
      </c>
      <c r="F29" s="14">
        <v>19</v>
      </c>
      <c r="G29" s="14" t="s">
        <v>61</v>
      </c>
      <c r="H29" s="14">
        <v>0.56818000000000002</v>
      </c>
      <c r="I29" s="14">
        <v>107</v>
      </c>
      <c r="J29" s="14">
        <v>26</v>
      </c>
      <c r="K29" s="14" t="s">
        <v>14</v>
      </c>
      <c r="L29" t="s">
        <v>575</v>
      </c>
    </row>
    <row r="30" spans="3:12" x14ac:dyDescent="0.25">
      <c r="C30" s="15">
        <v>18</v>
      </c>
      <c r="D30" s="14">
        <v>17</v>
      </c>
      <c r="E30" s="14" t="e">
        <f>NA()</f>
        <v>#N/A</v>
      </c>
      <c r="F30" s="14" t="e">
        <f>NA()</f>
        <v>#N/A</v>
      </c>
      <c r="G30" s="14" t="e">
        <f>NA()</f>
        <v>#N/A</v>
      </c>
      <c r="H30" s="14" t="e">
        <f>NA()</f>
        <v>#N/A</v>
      </c>
      <c r="I30" s="14">
        <v>98</v>
      </c>
      <c r="J30" s="14">
        <v>22</v>
      </c>
      <c r="K30" s="14" t="s">
        <v>14</v>
      </c>
      <c r="L30" t="s">
        <v>576</v>
      </c>
    </row>
    <row r="31" spans="3:12" x14ac:dyDescent="0.25">
      <c r="C31" s="15">
        <v>19</v>
      </c>
      <c r="D31" s="14">
        <v>17</v>
      </c>
      <c r="E31" s="14">
        <v>20</v>
      </c>
      <c r="F31" s="14">
        <v>21</v>
      </c>
      <c r="G31" s="14" t="s">
        <v>70</v>
      </c>
      <c r="H31" s="14">
        <v>0.23765</v>
      </c>
      <c r="I31" s="14">
        <v>9</v>
      </c>
      <c r="J31" s="14">
        <v>4</v>
      </c>
      <c r="K31" s="14" t="s">
        <v>14</v>
      </c>
      <c r="L31" t="s">
        <v>575</v>
      </c>
    </row>
    <row r="32" spans="3:12" x14ac:dyDescent="0.25">
      <c r="C32" s="15">
        <v>20</v>
      </c>
      <c r="D32" s="14">
        <v>19</v>
      </c>
      <c r="E32" s="14" t="e">
        <f>NA()</f>
        <v>#N/A</v>
      </c>
      <c r="F32" s="14" t="e">
        <f>NA()</f>
        <v>#N/A</v>
      </c>
      <c r="G32" s="14" t="e">
        <f>NA()</f>
        <v>#N/A</v>
      </c>
      <c r="H32" s="14" t="e">
        <f>NA()</f>
        <v>#N/A</v>
      </c>
      <c r="I32" s="14">
        <v>6</v>
      </c>
      <c r="J32" s="14">
        <v>2</v>
      </c>
      <c r="K32" s="14" t="s">
        <v>14</v>
      </c>
      <c r="L32" t="s">
        <v>576</v>
      </c>
    </row>
    <row r="33" spans="3:12" x14ac:dyDescent="0.25">
      <c r="C33" s="15">
        <v>21</v>
      </c>
      <c r="D33" s="14">
        <v>19</v>
      </c>
      <c r="E33" s="14" t="e">
        <f>NA()</f>
        <v>#N/A</v>
      </c>
      <c r="F33" s="14" t="e">
        <f>NA()</f>
        <v>#N/A</v>
      </c>
      <c r="G33" s="14" t="e">
        <f>NA()</f>
        <v>#N/A</v>
      </c>
      <c r="H33" s="14" t="e">
        <f>NA()</f>
        <v>#N/A</v>
      </c>
      <c r="I33" s="14">
        <v>3</v>
      </c>
      <c r="J33" s="14">
        <v>2</v>
      </c>
      <c r="K33" s="14" t="s">
        <v>13</v>
      </c>
      <c r="L33" t="s">
        <v>576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3'!$B$10:$B$10" display="Best Pruned Tree Rules (Using Validation Data)" xr:uid="{B4387D3E-631A-4D04-BD96-D2F21FAF4CF2}"/>
    <hyperlink ref="D4" location="'CT_FullTree3'!$B$10:$B$10" display="Fully Grown Tree Rules (Using Training Data)" xr:uid="{3EB721F1-4FAC-4076-8563-648CFFD01D14}"/>
    <hyperlink ref="F4" location="'CT_MinErrorTree3'!$B$10:$B$10" display="Min Error Tree Rules (Using Validation Data)" xr:uid="{06C0A651-122B-48BA-BF7F-92AA98AD29A5}"/>
    <hyperlink ref="H4" location="'CT_Output3'!$B$10:$B$10" display="Inputs" xr:uid="{8575BD2E-506F-4841-9806-B50FE3793FF2}"/>
    <hyperlink ref="J4" location="'CT_Output3'!$B$68:$B$68" display="Feature Importance" xr:uid="{5114442B-6ED1-47EF-A465-6F6A2E0141E4}"/>
    <hyperlink ref="B5" location="'CT_Stored3'!$B$10:$B$10" display="PMML Model" xr:uid="{A4655C50-C919-468F-B33F-F063A75960AF}"/>
    <hyperlink ref="D5" location="'CT_TrainingScore3'!$B$10:$B$10" display="Training: Classification Summary" xr:uid="{419EEAB1-1DB6-4724-952C-0A0616B2EF05}"/>
    <hyperlink ref="F5" location="'CT_ValidationScore3'!$B$10:$B$10" display="Validation: Classification Summary" xr:uid="{C41CD552-E5E1-4044-AE62-83790E14AC98}"/>
  </hyperlink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5A4B1-5685-413F-8550-83DBA3DE5E26}">
  <dimension ref="B1:Q28"/>
  <sheetViews>
    <sheetView showGridLines="0" workbookViewId="0">
      <selection activeCell="F23" sqref="F23"/>
    </sheetView>
  </sheetViews>
  <sheetFormatPr defaultRowHeight="13.2" x14ac:dyDescent="0.25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4" max="14" width="24.33203125" bestFit="1" customWidth="1"/>
  </cols>
  <sheetData>
    <row r="1" spans="2:17" ht="18" x14ac:dyDescent="0.35">
      <c r="B1" s="12" t="s">
        <v>563</v>
      </c>
      <c r="N1" t="s">
        <v>711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307</v>
      </c>
      <c r="O5" s="16">
        <v>68</v>
      </c>
      <c r="P5" s="16">
        <v>8</v>
      </c>
      <c r="Q5" s="16">
        <v>383</v>
      </c>
    </row>
    <row r="10" spans="2:17" ht="18" x14ac:dyDescent="0.35">
      <c r="B10" s="13" t="s">
        <v>547</v>
      </c>
    </row>
    <row r="12" spans="2:17" ht="15.6" x14ac:dyDescent="0.3">
      <c r="C12" s="28" t="s">
        <v>550</v>
      </c>
      <c r="D12" s="28"/>
      <c r="E12" s="28"/>
      <c r="F12" s="28"/>
    </row>
    <row r="13" spans="2:17" x14ac:dyDescent="0.25">
      <c r="C13" s="15" t="s">
        <v>562</v>
      </c>
      <c r="D13" t="s">
        <v>13</v>
      </c>
      <c r="E13" t="s">
        <v>14</v>
      </c>
      <c r="F13" t="s">
        <v>15</v>
      </c>
    </row>
    <row r="14" spans="2:17" x14ac:dyDescent="0.25">
      <c r="C14" s="15" t="s">
        <v>13</v>
      </c>
      <c r="D14" s="14">
        <v>80</v>
      </c>
      <c r="E14" s="14">
        <v>0</v>
      </c>
      <c r="F14">
        <v>0</v>
      </c>
    </row>
    <row r="15" spans="2:17" x14ac:dyDescent="0.25">
      <c r="C15" s="15" t="s">
        <v>14</v>
      </c>
      <c r="D15" s="14">
        <v>0</v>
      </c>
      <c r="E15" s="14">
        <v>114</v>
      </c>
      <c r="F15">
        <v>0</v>
      </c>
    </row>
    <row r="16" spans="2:17" x14ac:dyDescent="0.25">
      <c r="C16" s="15" t="s">
        <v>15</v>
      </c>
      <c r="D16" s="14">
        <v>0</v>
      </c>
      <c r="E16" s="14">
        <v>0</v>
      </c>
      <c r="F16">
        <v>69</v>
      </c>
    </row>
    <row r="18" spans="3:6" ht="15.6" x14ac:dyDescent="0.3">
      <c r="C18" s="28" t="s">
        <v>551</v>
      </c>
      <c r="D18" s="28"/>
      <c r="E18" s="28"/>
      <c r="F18" s="28"/>
    </row>
    <row r="19" spans="3:6" x14ac:dyDescent="0.25">
      <c r="C19" t="s">
        <v>552</v>
      </c>
      <c r="D19" t="s">
        <v>558</v>
      </c>
      <c r="E19" t="s">
        <v>560</v>
      </c>
      <c r="F19" t="s">
        <v>561</v>
      </c>
    </row>
    <row r="20" spans="3:6" x14ac:dyDescent="0.25">
      <c r="C20" s="15" t="s">
        <v>13</v>
      </c>
      <c r="D20">
        <f>SUM($D$14:$F$14)</f>
        <v>80</v>
      </c>
      <c r="E20">
        <f>SUM($D$14:$F$14) - $D$14</f>
        <v>0</v>
      </c>
      <c r="F20">
        <f>IF($D$20=0,"Undefined",$E$20*100 / $D$20)</f>
        <v>0</v>
      </c>
    </row>
    <row r="21" spans="3:6" x14ac:dyDescent="0.25">
      <c r="C21" s="15" t="s">
        <v>14</v>
      </c>
      <c r="D21">
        <f>SUM($D$15:$F$15)</f>
        <v>114</v>
      </c>
      <c r="E21">
        <f>SUM($D$15:$F$15) - $E$15</f>
        <v>0</v>
      </c>
      <c r="F21">
        <f>IF($D$21=0,"Undefined",$E$21*100 / $D$21)</f>
        <v>0</v>
      </c>
    </row>
    <row r="22" spans="3:6" x14ac:dyDescent="0.25">
      <c r="C22" s="15" t="s">
        <v>15</v>
      </c>
      <c r="D22">
        <f>SUM($D$16:$F$16)</f>
        <v>69</v>
      </c>
      <c r="E22">
        <f>SUM($D$16:$F$16) - $F$16</f>
        <v>0</v>
      </c>
      <c r="F22">
        <f>IF($D$22=0,"Undefined",$E$22*100 / $D$22)</f>
        <v>0</v>
      </c>
    </row>
    <row r="23" spans="3:6" x14ac:dyDescent="0.25">
      <c r="C23" s="15" t="s">
        <v>553</v>
      </c>
      <c r="D23">
        <f>SUM($D$20:$D$22)</f>
        <v>263</v>
      </c>
      <c r="E23">
        <f>SUM($E$20:$E$22)</f>
        <v>0</v>
      </c>
      <c r="F23">
        <f>IF($D$23=0,"Undefined",$E$23*100 / $D$23)</f>
        <v>0</v>
      </c>
    </row>
    <row r="25" spans="3:6" ht="15.6" x14ac:dyDescent="0.3">
      <c r="C25" s="28" t="s">
        <v>554</v>
      </c>
      <c r="D25" s="28"/>
    </row>
    <row r="26" spans="3:6" x14ac:dyDescent="0.25">
      <c r="C26" t="s">
        <v>555</v>
      </c>
      <c r="D26" t="s">
        <v>559</v>
      </c>
    </row>
    <row r="27" spans="3:6" x14ac:dyDescent="0.25">
      <c r="C27" t="s">
        <v>556</v>
      </c>
      <c r="D27">
        <v>263</v>
      </c>
    </row>
    <row r="28" spans="3:6" x14ac:dyDescent="0.25">
      <c r="C28" t="s">
        <v>557</v>
      </c>
      <c r="D28">
        <v>100</v>
      </c>
    </row>
  </sheetData>
  <mergeCells count="15">
    <mergeCell ref="C12:F12"/>
    <mergeCell ref="C18:F18"/>
    <mergeCell ref="C25:D25"/>
    <mergeCell ref="B4:C4"/>
    <mergeCell ref="D4:E4"/>
    <mergeCell ref="F4:G4"/>
    <mergeCell ref="B3:K3"/>
    <mergeCell ref="N3:Q3"/>
    <mergeCell ref="H4:I4"/>
    <mergeCell ref="J4:K4"/>
    <mergeCell ref="B5:C5"/>
    <mergeCell ref="D5:E5"/>
    <mergeCell ref="F5:G5"/>
    <mergeCell ref="H5:I5"/>
    <mergeCell ref="J5:K5"/>
  </mergeCells>
  <hyperlinks>
    <hyperlink ref="B4" location="'CT_BestTree3'!$B$10:$B$10" display="Best Pruned Tree Rules (Using Validation Data)" xr:uid="{13F6E84C-360F-4A2C-847D-1A8827B3416B}"/>
    <hyperlink ref="D4" location="'CT_FullTree3'!$B$10:$B$10" display="Fully Grown Tree Rules (Using Training Data)" xr:uid="{4155F1E4-B198-4582-8A4B-5A3893E6F007}"/>
    <hyperlink ref="F4" location="'CT_MinErrorTree3'!$B$10:$B$10" display="Min Error Tree Rules (Using Validation Data)" xr:uid="{2F3731F9-B3D8-446F-9BA8-B89366BF06B0}"/>
    <hyperlink ref="H4" location="'CT_Output3'!$B$10:$B$10" display="Inputs" xr:uid="{166E86B3-1CDB-4078-BCF6-592031205CD7}"/>
    <hyperlink ref="J4" location="'CT_Output3'!$B$68:$B$68" display="Feature Importance" xr:uid="{19919A91-00CA-4117-891B-55055011EF4D}"/>
    <hyperlink ref="B5" location="'CT_Stored3'!$B$10:$B$10" display="PMML Model" xr:uid="{D4789C91-9686-4BE6-80C5-62BBA3B9C33A}"/>
    <hyperlink ref="D5" location="'CT_TrainingScore3'!$B$10:$B$10" display="Training: Classification Summary" xr:uid="{C9D817B7-CE32-47BE-B2B9-8E622B6C0EE9}"/>
    <hyperlink ref="F5" location="'CT_ValidationScore3'!$B$10:$B$10" display="Validation: Classification Summary" xr:uid="{FE844236-9D4C-4A90-82C8-5851CCA2B027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8DE4-3319-4FF7-9512-126C8F29490F}">
  <dimension ref="B1:Q28"/>
  <sheetViews>
    <sheetView showGridLines="0" topLeftCell="A9" workbookViewId="0">
      <selection activeCell="D28" sqref="D28"/>
    </sheetView>
  </sheetViews>
  <sheetFormatPr defaultRowHeight="13.2" x14ac:dyDescent="0.25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4" max="14" width="24.33203125" bestFit="1" customWidth="1"/>
  </cols>
  <sheetData>
    <row r="1" spans="2:17" ht="18" x14ac:dyDescent="0.35">
      <c r="B1" s="12" t="s">
        <v>549</v>
      </c>
      <c r="N1" t="s">
        <v>711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307</v>
      </c>
      <c r="O5" s="16">
        <v>68</v>
      </c>
      <c r="P5" s="16">
        <v>8</v>
      </c>
      <c r="Q5" s="16">
        <v>383</v>
      </c>
    </row>
    <row r="10" spans="2:17" ht="18" x14ac:dyDescent="0.35">
      <c r="B10" s="13" t="s">
        <v>548</v>
      </c>
    </row>
    <row r="12" spans="2:17" ht="15.6" x14ac:dyDescent="0.3">
      <c r="C12" s="28" t="s">
        <v>550</v>
      </c>
      <c r="D12" s="28"/>
      <c r="E12" s="28"/>
      <c r="F12" s="28"/>
    </row>
    <row r="13" spans="2:17" x14ac:dyDescent="0.25">
      <c r="C13" s="15" t="s">
        <v>562</v>
      </c>
      <c r="D13" t="s">
        <v>13</v>
      </c>
      <c r="E13" t="s">
        <v>14</v>
      </c>
      <c r="F13" t="s">
        <v>15</v>
      </c>
    </row>
    <row r="14" spans="2:17" x14ac:dyDescent="0.25">
      <c r="C14" s="15" t="s">
        <v>13</v>
      </c>
      <c r="D14" s="14">
        <v>15</v>
      </c>
      <c r="E14" s="14">
        <v>0</v>
      </c>
      <c r="F14">
        <v>0</v>
      </c>
    </row>
    <row r="15" spans="2:17" x14ac:dyDescent="0.25">
      <c r="C15" s="15" t="s">
        <v>14</v>
      </c>
      <c r="D15" s="14">
        <v>0</v>
      </c>
      <c r="E15" s="14">
        <v>28</v>
      </c>
      <c r="F15">
        <v>0</v>
      </c>
    </row>
    <row r="16" spans="2:17" x14ac:dyDescent="0.25">
      <c r="C16" s="15" t="s">
        <v>15</v>
      </c>
      <c r="D16" s="14">
        <v>0</v>
      </c>
      <c r="E16" s="14">
        <v>2</v>
      </c>
      <c r="F16">
        <v>21</v>
      </c>
    </row>
    <row r="18" spans="3:6" ht="15.6" x14ac:dyDescent="0.3">
      <c r="C18" s="28" t="s">
        <v>551</v>
      </c>
      <c r="D18" s="28"/>
      <c r="E18" s="28"/>
      <c r="F18" s="28"/>
    </row>
    <row r="19" spans="3:6" x14ac:dyDescent="0.25">
      <c r="C19" t="s">
        <v>552</v>
      </c>
      <c r="D19" t="s">
        <v>558</v>
      </c>
      <c r="E19" t="s">
        <v>560</v>
      </c>
      <c r="F19" t="s">
        <v>561</v>
      </c>
    </row>
    <row r="20" spans="3:6" x14ac:dyDescent="0.25">
      <c r="C20" s="15" t="s">
        <v>13</v>
      </c>
      <c r="D20">
        <f>SUM($D$14:$F$14)</f>
        <v>15</v>
      </c>
      <c r="E20">
        <f>SUM($D$14:$F$14) - $D$14</f>
        <v>0</v>
      </c>
      <c r="F20">
        <f>IF($D$20=0,"Undefined",$E$20*100 / $D$20)</f>
        <v>0</v>
      </c>
    </row>
    <row r="21" spans="3:6" x14ac:dyDescent="0.25">
      <c r="C21" s="15" t="s">
        <v>14</v>
      </c>
      <c r="D21">
        <f>SUM($D$15:$F$15)</f>
        <v>28</v>
      </c>
      <c r="E21">
        <f>SUM($D$15:$F$15) - $E$15</f>
        <v>0</v>
      </c>
      <c r="F21">
        <f>IF($D$21=0,"Undefined",$E$21*100 / $D$21)</f>
        <v>0</v>
      </c>
    </row>
    <row r="22" spans="3:6" x14ac:dyDescent="0.25">
      <c r="C22" s="15" t="s">
        <v>15</v>
      </c>
      <c r="D22">
        <f>SUM($D$16:$F$16)</f>
        <v>23</v>
      </c>
      <c r="E22">
        <f>SUM($D$16:$F$16) - $F$16</f>
        <v>2</v>
      </c>
      <c r="F22">
        <f>IF($D$22=0,"Undefined",$E$22*100 / $D$22)</f>
        <v>8.695652173913043</v>
      </c>
    </row>
    <row r="23" spans="3:6" x14ac:dyDescent="0.25">
      <c r="C23" s="15" t="s">
        <v>553</v>
      </c>
      <c r="D23">
        <f>SUM($D$20:$D$22)</f>
        <v>66</v>
      </c>
      <c r="E23">
        <f>SUM($E$20:$E$22)</f>
        <v>2</v>
      </c>
      <c r="F23">
        <f>IF($D$23=0,"Undefined",$E$23*100 / $D$23)</f>
        <v>3.0303030303030303</v>
      </c>
    </row>
    <row r="25" spans="3:6" ht="15.6" x14ac:dyDescent="0.3">
      <c r="C25" s="28" t="s">
        <v>554</v>
      </c>
      <c r="D25" s="28"/>
    </row>
    <row r="26" spans="3:6" x14ac:dyDescent="0.25">
      <c r="C26" t="s">
        <v>555</v>
      </c>
      <c r="D26" t="s">
        <v>559</v>
      </c>
    </row>
    <row r="27" spans="3:6" x14ac:dyDescent="0.25">
      <c r="C27" t="s">
        <v>556</v>
      </c>
      <c r="D27">
        <v>64</v>
      </c>
    </row>
    <row r="28" spans="3:6" x14ac:dyDescent="0.25">
      <c r="C28" t="s">
        <v>557</v>
      </c>
      <c r="D28">
        <v>96.969696969696955</v>
      </c>
    </row>
  </sheetData>
  <mergeCells count="15">
    <mergeCell ref="C12:F12"/>
    <mergeCell ref="C18:F18"/>
    <mergeCell ref="C25:D25"/>
    <mergeCell ref="B4:C4"/>
    <mergeCell ref="D4:E4"/>
    <mergeCell ref="F4:G4"/>
    <mergeCell ref="B3:K3"/>
    <mergeCell ref="N3:Q3"/>
    <mergeCell ref="H4:I4"/>
    <mergeCell ref="J4:K4"/>
    <mergeCell ref="B5:C5"/>
    <mergeCell ref="D5:E5"/>
    <mergeCell ref="F5:G5"/>
    <mergeCell ref="H5:I5"/>
    <mergeCell ref="J5:K5"/>
  </mergeCells>
  <hyperlinks>
    <hyperlink ref="B4" location="'CT_BestTree3'!$B$10:$B$10" display="Best Pruned Tree Rules (Using Validation Data)" xr:uid="{C5EB003E-63EE-4484-A599-171AFCA8AE2D}"/>
    <hyperlink ref="D4" location="'CT_FullTree3'!$B$10:$B$10" display="Fully Grown Tree Rules (Using Training Data)" xr:uid="{47ABCBE3-5DB5-44BC-911A-3861507CDF12}"/>
    <hyperlink ref="F4" location="'CT_MinErrorTree3'!$B$10:$B$10" display="Min Error Tree Rules (Using Validation Data)" xr:uid="{F834DA6F-AB7B-4719-AE70-0DEE3B0CB484}"/>
    <hyperlink ref="H4" location="'CT_Output3'!$B$10:$B$10" display="Inputs" xr:uid="{0DAFDD64-7F95-410A-8E61-B10C112442A0}"/>
    <hyperlink ref="J4" location="'CT_Output3'!$B$68:$B$68" display="Feature Importance" xr:uid="{905894A3-0E0C-4848-83EE-D97EB8F67F5B}"/>
    <hyperlink ref="B5" location="'CT_Stored3'!$B$10:$B$10" display="PMML Model" xr:uid="{920B6D23-D6F5-4471-A967-68E5E923C85A}"/>
    <hyperlink ref="D5" location="'CT_TrainingScore3'!$B$10:$B$10" display="Training: Classification Summary" xr:uid="{329D1B49-A0A4-4109-8E07-A6C49F9D2B67}"/>
    <hyperlink ref="F5" location="'CT_ValidationScore3'!$B$10:$B$10" display="Validation: Classification Summary" xr:uid="{94020EA4-0EFA-4D7B-A51C-EC94D853AB52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091A6-CDE1-451E-9FBF-7998FD13BE9A}">
  <dimension ref="B1:Q250"/>
  <sheetViews>
    <sheetView showGridLines="0" workbookViewId="0"/>
  </sheetViews>
  <sheetFormatPr defaultRowHeight="13.2" x14ac:dyDescent="0.25"/>
  <cols>
    <col min="14" max="14" width="24.33203125" bestFit="1" customWidth="1"/>
  </cols>
  <sheetData>
    <row r="1" spans="2:17" ht="18" x14ac:dyDescent="0.35">
      <c r="B1" s="12" t="s">
        <v>420</v>
      </c>
      <c r="N1" t="s">
        <v>711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307</v>
      </c>
      <c r="O5" s="16">
        <v>68</v>
      </c>
      <c r="P5" s="16">
        <v>8</v>
      </c>
      <c r="Q5" s="16">
        <v>383</v>
      </c>
    </row>
    <row r="10" spans="2:17" ht="18" x14ac:dyDescent="0.35">
      <c r="B10" s="13" t="s">
        <v>421</v>
      </c>
    </row>
    <row r="12" spans="2:17" x14ac:dyDescent="0.25">
      <c r="B12" t="s">
        <v>422</v>
      </c>
    </row>
    <row r="13" spans="2:17" x14ac:dyDescent="0.25">
      <c r="B13" t="s">
        <v>423</v>
      </c>
    </row>
    <row r="14" spans="2:17" x14ac:dyDescent="0.25">
      <c r="B14" t="s">
        <v>424</v>
      </c>
    </row>
    <row r="15" spans="2:17" x14ac:dyDescent="0.25">
      <c r="B15" t="s">
        <v>425</v>
      </c>
    </row>
    <row r="16" spans="2:17" x14ac:dyDescent="0.25">
      <c r="B16" t="s">
        <v>710</v>
      </c>
    </row>
    <row r="17" spans="2:2" x14ac:dyDescent="0.25">
      <c r="B17" t="s">
        <v>426</v>
      </c>
    </row>
    <row r="18" spans="2:2" x14ac:dyDescent="0.25">
      <c r="B18" t="s">
        <v>427</v>
      </c>
    </row>
    <row r="19" spans="2:2" x14ac:dyDescent="0.25">
      <c r="B19" t="s">
        <v>428</v>
      </c>
    </row>
    <row r="20" spans="2:2" x14ac:dyDescent="0.25">
      <c r="B20" t="s">
        <v>429</v>
      </c>
    </row>
    <row r="21" spans="2:2" x14ac:dyDescent="0.25">
      <c r="B21" t="s">
        <v>430</v>
      </c>
    </row>
    <row r="22" spans="2:2" x14ac:dyDescent="0.25">
      <c r="B22" t="s">
        <v>431</v>
      </c>
    </row>
    <row r="23" spans="2:2" x14ac:dyDescent="0.25">
      <c r="B23" t="s">
        <v>432</v>
      </c>
    </row>
    <row r="24" spans="2:2" x14ac:dyDescent="0.25">
      <c r="B24" t="s">
        <v>433</v>
      </c>
    </row>
    <row r="25" spans="2:2" x14ac:dyDescent="0.25">
      <c r="B25" t="s">
        <v>434</v>
      </c>
    </row>
    <row r="26" spans="2:2" x14ac:dyDescent="0.25">
      <c r="B26" t="s">
        <v>435</v>
      </c>
    </row>
    <row r="27" spans="2:2" x14ac:dyDescent="0.25">
      <c r="B27" t="s">
        <v>436</v>
      </c>
    </row>
    <row r="28" spans="2:2" x14ac:dyDescent="0.25">
      <c r="B28" t="s">
        <v>437</v>
      </c>
    </row>
    <row r="29" spans="2:2" x14ac:dyDescent="0.25">
      <c r="B29" t="s">
        <v>438</v>
      </c>
    </row>
    <row r="30" spans="2:2" x14ac:dyDescent="0.25">
      <c r="B30" t="s">
        <v>439</v>
      </c>
    </row>
    <row r="31" spans="2:2" x14ac:dyDescent="0.25">
      <c r="B31" t="s">
        <v>440</v>
      </c>
    </row>
    <row r="32" spans="2:2" x14ac:dyDescent="0.25">
      <c r="B32" t="s">
        <v>441</v>
      </c>
    </row>
    <row r="33" spans="2:2" x14ac:dyDescent="0.25">
      <c r="B33" t="s">
        <v>442</v>
      </c>
    </row>
    <row r="34" spans="2:2" x14ac:dyDescent="0.25">
      <c r="B34" t="s">
        <v>443</v>
      </c>
    </row>
    <row r="35" spans="2:2" x14ac:dyDescent="0.25">
      <c r="B35" t="s">
        <v>444</v>
      </c>
    </row>
    <row r="36" spans="2:2" x14ac:dyDescent="0.25">
      <c r="B36" t="s">
        <v>445</v>
      </c>
    </row>
    <row r="37" spans="2:2" x14ac:dyDescent="0.25">
      <c r="B37" t="s">
        <v>446</v>
      </c>
    </row>
    <row r="38" spans="2:2" x14ac:dyDescent="0.25">
      <c r="B38" t="s">
        <v>447</v>
      </c>
    </row>
    <row r="39" spans="2:2" x14ac:dyDescent="0.25">
      <c r="B39" t="s">
        <v>448</v>
      </c>
    </row>
    <row r="40" spans="2:2" x14ac:dyDescent="0.25">
      <c r="B40" t="s">
        <v>449</v>
      </c>
    </row>
    <row r="41" spans="2:2" x14ac:dyDescent="0.25">
      <c r="B41" t="s">
        <v>712</v>
      </c>
    </row>
    <row r="42" spans="2:2" x14ac:dyDescent="0.25">
      <c r="B42" t="s">
        <v>713</v>
      </c>
    </row>
    <row r="43" spans="2:2" x14ac:dyDescent="0.25">
      <c r="B43" t="s">
        <v>714</v>
      </c>
    </row>
    <row r="44" spans="2:2" x14ac:dyDescent="0.25">
      <c r="B44" t="s">
        <v>715</v>
      </c>
    </row>
    <row r="45" spans="2:2" x14ac:dyDescent="0.25">
      <c r="B45" t="s">
        <v>454</v>
      </c>
    </row>
    <row r="46" spans="2:2" x14ac:dyDescent="0.25">
      <c r="B46" t="s">
        <v>455</v>
      </c>
    </row>
    <row r="47" spans="2:2" x14ac:dyDescent="0.25">
      <c r="B47" t="s">
        <v>450</v>
      </c>
    </row>
    <row r="48" spans="2:2" x14ac:dyDescent="0.25">
      <c r="B48" t="s">
        <v>451</v>
      </c>
    </row>
    <row r="49" spans="2:2" x14ac:dyDescent="0.25">
      <c r="B49" t="s">
        <v>452</v>
      </c>
    </row>
    <row r="50" spans="2:2" x14ac:dyDescent="0.25">
      <c r="B50" t="s">
        <v>673</v>
      </c>
    </row>
    <row r="51" spans="2:2" x14ac:dyDescent="0.25">
      <c r="B51" t="s">
        <v>454</v>
      </c>
    </row>
    <row r="52" spans="2:2" x14ac:dyDescent="0.25">
      <c r="B52" t="s">
        <v>455</v>
      </c>
    </row>
    <row r="53" spans="2:2" x14ac:dyDescent="0.25">
      <c r="B53" t="s">
        <v>623</v>
      </c>
    </row>
    <row r="54" spans="2:2" x14ac:dyDescent="0.25">
      <c r="B54" t="s">
        <v>624</v>
      </c>
    </row>
    <row r="55" spans="2:2" x14ac:dyDescent="0.25">
      <c r="B55" t="s">
        <v>625</v>
      </c>
    </row>
    <row r="56" spans="2:2" x14ac:dyDescent="0.25">
      <c r="B56" t="s">
        <v>626</v>
      </c>
    </row>
    <row r="57" spans="2:2" x14ac:dyDescent="0.25">
      <c r="B57" t="s">
        <v>454</v>
      </c>
    </row>
    <row r="58" spans="2:2" x14ac:dyDescent="0.25">
      <c r="B58" t="s">
        <v>455</v>
      </c>
    </row>
    <row r="59" spans="2:2" x14ac:dyDescent="0.25">
      <c r="B59" t="s">
        <v>716</v>
      </c>
    </row>
    <row r="60" spans="2:2" x14ac:dyDescent="0.25">
      <c r="B60" t="s">
        <v>717</v>
      </c>
    </row>
    <row r="61" spans="2:2" x14ac:dyDescent="0.25">
      <c r="B61" t="s">
        <v>718</v>
      </c>
    </row>
    <row r="62" spans="2:2" x14ac:dyDescent="0.25">
      <c r="B62" t="s">
        <v>719</v>
      </c>
    </row>
    <row r="63" spans="2:2" x14ac:dyDescent="0.25">
      <c r="B63" t="s">
        <v>454</v>
      </c>
    </row>
    <row r="64" spans="2:2" x14ac:dyDescent="0.25">
      <c r="B64" t="s">
        <v>455</v>
      </c>
    </row>
    <row r="65" spans="2:2" x14ac:dyDescent="0.25">
      <c r="B65" t="s">
        <v>456</v>
      </c>
    </row>
    <row r="66" spans="2:2" x14ac:dyDescent="0.25">
      <c r="B66" t="s">
        <v>457</v>
      </c>
    </row>
    <row r="67" spans="2:2" x14ac:dyDescent="0.25">
      <c r="B67" t="s">
        <v>458</v>
      </c>
    </row>
    <row r="68" spans="2:2" x14ac:dyDescent="0.25">
      <c r="B68" t="s">
        <v>459</v>
      </c>
    </row>
    <row r="69" spans="2:2" x14ac:dyDescent="0.25">
      <c r="B69" t="s">
        <v>454</v>
      </c>
    </row>
    <row r="70" spans="2:2" x14ac:dyDescent="0.25">
      <c r="B70" t="s">
        <v>455</v>
      </c>
    </row>
    <row r="71" spans="2:2" x14ac:dyDescent="0.25">
      <c r="B71" t="s">
        <v>627</v>
      </c>
    </row>
    <row r="72" spans="2:2" x14ac:dyDescent="0.25">
      <c r="B72" t="s">
        <v>628</v>
      </c>
    </row>
    <row r="73" spans="2:2" x14ac:dyDescent="0.25">
      <c r="B73" t="s">
        <v>629</v>
      </c>
    </row>
    <row r="74" spans="2:2" x14ac:dyDescent="0.25">
      <c r="B74" t="s">
        <v>630</v>
      </c>
    </row>
    <row r="75" spans="2:2" x14ac:dyDescent="0.25">
      <c r="B75" t="s">
        <v>454</v>
      </c>
    </row>
    <row r="76" spans="2:2" x14ac:dyDescent="0.25">
      <c r="B76" t="s">
        <v>455</v>
      </c>
    </row>
    <row r="77" spans="2:2" x14ac:dyDescent="0.25">
      <c r="B77" t="s">
        <v>464</v>
      </c>
    </row>
    <row r="78" spans="2:2" x14ac:dyDescent="0.25">
      <c r="B78" t="s">
        <v>465</v>
      </c>
    </row>
    <row r="79" spans="2:2" x14ac:dyDescent="0.25">
      <c r="B79" t="s">
        <v>466</v>
      </c>
    </row>
    <row r="80" spans="2:2" x14ac:dyDescent="0.25">
      <c r="B80" t="s">
        <v>467</v>
      </c>
    </row>
    <row r="81" spans="2:2" x14ac:dyDescent="0.25">
      <c r="B81" t="s">
        <v>454</v>
      </c>
    </row>
    <row r="82" spans="2:2" x14ac:dyDescent="0.25">
      <c r="B82" t="s">
        <v>455</v>
      </c>
    </row>
    <row r="83" spans="2:2" x14ac:dyDescent="0.25">
      <c r="B83" t="s">
        <v>468</v>
      </c>
    </row>
    <row r="84" spans="2:2" x14ac:dyDescent="0.25">
      <c r="B84" t="s">
        <v>469</v>
      </c>
    </row>
    <row r="85" spans="2:2" x14ac:dyDescent="0.25">
      <c r="B85" t="s">
        <v>470</v>
      </c>
    </row>
    <row r="86" spans="2:2" x14ac:dyDescent="0.25">
      <c r="B86" t="s">
        <v>720</v>
      </c>
    </row>
    <row r="87" spans="2:2" x14ac:dyDescent="0.25">
      <c r="B87" t="s">
        <v>454</v>
      </c>
    </row>
    <row r="88" spans="2:2" x14ac:dyDescent="0.25">
      <c r="B88" t="s">
        <v>455</v>
      </c>
    </row>
    <row r="89" spans="2:2" x14ac:dyDescent="0.25">
      <c r="B89" t="s">
        <v>472</v>
      </c>
    </row>
    <row r="90" spans="2:2" x14ac:dyDescent="0.25">
      <c r="B90" t="s">
        <v>473</v>
      </c>
    </row>
    <row r="91" spans="2:2" x14ac:dyDescent="0.25">
      <c r="B91" t="s">
        <v>474</v>
      </c>
    </row>
    <row r="92" spans="2:2" x14ac:dyDescent="0.25">
      <c r="B92" t="s">
        <v>721</v>
      </c>
    </row>
    <row r="93" spans="2:2" x14ac:dyDescent="0.25">
      <c r="B93" t="s">
        <v>475</v>
      </c>
    </row>
    <row r="94" spans="2:2" x14ac:dyDescent="0.25">
      <c r="B94" t="s">
        <v>631</v>
      </c>
    </row>
    <row r="95" spans="2:2" x14ac:dyDescent="0.25">
      <c r="B95" t="s">
        <v>722</v>
      </c>
    </row>
    <row r="96" spans="2:2" x14ac:dyDescent="0.25">
      <c r="B96" t="s">
        <v>476</v>
      </c>
    </row>
    <row r="97" spans="2:2" x14ac:dyDescent="0.25">
      <c r="B97" t="s">
        <v>632</v>
      </c>
    </row>
    <row r="98" spans="2:2" x14ac:dyDescent="0.25">
      <c r="B98" t="s">
        <v>478</v>
      </c>
    </row>
    <row r="99" spans="2:2" x14ac:dyDescent="0.25">
      <c r="B99" t="s">
        <v>479</v>
      </c>
    </row>
    <row r="100" spans="2:2" x14ac:dyDescent="0.25">
      <c r="B100" t="s">
        <v>480</v>
      </c>
    </row>
    <row r="101" spans="2:2" x14ac:dyDescent="0.25">
      <c r="B101" t="s">
        <v>481</v>
      </c>
    </row>
    <row r="102" spans="2:2" x14ac:dyDescent="0.25">
      <c r="B102" t="s">
        <v>482</v>
      </c>
    </row>
    <row r="103" spans="2:2" x14ac:dyDescent="0.25">
      <c r="B103" t="s">
        <v>483</v>
      </c>
    </row>
    <row r="104" spans="2:2" x14ac:dyDescent="0.25">
      <c r="B104" t="s">
        <v>484</v>
      </c>
    </row>
    <row r="105" spans="2:2" x14ac:dyDescent="0.25">
      <c r="B105" t="s">
        <v>485</v>
      </c>
    </row>
    <row r="106" spans="2:2" x14ac:dyDescent="0.25">
      <c r="B106" t="s">
        <v>723</v>
      </c>
    </row>
    <row r="107" spans="2:2" x14ac:dyDescent="0.25">
      <c r="B107" t="s">
        <v>724</v>
      </c>
    </row>
    <row r="108" spans="2:2" x14ac:dyDescent="0.25">
      <c r="B108" t="s">
        <v>725</v>
      </c>
    </row>
    <row r="109" spans="2:2" x14ac:dyDescent="0.25">
      <c r="B109" t="s">
        <v>489</v>
      </c>
    </row>
    <row r="110" spans="2:2" x14ac:dyDescent="0.25">
      <c r="B110" t="s">
        <v>490</v>
      </c>
    </row>
    <row r="111" spans="2:2" x14ac:dyDescent="0.25">
      <c r="B111" t="s">
        <v>726</v>
      </c>
    </row>
    <row r="112" spans="2:2" x14ac:dyDescent="0.25">
      <c r="B112" t="s">
        <v>492</v>
      </c>
    </row>
    <row r="113" spans="2:2" x14ac:dyDescent="0.25">
      <c r="B113" t="s">
        <v>727</v>
      </c>
    </row>
    <row r="114" spans="2:2" x14ac:dyDescent="0.25">
      <c r="B114" t="s">
        <v>728</v>
      </c>
    </row>
    <row r="115" spans="2:2" x14ac:dyDescent="0.25">
      <c r="B115" t="s">
        <v>729</v>
      </c>
    </row>
    <row r="116" spans="2:2" x14ac:dyDescent="0.25">
      <c r="B116" t="s">
        <v>730</v>
      </c>
    </row>
    <row r="117" spans="2:2" x14ac:dyDescent="0.25">
      <c r="B117" t="s">
        <v>731</v>
      </c>
    </row>
    <row r="118" spans="2:2" x14ac:dyDescent="0.25">
      <c r="B118" t="s">
        <v>732</v>
      </c>
    </row>
    <row r="119" spans="2:2" x14ac:dyDescent="0.25">
      <c r="B119" t="s">
        <v>733</v>
      </c>
    </row>
    <row r="120" spans="2:2" x14ac:dyDescent="0.25">
      <c r="B120" t="s">
        <v>734</v>
      </c>
    </row>
    <row r="121" spans="2:2" x14ac:dyDescent="0.25">
      <c r="B121" t="s">
        <v>735</v>
      </c>
    </row>
    <row r="122" spans="2:2" x14ac:dyDescent="0.25">
      <c r="B122" t="s">
        <v>736</v>
      </c>
    </row>
    <row r="123" spans="2:2" x14ac:dyDescent="0.25">
      <c r="B123" t="s">
        <v>732</v>
      </c>
    </row>
    <row r="124" spans="2:2" x14ac:dyDescent="0.25">
      <c r="B124" t="s">
        <v>682</v>
      </c>
    </row>
    <row r="125" spans="2:2" x14ac:dyDescent="0.25">
      <c r="B125" t="s">
        <v>531</v>
      </c>
    </row>
    <row r="126" spans="2:2" x14ac:dyDescent="0.25">
      <c r="B126" t="s">
        <v>737</v>
      </c>
    </row>
    <row r="127" spans="2:2" x14ac:dyDescent="0.25">
      <c r="B127" t="s">
        <v>738</v>
      </c>
    </row>
    <row r="128" spans="2:2" x14ac:dyDescent="0.25">
      <c r="B128" t="s">
        <v>503</v>
      </c>
    </row>
    <row r="129" spans="2:2" x14ac:dyDescent="0.25">
      <c r="B129" t="s">
        <v>511</v>
      </c>
    </row>
    <row r="130" spans="2:2" x14ac:dyDescent="0.25">
      <c r="B130" t="s">
        <v>739</v>
      </c>
    </row>
    <row r="131" spans="2:2" x14ac:dyDescent="0.25">
      <c r="B131" t="s">
        <v>512</v>
      </c>
    </row>
    <row r="132" spans="2:2" x14ac:dyDescent="0.25">
      <c r="B132" t="s">
        <v>740</v>
      </c>
    </row>
    <row r="133" spans="2:2" x14ac:dyDescent="0.25">
      <c r="B133" t="s">
        <v>741</v>
      </c>
    </row>
    <row r="134" spans="2:2" x14ac:dyDescent="0.25">
      <c r="B134" t="s">
        <v>732</v>
      </c>
    </row>
    <row r="135" spans="2:2" x14ac:dyDescent="0.25">
      <c r="B135" t="s">
        <v>682</v>
      </c>
    </row>
    <row r="136" spans="2:2" x14ac:dyDescent="0.25">
      <c r="B136" t="s">
        <v>522</v>
      </c>
    </row>
    <row r="137" spans="2:2" x14ac:dyDescent="0.25">
      <c r="B137" t="s">
        <v>742</v>
      </c>
    </row>
    <row r="138" spans="2:2" x14ac:dyDescent="0.25">
      <c r="B138" t="s">
        <v>743</v>
      </c>
    </row>
    <row r="139" spans="2:2" x14ac:dyDescent="0.25">
      <c r="B139" t="s">
        <v>503</v>
      </c>
    </row>
    <row r="140" spans="2:2" x14ac:dyDescent="0.25">
      <c r="B140" t="s">
        <v>511</v>
      </c>
    </row>
    <row r="141" spans="2:2" x14ac:dyDescent="0.25">
      <c r="B141" t="s">
        <v>654</v>
      </c>
    </row>
    <row r="142" spans="2:2" x14ac:dyDescent="0.25">
      <c r="B142" t="s">
        <v>512</v>
      </c>
    </row>
    <row r="143" spans="2:2" x14ac:dyDescent="0.25">
      <c r="B143" t="s">
        <v>744</v>
      </c>
    </row>
    <row r="144" spans="2:2" x14ac:dyDescent="0.25">
      <c r="B144" t="s">
        <v>745</v>
      </c>
    </row>
    <row r="145" spans="2:2" x14ac:dyDescent="0.25">
      <c r="B145" t="s">
        <v>732</v>
      </c>
    </row>
    <row r="146" spans="2:2" x14ac:dyDescent="0.25">
      <c r="B146" t="s">
        <v>682</v>
      </c>
    </row>
    <row r="147" spans="2:2" x14ac:dyDescent="0.25">
      <c r="B147" t="s">
        <v>654</v>
      </c>
    </row>
    <row r="148" spans="2:2" x14ac:dyDescent="0.25">
      <c r="B148" t="s">
        <v>746</v>
      </c>
    </row>
    <row r="149" spans="2:2" x14ac:dyDescent="0.25">
      <c r="B149" t="s">
        <v>747</v>
      </c>
    </row>
    <row r="150" spans="2:2" x14ac:dyDescent="0.25">
      <c r="B150" t="s">
        <v>503</v>
      </c>
    </row>
    <row r="151" spans="2:2" x14ac:dyDescent="0.25">
      <c r="B151" t="s">
        <v>748</v>
      </c>
    </row>
    <row r="152" spans="2:2" x14ac:dyDescent="0.25">
      <c r="B152" t="s">
        <v>515</v>
      </c>
    </row>
    <row r="153" spans="2:2" x14ac:dyDescent="0.25">
      <c r="B153" t="s">
        <v>512</v>
      </c>
    </row>
    <row r="154" spans="2:2" x14ac:dyDescent="0.25">
      <c r="B154" t="s">
        <v>749</v>
      </c>
    </row>
    <row r="155" spans="2:2" x14ac:dyDescent="0.25">
      <c r="B155" t="s">
        <v>750</v>
      </c>
    </row>
    <row r="156" spans="2:2" x14ac:dyDescent="0.25">
      <c r="B156" t="s">
        <v>732</v>
      </c>
    </row>
    <row r="157" spans="2:2" x14ac:dyDescent="0.25">
      <c r="B157" t="s">
        <v>518</v>
      </c>
    </row>
    <row r="158" spans="2:2" x14ac:dyDescent="0.25">
      <c r="B158" t="s">
        <v>654</v>
      </c>
    </row>
    <row r="159" spans="2:2" x14ac:dyDescent="0.25">
      <c r="B159" t="s">
        <v>751</v>
      </c>
    </row>
    <row r="160" spans="2:2" x14ac:dyDescent="0.25">
      <c r="B160" t="s">
        <v>752</v>
      </c>
    </row>
    <row r="161" spans="2:2" x14ac:dyDescent="0.25">
      <c r="B161" t="s">
        <v>503</v>
      </c>
    </row>
    <row r="162" spans="2:2" x14ac:dyDescent="0.25">
      <c r="B162" t="s">
        <v>518</v>
      </c>
    </row>
    <row r="163" spans="2:2" x14ac:dyDescent="0.25">
      <c r="B163" t="s">
        <v>515</v>
      </c>
    </row>
    <row r="164" spans="2:2" x14ac:dyDescent="0.25">
      <c r="B164" t="s">
        <v>512</v>
      </c>
    </row>
    <row r="165" spans="2:2" x14ac:dyDescent="0.25">
      <c r="B165" t="s">
        <v>753</v>
      </c>
    </row>
    <row r="166" spans="2:2" x14ac:dyDescent="0.25">
      <c r="B166" t="s">
        <v>754</v>
      </c>
    </row>
    <row r="167" spans="2:2" x14ac:dyDescent="0.25">
      <c r="B167" t="s">
        <v>732</v>
      </c>
    </row>
    <row r="168" spans="2:2" x14ac:dyDescent="0.25">
      <c r="B168" t="s">
        <v>511</v>
      </c>
    </row>
    <row r="169" spans="2:2" x14ac:dyDescent="0.25">
      <c r="B169" t="s">
        <v>654</v>
      </c>
    </row>
    <row r="170" spans="2:2" x14ac:dyDescent="0.25">
      <c r="B170" t="s">
        <v>755</v>
      </c>
    </row>
    <row r="171" spans="2:2" x14ac:dyDescent="0.25">
      <c r="B171" t="s">
        <v>756</v>
      </c>
    </row>
    <row r="172" spans="2:2" x14ac:dyDescent="0.25">
      <c r="B172" t="s">
        <v>503</v>
      </c>
    </row>
    <row r="173" spans="2:2" x14ac:dyDescent="0.25">
      <c r="B173" t="s">
        <v>511</v>
      </c>
    </row>
    <row r="174" spans="2:2" x14ac:dyDescent="0.25">
      <c r="B174" t="s">
        <v>654</v>
      </c>
    </row>
    <row r="175" spans="2:2" x14ac:dyDescent="0.25">
      <c r="B175" t="s">
        <v>512</v>
      </c>
    </row>
    <row r="176" spans="2:2" x14ac:dyDescent="0.25">
      <c r="B176" t="s">
        <v>757</v>
      </c>
    </row>
    <row r="177" spans="2:2" x14ac:dyDescent="0.25">
      <c r="B177" t="s">
        <v>758</v>
      </c>
    </row>
    <row r="178" spans="2:2" x14ac:dyDescent="0.25">
      <c r="B178" t="s">
        <v>732</v>
      </c>
    </row>
    <row r="179" spans="2:2" x14ac:dyDescent="0.25">
      <c r="B179" t="s">
        <v>511</v>
      </c>
    </row>
    <row r="180" spans="2:2" x14ac:dyDescent="0.25">
      <c r="B180" t="s">
        <v>515</v>
      </c>
    </row>
    <row r="181" spans="2:2" x14ac:dyDescent="0.25">
      <c r="B181" t="s">
        <v>512</v>
      </c>
    </row>
    <row r="182" spans="2:2" x14ac:dyDescent="0.25">
      <c r="B182" t="s">
        <v>512</v>
      </c>
    </row>
    <row r="183" spans="2:2" x14ac:dyDescent="0.25">
      <c r="B183" t="s">
        <v>512</v>
      </c>
    </row>
    <row r="184" spans="2:2" x14ac:dyDescent="0.25">
      <c r="B184" t="s">
        <v>512</v>
      </c>
    </row>
    <row r="185" spans="2:2" x14ac:dyDescent="0.25">
      <c r="B185" t="s">
        <v>512</v>
      </c>
    </row>
    <row r="186" spans="2:2" x14ac:dyDescent="0.25">
      <c r="B186" t="s">
        <v>512</v>
      </c>
    </row>
    <row r="187" spans="2:2" x14ac:dyDescent="0.25">
      <c r="B187" t="s">
        <v>759</v>
      </c>
    </row>
    <row r="188" spans="2:2" x14ac:dyDescent="0.25">
      <c r="B188" t="s">
        <v>760</v>
      </c>
    </row>
    <row r="189" spans="2:2" x14ac:dyDescent="0.25">
      <c r="B189" t="s">
        <v>503</v>
      </c>
    </row>
    <row r="190" spans="2:2" x14ac:dyDescent="0.25">
      <c r="B190" t="s">
        <v>686</v>
      </c>
    </row>
    <row r="191" spans="2:2" x14ac:dyDescent="0.25">
      <c r="B191" t="s">
        <v>761</v>
      </c>
    </row>
    <row r="192" spans="2:2" x14ac:dyDescent="0.25">
      <c r="B192" t="s">
        <v>762</v>
      </c>
    </row>
    <row r="193" spans="2:2" x14ac:dyDescent="0.25">
      <c r="B193" t="s">
        <v>763</v>
      </c>
    </row>
    <row r="194" spans="2:2" x14ac:dyDescent="0.25">
      <c r="B194" t="s">
        <v>503</v>
      </c>
    </row>
    <row r="195" spans="2:2" x14ac:dyDescent="0.25">
      <c r="B195" t="s">
        <v>511</v>
      </c>
    </row>
    <row r="196" spans="2:2" x14ac:dyDescent="0.25">
      <c r="B196" t="s">
        <v>761</v>
      </c>
    </row>
    <row r="197" spans="2:2" x14ac:dyDescent="0.25">
      <c r="B197" t="s">
        <v>512</v>
      </c>
    </row>
    <row r="198" spans="2:2" x14ac:dyDescent="0.25">
      <c r="B198" t="s">
        <v>764</v>
      </c>
    </row>
    <row r="199" spans="2:2" x14ac:dyDescent="0.25">
      <c r="B199" t="s">
        <v>765</v>
      </c>
    </row>
    <row r="200" spans="2:2" x14ac:dyDescent="0.25">
      <c r="B200" t="s">
        <v>503</v>
      </c>
    </row>
    <row r="201" spans="2:2" x14ac:dyDescent="0.25">
      <c r="B201" t="s">
        <v>686</v>
      </c>
    </row>
    <row r="202" spans="2:2" x14ac:dyDescent="0.25">
      <c r="B202" t="s">
        <v>515</v>
      </c>
    </row>
    <row r="203" spans="2:2" x14ac:dyDescent="0.25">
      <c r="B203" t="s">
        <v>512</v>
      </c>
    </row>
    <row r="204" spans="2:2" x14ac:dyDescent="0.25">
      <c r="B204" t="s">
        <v>512</v>
      </c>
    </row>
    <row r="205" spans="2:2" x14ac:dyDescent="0.25">
      <c r="B205" t="s">
        <v>512</v>
      </c>
    </row>
    <row r="206" spans="2:2" x14ac:dyDescent="0.25">
      <c r="B206" t="s">
        <v>766</v>
      </c>
    </row>
    <row r="207" spans="2:2" x14ac:dyDescent="0.25">
      <c r="B207" t="s">
        <v>767</v>
      </c>
    </row>
    <row r="208" spans="2:2" x14ac:dyDescent="0.25">
      <c r="B208" t="s">
        <v>768</v>
      </c>
    </row>
    <row r="209" spans="2:2" x14ac:dyDescent="0.25">
      <c r="B209" t="s">
        <v>686</v>
      </c>
    </row>
    <row r="210" spans="2:2" x14ac:dyDescent="0.25">
      <c r="B210" t="s">
        <v>769</v>
      </c>
    </row>
    <row r="211" spans="2:2" x14ac:dyDescent="0.25">
      <c r="B211" t="s">
        <v>770</v>
      </c>
    </row>
    <row r="212" spans="2:2" x14ac:dyDescent="0.25">
      <c r="B212" t="s">
        <v>533</v>
      </c>
    </row>
    <row r="213" spans="2:2" x14ac:dyDescent="0.25">
      <c r="B213" t="s">
        <v>503</v>
      </c>
    </row>
    <row r="214" spans="2:2" x14ac:dyDescent="0.25">
      <c r="B214" t="s">
        <v>508</v>
      </c>
    </row>
    <row r="215" spans="2:2" x14ac:dyDescent="0.25">
      <c r="B215" t="s">
        <v>769</v>
      </c>
    </row>
    <row r="216" spans="2:2" x14ac:dyDescent="0.25">
      <c r="B216" t="s">
        <v>534</v>
      </c>
    </row>
    <row r="217" spans="2:2" x14ac:dyDescent="0.25">
      <c r="B217" t="s">
        <v>701</v>
      </c>
    </row>
    <row r="218" spans="2:2" x14ac:dyDescent="0.25">
      <c r="B218" t="s">
        <v>503</v>
      </c>
    </row>
    <row r="219" spans="2:2" x14ac:dyDescent="0.25">
      <c r="B219" t="s">
        <v>508</v>
      </c>
    </row>
    <row r="220" spans="2:2" x14ac:dyDescent="0.25">
      <c r="B220" t="s">
        <v>515</v>
      </c>
    </row>
    <row r="221" spans="2:2" x14ac:dyDescent="0.25">
      <c r="B221" t="s">
        <v>512</v>
      </c>
    </row>
    <row r="222" spans="2:2" x14ac:dyDescent="0.25">
      <c r="B222" t="s">
        <v>771</v>
      </c>
    </row>
    <row r="223" spans="2:2" x14ac:dyDescent="0.25">
      <c r="B223" t="s">
        <v>702</v>
      </c>
    </row>
    <row r="224" spans="2:2" x14ac:dyDescent="0.25">
      <c r="B224" t="s">
        <v>503</v>
      </c>
    </row>
    <row r="225" spans="2:2" x14ac:dyDescent="0.25">
      <c r="B225" t="s">
        <v>511</v>
      </c>
    </row>
    <row r="226" spans="2:2" x14ac:dyDescent="0.25">
      <c r="B226" t="s">
        <v>769</v>
      </c>
    </row>
    <row r="227" spans="2:2" x14ac:dyDescent="0.25">
      <c r="B227" t="s">
        <v>512</v>
      </c>
    </row>
    <row r="228" spans="2:2" x14ac:dyDescent="0.25">
      <c r="B228" t="s">
        <v>512</v>
      </c>
    </row>
    <row r="229" spans="2:2" x14ac:dyDescent="0.25">
      <c r="B229" t="s">
        <v>772</v>
      </c>
    </row>
    <row r="230" spans="2:2" x14ac:dyDescent="0.25">
      <c r="B230" t="s">
        <v>539</v>
      </c>
    </row>
    <row r="231" spans="2:2" x14ac:dyDescent="0.25">
      <c r="B231" t="s">
        <v>768</v>
      </c>
    </row>
    <row r="232" spans="2:2" x14ac:dyDescent="0.25">
      <c r="B232" t="s">
        <v>530</v>
      </c>
    </row>
    <row r="233" spans="2:2" x14ac:dyDescent="0.25">
      <c r="B233" t="s">
        <v>515</v>
      </c>
    </row>
    <row r="234" spans="2:2" x14ac:dyDescent="0.25">
      <c r="B234" t="s">
        <v>773</v>
      </c>
    </row>
    <row r="235" spans="2:2" x14ac:dyDescent="0.25">
      <c r="B235" t="s">
        <v>664</v>
      </c>
    </row>
    <row r="236" spans="2:2" x14ac:dyDescent="0.25">
      <c r="B236" t="s">
        <v>768</v>
      </c>
    </row>
    <row r="237" spans="2:2" x14ac:dyDescent="0.25">
      <c r="B237" t="s">
        <v>511</v>
      </c>
    </row>
    <row r="238" spans="2:2" x14ac:dyDescent="0.25">
      <c r="B238" t="s">
        <v>515</v>
      </c>
    </row>
    <row r="239" spans="2:2" x14ac:dyDescent="0.25">
      <c r="B239" t="s">
        <v>512</v>
      </c>
    </row>
    <row r="240" spans="2:2" x14ac:dyDescent="0.25">
      <c r="B240" t="s">
        <v>774</v>
      </c>
    </row>
    <row r="241" spans="2:2" x14ac:dyDescent="0.25">
      <c r="B241" t="s">
        <v>665</v>
      </c>
    </row>
    <row r="242" spans="2:2" x14ac:dyDescent="0.25">
      <c r="B242" t="s">
        <v>503</v>
      </c>
    </row>
    <row r="243" spans="2:2" x14ac:dyDescent="0.25">
      <c r="B243" t="s">
        <v>530</v>
      </c>
    </row>
    <row r="244" spans="2:2" x14ac:dyDescent="0.25">
      <c r="B244" t="s">
        <v>515</v>
      </c>
    </row>
    <row r="245" spans="2:2" x14ac:dyDescent="0.25">
      <c r="B245" t="s">
        <v>512</v>
      </c>
    </row>
    <row r="246" spans="2:2" x14ac:dyDescent="0.25">
      <c r="B246" t="s">
        <v>512</v>
      </c>
    </row>
    <row r="247" spans="2:2" x14ac:dyDescent="0.25">
      <c r="B247" t="s">
        <v>512</v>
      </c>
    </row>
    <row r="248" spans="2:2" x14ac:dyDescent="0.25">
      <c r="B248" t="s">
        <v>512</v>
      </c>
    </row>
    <row r="249" spans="2:2" x14ac:dyDescent="0.25">
      <c r="B249" t="s">
        <v>541</v>
      </c>
    </row>
    <row r="250" spans="2:2" x14ac:dyDescent="0.25">
      <c r="B250" t="s">
        <v>542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3'!$B$10:$B$10" display="Best Pruned Tree Rules (Using Validation Data)" xr:uid="{F32B45E2-123A-412F-917A-DCB6D3B08256}"/>
    <hyperlink ref="D4" location="'CT_FullTree3'!$B$10:$B$10" display="Fully Grown Tree Rules (Using Training Data)" xr:uid="{D3008A61-1806-4E5A-8D96-00566990112A}"/>
    <hyperlink ref="F4" location="'CT_MinErrorTree3'!$B$10:$B$10" display="Min Error Tree Rules (Using Validation Data)" xr:uid="{672401A6-BF8D-480E-817D-1E509A1B1570}"/>
    <hyperlink ref="H4" location="'CT_Output3'!$B$10:$B$10" display="Inputs" xr:uid="{13E6B1A6-A276-47A5-8CED-11990F26BF6C}"/>
    <hyperlink ref="J4" location="'CT_Output3'!$B$68:$B$68" display="Feature Importance" xr:uid="{6341E3D9-8DF8-4F79-9622-F4041421BF82}"/>
    <hyperlink ref="B5" location="'CT_Stored3'!$B$10:$B$10" display="PMML Model" xr:uid="{869157CF-FE97-4EFB-A7F6-3A6F7AB0DC04}"/>
    <hyperlink ref="D5" location="'CT_TrainingScore3'!$B$10:$B$10" display="Training: Classification Summary" xr:uid="{DE558A5E-F986-4A43-ABB4-168A089F7BCE}"/>
    <hyperlink ref="F5" location="'CT_ValidationScore3'!$B$10:$B$10" display="Validation: Classification Summary" xr:uid="{4EF9DFAA-2F8F-4477-9B99-F86F2C490039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6FE7-F2F7-4D48-A6A0-1E9BDB0969D4}">
  <dimension ref="B1:CV365"/>
  <sheetViews>
    <sheetView showGridLines="0" topLeftCell="A23" workbookViewId="0">
      <selection activeCell="H44" sqref="H44"/>
    </sheetView>
  </sheetViews>
  <sheetFormatPr defaultRowHeight="13.2" x14ac:dyDescent="0.25"/>
  <cols>
    <col min="3" max="3" width="11.5546875" customWidth="1"/>
    <col min="4" max="4" width="11.77734375" customWidth="1"/>
    <col min="5" max="5" width="17" customWidth="1"/>
    <col min="6" max="6" width="19.6640625" customWidth="1"/>
    <col min="7" max="7" width="13.88671875" customWidth="1"/>
    <col min="8" max="8" width="22.6640625" customWidth="1"/>
    <col min="9" max="9" width="20.33203125" customWidth="1"/>
    <col min="10" max="10" width="29.109375" bestFit="1" customWidth="1"/>
    <col min="11" max="11" width="19.88671875" customWidth="1"/>
    <col min="12" max="12" width="29.88671875" customWidth="1"/>
    <col min="13" max="13" width="25.33203125" customWidth="1"/>
    <col min="14" max="14" width="23.77734375" customWidth="1"/>
    <col min="15" max="15" width="14" customWidth="1"/>
    <col min="16" max="16" width="23.109375" customWidth="1"/>
    <col min="17" max="17" width="16.6640625" customWidth="1"/>
  </cols>
  <sheetData>
    <row r="1" spans="2:100" ht="18" x14ac:dyDescent="0.35">
      <c r="B1" s="12" t="s">
        <v>403</v>
      </c>
      <c r="N1" t="s">
        <v>669</v>
      </c>
      <c r="CV1" s="19" t="s">
        <v>670</v>
      </c>
    </row>
    <row r="3" spans="2:100" ht="15.6" x14ac:dyDescent="0.3">
      <c r="B3" s="21" t="s">
        <v>30</v>
      </c>
      <c r="C3" s="22"/>
      <c r="D3" s="22"/>
      <c r="E3" s="22"/>
      <c r="F3" s="22"/>
      <c r="G3" s="23"/>
      <c r="J3" s="21" t="s">
        <v>53</v>
      </c>
      <c r="K3" s="22"/>
      <c r="L3" s="22"/>
      <c r="M3" s="23"/>
    </row>
    <row r="4" spans="2:100" ht="13.8" x14ac:dyDescent="0.3">
      <c r="B4" s="20" t="s">
        <v>31</v>
      </c>
      <c r="C4" s="20"/>
      <c r="D4" s="20" t="s">
        <v>404</v>
      </c>
      <c r="E4" s="20"/>
      <c r="F4" s="20" t="s">
        <v>415</v>
      </c>
      <c r="G4" s="20"/>
      <c r="J4" s="18" t="s">
        <v>54</v>
      </c>
      <c r="K4" s="18" t="s">
        <v>55</v>
      </c>
      <c r="L4" s="18" t="s">
        <v>56</v>
      </c>
      <c r="M4" s="18" t="s">
        <v>57</v>
      </c>
    </row>
    <row r="5" spans="2:100" ht="13.8" x14ac:dyDescent="0.3">
      <c r="J5" s="16">
        <v>117</v>
      </c>
      <c r="K5" s="16">
        <v>6</v>
      </c>
      <c r="L5" s="16">
        <v>6</v>
      </c>
      <c r="M5" s="16">
        <v>129</v>
      </c>
    </row>
    <row r="10" spans="2:100" ht="18" x14ac:dyDescent="0.35">
      <c r="B10" s="13" t="s">
        <v>31</v>
      </c>
    </row>
    <row r="12" spans="2:100" ht="15.6" x14ac:dyDescent="0.3">
      <c r="C12" s="28" t="s">
        <v>33</v>
      </c>
      <c r="D12" s="28"/>
      <c r="E12" s="28"/>
      <c r="F12" s="28"/>
      <c r="G12" s="28"/>
      <c r="H12" s="28"/>
      <c r="I12" s="28"/>
    </row>
    <row r="13" spans="2:100" ht="13.8" x14ac:dyDescent="0.3">
      <c r="C13" s="24" t="s">
        <v>34</v>
      </c>
      <c r="D13" s="24"/>
      <c r="E13" s="25"/>
      <c r="F13" s="29" t="s">
        <v>48</v>
      </c>
      <c r="G13" s="29"/>
      <c r="H13" s="29"/>
      <c r="I13" s="29"/>
    </row>
    <row r="14" spans="2:100" ht="13.8" x14ac:dyDescent="0.3">
      <c r="C14" s="24" t="s">
        <v>35</v>
      </c>
      <c r="D14" s="24"/>
      <c r="E14" s="25"/>
      <c r="F14" s="29" t="s">
        <v>410</v>
      </c>
      <c r="G14" s="29"/>
      <c r="H14" s="29"/>
      <c r="I14" s="29"/>
    </row>
    <row r="15" spans="2:100" ht="13.8" x14ac:dyDescent="0.3">
      <c r="C15" s="24" t="s">
        <v>36</v>
      </c>
      <c r="D15" s="24"/>
      <c r="E15" s="25"/>
      <c r="F15" s="29" t="s">
        <v>411</v>
      </c>
      <c r="G15" s="29"/>
      <c r="H15" s="29"/>
      <c r="I15" s="29"/>
    </row>
    <row r="16" spans="2:100" ht="13.8" x14ac:dyDescent="0.3">
      <c r="C16" s="24" t="s">
        <v>37</v>
      </c>
      <c r="D16" s="24"/>
      <c r="E16" s="25"/>
      <c r="F16" s="27">
        <v>329</v>
      </c>
      <c r="G16" s="27"/>
      <c r="H16" s="27"/>
      <c r="I16" s="27"/>
    </row>
    <row r="18" spans="2:19" ht="15.6" x14ac:dyDescent="0.3">
      <c r="C18" s="28" t="s">
        <v>38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</row>
    <row r="19" spans="2:19" ht="13.8" x14ac:dyDescent="0.3">
      <c r="C19" s="24" t="s">
        <v>39</v>
      </c>
      <c r="D19" s="24"/>
      <c r="E19" s="25"/>
      <c r="F19" s="27">
        <v>14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</row>
    <row r="20" spans="2:19" ht="13.8" x14ac:dyDescent="0.3">
      <c r="C20" s="24" t="s">
        <v>40</v>
      </c>
      <c r="D20" s="24"/>
      <c r="E20" s="25"/>
      <c r="F20" s="16" t="s">
        <v>0</v>
      </c>
      <c r="G20" s="16" t="s">
        <v>61</v>
      </c>
      <c r="H20" s="16" t="s">
        <v>62</v>
      </c>
      <c r="I20" s="16" t="s">
        <v>63</v>
      </c>
      <c r="J20" s="16" t="s">
        <v>64</v>
      </c>
      <c r="K20" s="16" t="s">
        <v>65</v>
      </c>
      <c r="L20" s="16" t="s">
        <v>66</v>
      </c>
      <c r="M20" s="16" t="s">
        <v>67</v>
      </c>
      <c r="N20" s="16" t="s">
        <v>68</v>
      </c>
      <c r="O20" s="16" t="s">
        <v>69</v>
      </c>
      <c r="P20" s="16" t="s">
        <v>70</v>
      </c>
      <c r="Q20" s="16" t="s">
        <v>71</v>
      </c>
      <c r="R20" s="16" t="s">
        <v>72</v>
      </c>
      <c r="S20" s="16" t="s">
        <v>73</v>
      </c>
    </row>
    <row r="22" spans="2:19" ht="15.6" x14ac:dyDescent="0.3">
      <c r="C22" s="28" t="s">
        <v>405</v>
      </c>
      <c r="D22" s="28"/>
      <c r="E22" s="28"/>
      <c r="F22" s="28"/>
      <c r="G22" s="28"/>
      <c r="H22" s="28"/>
      <c r="I22" s="28"/>
    </row>
    <row r="23" spans="2:19" ht="13.8" x14ac:dyDescent="0.3">
      <c r="C23" s="24" t="s">
        <v>406</v>
      </c>
      <c r="D23" s="24"/>
      <c r="E23" s="25"/>
      <c r="F23" s="27" t="s">
        <v>412</v>
      </c>
      <c r="G23" s="27"/>
      <c r="H23" s="27"/>
      <c r="I23" s="27"/>
    </row>
    <row r="24" spans="2:19" ht="13.8" x14ac:dyDescent="0.3">
      <c r="C24" s="24" t="s">
        <v>407</v>
      </c>
      <c r="D24" s="24"/>
      <c r="E24" s="25"/>
      <c r="F24" s="27">
        <v>12345</v>
      </c>
      <c r="G24" s="27"/>
      <c r="H24" s="27"/>
      <c r="I24" s="27"/>
    </row>
    <row r="25" spans="2:19" ht="13.8" x14ac:dyDescent="0.3">
      <c r="C25" s="24" t="s">
        <v>408</v>
      </c>
      <c r="D25" s="24"/>
      <c r="E25" s="25"/>
      <c r="F25" s="27">
        <v>0.75</v>
      </c>
      <c r="G25" s="27"/>
      <c r="H25" s="27"/>
      <c r="I25" s="27"/>
    </row>
    <row r="26" spans="2:19" ht="13.8" x14ac:dyDescent="0.3">
      <c r="C26" s="24" t="s">
        <v>409</v>
      </c>
      <c r="D26" s="24"/>
      <c r="E26" s="25"/>
      <c r="F26" s="27">
        <v>0.25</v>
      </c>
      <c r="G26" s="27"/>
      <c r="H26" s="27"/>
      <c r="I26" s="27"/>
    </row>
    <row r="28" spans="2:19" ht="18" x14ac:dyDescent="0.35">
      <c r="B28" s="13" t="s">
        <v>404</v>
      </c>
    </row>
    <row r="30" spans="2:19" x14ac:dyDescent="0.25">
      <c r="C30" s="15" t="s">
        <v>416</v>
      </c>
      <c r="D30" t="s">
        <v>417</v>
      </c>
    </row>
    <row r="31" spans="2:19" x14ac:dyDescent="0.25">
      <c r="C31" s="15" t="s">
        <v>418</v>
      </c>
      <c r="D31">
        <v>247</v>
      </c>
    </row>
    <row r="32" spans="2:19" x14ac:dyDescent="0.25">
      <c r="C32" s="15" t="s">
        <v>419</v>
      </c>
      <c r="D32">
        <v>82</v>
      </c>
    </row>
    <row r="34" spans="2:17" ht="18" x14ac:dyDescent="0.35">
      <c r="B34" s="13" t="s">
        <v>415</v>
      </c>
    </row>
    <row r="36" spans="2:17" x14ac:dyDescent="0.25">
      <c r="C36" s="15" t="s">
        <v>60</v>
      </c>
      <c r="D36" t="s">
        <v>0</v>
      </c>
      <c r="E36" t="s">
        <v>61</v>
      </c>
      <c r="F36" t="s">
        <v>62</v>
      </c>
      <c r="G36" t="s">
        <v>63</v>
      </c>
      <c r="H36" t="s">
        <v>64</v>
      </c>
      <c r="I36" t="s">
        <v>65</v>
      </c>
      <c r="J36" t="s">
        <v>66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</row>
    <row r="37" spans="2:17" x14ac:dyDescent="0.25">
      <c r="C37" s="15" t="s">
        <v>74</v>
      </c>
      <c r="D37" s="14" t="s">
        <v>13</v>
      </c>
      <c r="E37" s="14">
        <v>14.23</v>
      </c>
      <c r="F37" s="14">
        <v>1.71</v>
      </c>
      <c r="G37" s="14">
        <v>2.4300000000000002</v>
      </c>
      <c r="H37" s="14">
        <v>15.6</v>
      </c>
      <c r="I37" s="14">
        <v>127</v>
      </c>
      <c r="J37" s="14">
        <v>2.7999999999999901</v>
      </c>
      <c r="K37" s="14">
        <v>3.06</v>
      </c>
      <c r="L37" s="14">
        <v>0.28000000000000003</v>
      </c>
      <c r="M37" s="14">
        <v>2.29</v>
      </c>
      <c r="N37" s="14">
        <v>5.6399999999999899</v>
      </c>
      <c r="O37" s="14">
        <v>1.04</v>
      </c>
      <c r="P37" s="14">
        <v>3.9199999999999902</v>
      </c>
      <c r="Q37">
        <v>1065</v>
      </c>
    </row>
    <row r="38" spans="2:17" x14ac:dyDescent="0.25">
      <c r="C38" s="15" t="s">
        <v>78</v>
      </c>
      <c r="D38" s="14" t="s">
        <v>13</v>
      </c>
      <c r="E38" s="14">
        <v>13.24</v>
      </c>
      <c r="F38" s="14">
        <v>2.5899999999999901</v>
      </c>
      <c r="G38" s="14">
        <v>2.87</v>
      </c>
      <c r="H38" s="14">
        <v>21</v>
      </c>
      <c r="I38" s="14">
        <v>118</v>
      </c>
      <c r="J38" s="14">
        <v>2.7999999999999901</v>
      </c>
      <c r="K38" s="14">
        <v>2.6899999999999902</v>
      </c>
      <c r="L38" s="14">
        <v>0.39</v>
      </c>
      <c r="M38" s="14">
        <v>1.82</v>
      </c>
      <c r="N38" s="14">
        <v>4.32</v>
      </c>
      <c r="O38" s="14">
        <v>1.04</v>
      </c>
      <c r="P38" s="14">
        <v>2.93</v>
      </c>
      <c r="Q38">
        <v>735</v>
      </c>
    </row>
    <row r="39" spans="2:17" x14ac:dyDescent="0.25">
      <c r="C39" s="15" t="s">
        <v>81</v>
      </c>
      <c r="D39" s="14" t="s">
        <v>13</v>
      </c>
      <c r="E39" s="14">
        <v>14.06</v>
      </c>
      <c r="F39" s="14">
        <v>2.1499999999999901</v>
      </c>
      <c r="G39" s="14">
        <v>2.6099999999999901</v>
      </c>
      <c r="H39" s="14">
        <v>17.600000000000001</v>
      </c>
      <c r="I39" s="14">
        <v>121</v>
      </c>
      <c r="J39" s="14">
        <v>2.6</v>
      </c>
      <c r="K39" s="14">
        <v>2.50999999999999</v>
      </c>
      <c r="L39" s="14">
        <v>0.31</v>
      </c>
      <c r="M39" s="14">
        <v>1.25</v>
      </c>
      <c r="N39" s="14">
        <v>5.0499999999999901</v>
      </c>
      <c r="O39" s="14">
        <v>1.06</v>
      </c>
      <c r="P39" s="14">
        <v>3.58</v>
      </c>
      <c r="Q39">
        <v>1295</v>
      </c>
    </row>
    <row r="40" spans="2:17" x14ac:dyDescent="0.25">
      <c r="C40" s="15" t="s">
        <v>84</v>
      </c>
      <c r="D40" s="14" t="s">
        <v>13</v>
      </c>
      <c r="E40" s="14">
        <v>14.1</v>
      </c>
      <c r="F40" s="14">
        <v>2.16</v>
      </c>
      <c r="G40" s="14">
        <v>2.2999999999999901</v>
      </c>
      <c r="H40" s="14">
        <v>18</v>
      </c>
      <c r="I40" s="14">
        <v>105</v>
      </c>
      <c r="J40" s="14">
        <v>2.95</v>
      </c>
      <c r="K40" s="14">
        <v>3.3199999999999901</v>
      </c>
      <c r="L40" s="14">
        <v>0.22</v>
      </c>
      <c r="M40" s="14">
        <v>2.3799999999999901</v>
      </c>
      <c r="N40" s="14">
        <v>5.75</v>
      </c>
      <c r="O40" s="14">
        <v>1.25</v>
      </c>
      <c r="P40" s="14">
        <v>3.1699999999999902</v>
      </c>
      <c r="Q40">
        <v>1510</v>
      </c>
    </row>
    <row r="41" spans="2:17" x14ac:dyDescent="0.25">
      <c r="C41" s="15" t="s">
        <v>85</v>
      </c>
      <c r="D41" s="14" t="s">
        <v>13</v>
      </c>
      <c r="E41" s="14">
        <v>14.1199999999999</v>
      </c>
      <c r="F41" s="14">
        <v>1.48</v>
      </c>
      <c r="G41" s="14">
        <v>2.3199999999999901</v>
      </c>
      <c r="H41" s="14">
        <v>16.8</v>
      </c>
      <c r="I41" s="14">
        <v>95</v>
      </c>
      <c r="J41" s="14">
        <v>2.2000000000000002</v>
      </c>
      <c r="K41" s="14">
        <v>2.4300000000000002</v>
      </c>
      <c r="L41" s="14">
        <v>0.26</v>
      </c>
      <c r="M41" s="14">
        <v>1.57</v>
      </c>
      <c r="N41" s="14">
        <v>5</v>
      </c>
      <c r="O41" s="14">
        <v>1.1699999999999899</v>
      </c>
      <c r="P41" s="14">
        <v>2.8199999999999901</v>
      </c>
      <c r="Q41">
        <v>1280</v>
      </c>
    </row>
    <row r="42" spans="2:17" x14ac:dyDescent="0.25">
      <c r="C42" s="15" t="s">
        <v>88</v>
      </c>
      <c r="D42" s="14" t="s">
        <v>13</v>
      </c>
      <c r="E42" s="14">
        <v>14.38</v>
      </c>
      <c r="F42" s="14">
        <v>1.87</v>
      </c>
      <c r="G42" s="14">
        <v>2.3799999999999901</v>
      </c>
      <c r="H42" s="14">
        <v>12</v>
      </c>
      <c r="I42" s="14">
        <v>102</v>
      </c>
      <c r="J42" s="14">
        <v>3.2999999999999901</v>
      </c>
      <c r="K42" s="14">
        <v>3.64</v>
      </c>
      <c r="L42" s="14">
        <v>0.28999999999999898</v>
      </c>
      <c r="M42" s="14">
        <v>2.96</v>
      </c>
      <c r="N42" s="14">
        <v>7.5</v>
      </c>
      <c r="O42" s="14">
        <v>1.2</v>
      </c>
      <c r="P42" s="14">
        <v>3</v>
      </c>
      <c r="Q42">
        <v>1547</v>
      </c>
    </row>
    <row r="43" spans="2:17" x14ac:dyDescent="0.25">
      <c r="C43" s="15" t="s">
        <v>89</v>
      </c>
      <c r="D43" s="14" t="s">
        <v>13</v>
      </c>
      <c r="E43" s="14">
        <v>13.63</v>
      </c>
      <c r="F43" s="14">
        <v>1.81</v>
      </c>
      <c r="G43" s="14">
        <v>2.7</v>
      </c>
      <c r="H43" s="14">
        <v>17.1999999999999</v>
      </c>
      <c r="I43" s="14">
        <v>112</v>
      </c>
      <c r="J43" s="14">
        <v>2.85</v>
      </c>
      <c r="K43" s="14">
        <v>2.91</v>
      </c>
      <c r="L43" s="14">
        <v>0.29999999999999899</v>
      </c>
      <c r="M43" s="14">
        <v>1.46</v>
      </c>
      <c r="N43" s="14">
        <v>7.2999999999999901</v>
      </c>
      <c r="O43" s="14">
        <v>1.28</v>
      </c>
      <c r="P43" s="14">
        <v>2.8799999999999901</v>
      </c>
      <c r="Q43">
        <v>1310</v>
      </c>
    </row>
    <row r="44" spans="2:17" x14ac:dyDescent="0.25">
      <c r="C44" s="15" t="s">
        <v>91</v>
      </c>
      <c r="D44" s="14" t="s">
        <v>13</v>
      </c>
      <c r="E44" s="14">
        <v>13.83</v>
      </c>
      <c r="F44" s="14">
        <v>1.57</v>
      </c>
      <c r="G44" s="14">
        <v>2.62</v>
      </c>
      <c r="H44" s="14">
        <v>20</v>
      </c>
      <c r="I44" s="14">
        <v>115</v>
      </c>
      <c r="J44" s="14">
        <v>2.95</v>
      </c>
      <c r="K44" s="14">
        <v>3.3999999999999901</v>
      </c>
      <c r="L44" s="14">
        <v>0.4</v>
      </c>
      <c r="M44" s="14">
        <v>1.72</v>
      </c>
      <c r="N44" s="14">
        <v>6.5999999999999899</v>
      </c>
      <c r="O44" s="14">
        <v>1.1299999999999899</v>
      </c>
      <c r="P44" s="14">
        <v>2.5699999999999901</v>
      </c>
      <c r="Q44">
        <v>1130</v>
      </c>
    </row>
    <row r="45" spans="2:17" x14ac:dyDescent="0.25">
      <c r="C45" s="15" t="s">
        <v>93</v>
      </c>
      <c r="D45" s="14" t="s">
        <v>13</v>
      </c>
      <c r="E45" s="14">
        <v>13.64</v>
      </c>
      <c r="F45" s="14">
        <v>3.1</v>
      </c>
      <c r="G45" s="14">
        <v>2.56</v>
      </c>
      <c r="H45" s="14">
        <v>15.1999999999999</v>
      </c>
      <c r="I45" s="14">
        <v>116</v>
      </c>
      <c r="J45" s="14">
        <v>2.7</v>
      </c>
      <c r="K45" s="14">
        <v>3.02999999999999</v>
      </c>
      <c r="L45" s="14">
        <v>0.17</v>
      </c>
      <c r="M45" s="14">
        <v>1.6599999999999899</v>
      </c>
      <c r="N45" s="14">
        <v>5.0999999999999899</v>
      </c>
      <c r="O45" s="14">
        <v>0.95999999999999897</v>
      </c>
      <c r="P45" s="14">
        <v>3.3599999999999901</v>
      </c>
      <c r="Q45">
        <v>845</v>
      </c>
    </row>
    <row r="46" spans="2:17" x14ac:dyDescent="0.25">
      <c r="C46" s="15" t="s">
        <v>94</v>
      </c>
      <c r="D46" s="14" t="s">
        <v>13</v>
      </c>
      <c r="E46" s="14">
        <v>14.06</v>
      </c>
      <c r="F46" s="14">
        <v>1.6299999999999899</v>
      </c>
      <c r="G46" s="14">
        <v>2.27999999999999</v>
      </c>
      <c r="H46" s="14">
        <v>16</v>
      </c>
      <c r="I46" s="14">
        <v>126</v>
      </c>
      <c r="J46" s="14">
        <v>3</v>
      </c>
      <c r="K46" s="14">
        <v>3.1699999999999902</v>
      </c>
      <c r="L46" s="14">
        <v>0.23999999999999899</v>
      </c>
      <c r="M46" s="14">
        <v>2.1</v>
      </c>
      <c r="N46" s="14">
        <v>5.65</v>
      </c>
      <c r="O46" s="14">
        <v>1.0900000000000001</v>
      </c>
      <c r="P46" s="14">
        <v>3.71</v>
      </c>
      <c r="Q46">
        <v>780</v>
      </c>
    </row>
    <row r="47" spans="2:17" x14ac:dyDescent="0.25">
      <c r="C47" s="15" t="s">
        <v>95</v>
      </c>
      <c r="D47" s="14" t="s">
        <v>13</v>
      </c>
      <c r="E47" s="14">
        <v>12.93</v>
      </c>
      <c r="F47" s="14">
        <v>3.7999999999999901</v>
      </c>
      <c r="G47" s="14">
        <v>2.6499999999999901</v>
      </c>
      <c r="H47" s="14">
        <v>18.600000000000001</v>
      </c>
      <c r="I47" s="14">
        <v>102</v>
      </c>
      <c r="J47" s="14">
        <v>2.41</v>
      </c>
      <c r="K47" s="14">
        <v>2.41</v>
      </c>
      <c r="L47" s="14">
        <v>0.25</v>
      </c>
      <c r="M47" s="14">
        <v>1.98</v>
      </c>
      <c r="N47" s="14">
        <v>4.5</v>
      </c>
      <c r="O47" s="14">
        <v>1.03</v>
      </c>
      <c r="P47" s="14">
        <v>3.52</v>
      </c>
      <c r="Q47">
        <v>770</v>
      </c>
    </row>
    <row r="48" spans="2:17" x14ac:dyDescent="0.25">
      <c r="C48" s="15" t="s">
        <v>96</v>
      </c>
      <c r="D48" s="14" t="s">
        <v>13</v>
      </c>
      <c r="E48" s="14">
        <v>13.71</v>
      </c>
      <c r="F48" s="14">
        <v>1.86</v>
      </c>
      <c r="G48" s="14">
        <v>2.3599999999999901</v>
      </c>
      <c r="H48" s="14">
        <v>16.600000000000001</v>
      </c>
      <c r="I48" s="14">
        <v>101</v>
      </c>
      <c r="J48" s="14">
        <v>2.6099999999999901</v>
      </c>
      <c r="K48" s="14">
        <v>2.8799999999999901</v>
      </c>
      <c r="L48" s="14">
        <v>0.27</v>
      </c>
      <c r="M48" s="14">
        <v>1.68999999999999</v>
      </c>
      <c r="N48" s="14">
        <v>3.7999999999999901</v>
      </c>
      <c r="O48" s="14">
        <v>1.1100000000000001</v>
      </c>
      <c r="P48" s="14">
        <v>4</v>
      </c>
      <c r="Q48">
        <v>1035</v>
      </c>
    </row>
    <row r="49" spans="3:17" x14ac:dyDescent="0.25">
      <c r="C49" s="15" t="s">
        <v>97</v>
      </c>
      <c r="D49" s="14" t="s">
        <v>13</v>
      </c>
      <c r="E49" s="14">
        <v>12.85</v>
      </c>
      <c r="F49" s="14">
        <v>1.6</v>
      </c>
      <c r="G49" s="14">
        <v>2.52</v>
      </c>
      <c r="H49" s="14">
        <v>17.8</v>
      </c>
      <c r="I49" s="14">
        <v>95</v>
      </c>
      <c r="J49" s="14">
        <v>2.48</v>
      </c>
      <c r="K49" s="14">
        <v>2.37</v>
      </c>
      <c r="L49" s="14">
        <v>0.26</v>
      </c>
      <c r="M49" s="14">
        <v>1.46</v>
      </c>
      <c r="N49" s="14">
        <v>3.93</v>
      </c>
      <c r="O49" s="14">
        <v>1.0900000000000001</v>
      </c>
      <c r="P49" s="14">
        <v>3.6299999999999901</v>
      </c>
      <c r="Q49">
        <v>1015</v>
      </c>
    </row>
    <row r="50" spans="3:17" x14ac:dyDescent="0.25">
      <c r="C50" s="15" t="s">
        <v>98</v>
      </c>
      <c r="D50" s="14" t="s">
        <v>13</v>
      </c>
      <c r="E50" s="14">
        <v>13.5</v>
      </c>
      <c r="F50" s="14">
        <v>1.81</v>
      </c>
      <c r="G50" s="14">
        <v>2.6099999999999901</v>
      </c>
      <c r="H50" s="14">
        <v>20</v>
      </c>
      <c r="I50" s="14">
        <v>96</v>
      </c>
      <c r="J50" s="14">
        <v>2.52999999999999</v>
      </c>
      <c r="K50" s="14">
        <v>2.6099999999999901</v>
      </c>
      <c r="L50" s="14">
        <v>0.28000000000000003</v>
      </c>
      <c r="M50" s="14">
        <v>1.6599999999999899</v>
      </c>
      <c r="N50" s="14">
        <v>3.52</v>
      </c>
      <c r="O50" s="14">
        <v>1.1200000000000001</v>
      </c>
      <c r="P50" s="14">
        <v>3.8199999999999901</v>
      </c>
      <c r="Q50">
        <v>845</v>
      </c>
    </row>
    <row r="51" spans="3:17" x14ac:dyDescent="0.25">
      <c r="C51" s="15" t="s">
        <v>99</v>
      </c>
      <c r="D51" s="14" t="s">
        <v>13</v>
      </c>
      <c r="E51" s="14">
        <v>13.05</v>
      </c>
      <c r="F51" s="14">
        <v>2.0499999999999901</v>
      </c>
      <c r="G51" s="14">
        <v>3.22</v>
      </c>
      <c r="H51" s="14">
        <v>25</v>
      </c>
      <c r="I51" s="14">
        <v>124</v>
      </c>
      <c r="J51" s="14">
        <v>2.6299999999999901</v>
      </c>
      <c r="K51" s="14">
        <v>2.68</v>
      </c>
      <c r="L51" s="14">
        <v>0.46999999999999897</v>
      </c>
      <c r="M51" s="14">
        <v>1.9199999999999899</v>
      </c>
      <c r="N51" s="14">
        <v>3.58</v>
      </c>
      <c r="O51" s="14">
        <v>1.1299999999999899</v>
      </c>
      <c r="P51" s="14">
        <v>3.2</v>
      </c>
      <c r="Q51">
        <v>830</v>
      </c>
    </row>
    <row r="52" spans="3:17" x14ac:dyDescent="0.25">
      <c r="C52" s="15" t="s">
        <v>101</v>
      </c>
      <c r="D52" s="14" t="s">
        <v>13</v>
      </c>
      <c r="E52" s="14">
        <v>13.3</v>
      </c>
      <c r="F52" s="14">
        <v>1.72</v>
      </c>
      <c r="G52" s="14">
        <v>2.14</v>
      </c>
      <c r="H52" s="14">
        <v>17</v>
      </c>
      <c r="I52" s="14">
        <v>94</v>
      </c>
      <c r="J52" s="14">
        <v>2.3999999999999901</v>
      </c>
      <c r="K52" s="14">
        <v>2.1899999999999902</v>
      </c>
      <c r="L52" s="14">
        <v>0.27</v>
      </c>
      <c r="M52" s="14">
        <v>1.35</v>
      </c>
      <c r="N52" s="14">
        <v>3.95</v>
      </c>
      <c r="O52" s="14">
        <v>1.02</v>
      </c>
      <c r="P52" s="14">
        <v>2.77</v>
      </c>
      <c r="Q52">
        <v>1285</v>
      </c>
    </row>
    <row r="53" spans="3:17" x14ac:dyDescent="0.25">
      <c r="C53" s="15" t="s">
        <v>102</v>
      </c>
      <c r="D53" s="14" t="s">
        <v>13</v>
      </c>
      <c r="E53" s="14">
        <v>13.8699999999999</v>
      </c>
      <c r="F53" s="14">
        <v>1.8999999999999899</v>
      </c>
      <c r="G53" s="14">
        <v>2.7999999999999901</v>
      </c>
      <c r="H53" s="14">
        <v>19.399999999999899</v>
      </c>
      <c r="I53" s="14">
        <v>107</v>
      </c>
      <c r="J53" s="14">
        <v>2.95</v>
      </c>
      <c r="K53" s="14">
        <v>2.97</v>
      </c>
      <c r="L53" s="14">
        <v>0.37</v>
      </c>
      <c r="M53" s="14">
        <v>1.76</v>
      </c>
      <c r="N53" s="14">
        <v>4.5</v>
      </c>
      <c r="O53" s="14">
        <v>1.25</v>
      </c>
      <c r="P53" s="14">
        <v>3.3999999999999901</v>
      </c>
      <c r="Q53">
        <v>915</v>
      </c>
    </row>
    <row r="54" spans="3:17" x14ac:dyDescent="0.25">
      <c r="C54" s="15" t="s">
        <v>105</v>
      </c>
      <c r="D54" s="14" t="s">
        <v>13</v>
      </c>
      <c r="E54" s="14">
        <v>13.58</v>
      </c>
      <c r="F54" s="14">
        <v>1.6599999999999899</v>
      </c>
      <c r="G54" s="14">
        <v>2.3599999999999901</v>
      </c>
      <c r="H54" s="14">
        <v>19.100000000000001</v>
      </c>
      <c r="I54" s="14">
        <v>106</v>
      </c>
      <c r="J54" s="14">
        <v>2.8599999999999901</v>
      </c>
      <c r="K54" s="14">
        <v>3.1899999999999902</v>
      </c>
      <c r="L54" s="14">
        <v>0.22</v>
      </c>
      <c r="M54" s="14">
        <v>1.95</v>
      </c>
      <c r="N54" s="14">
        <v>6.9</v>
      </c>
      <c r="O54" s="14">
        <v>1.0900000000000001</v>
      </c>
      <c r="P54" s="14">
        <v>2.8799999999999901</v>
      </c>
      <c r="Q54">
        <v>1515</v>
      </c>
    </row>
    <row r="55" spans="3:17" x14ac:dyDescent="0.25">
      <c r="C55" s="15" t="s">
        <v>106</v>
      </c>
      <c r="D55" s="14" t="s">
        <v>13</v>
      </c>
      <c r="E55" s="14">
        <v>13.68</v>
      </c>
      <c r="F55" s="14">
        <v>1.83</v>
      </c>
      <c r="G55" s="14">
        <v>2.3599999999999901</v>
      </c>
      <c r="H55" s="14">
        <v>17.1999999999999</v>
      </c>
      <c r="I55" s="14">
        <v>104</v>
      </c>
      <c r="J55" s="14">
        <v>2.4199999999999902</v>
      </c>
      <c r="K55" s="14">
        <v>2.6899999999999902</v>
      </c>
      <c r="L55" s="14">
        <v>0.41999999999999899</v>
      </c>
      <c r="M55" s="14">
        <v>1.97</v>
      </c>
      <c r="N55" s="14">
        <v>3.8399999999999901</v>
      </c>
      <c r="O55" s="14">
        <v>1.23</v>
      </c>
      <c r="P55" s="14">
        <v>2.87</v>
      </c>
      <c r="Q55">
        <v>990</v>
      </c>
    </row>
    <row r="56" spans="3:17" x14ac:dyDescent="0.25">
      <c r="C56" s="15" t="s">
        <v>108</v>
      </c>
      <c r="D56" s="14" t="s">
        <v>13</v>
      </c>
      <c r="E56" s="14">
        <v>13.51</v>
      </c>
      <c r="F56" s="14">
        <v>1.8</v>
      </c>
      <c r="G56" s="14">
        <v>2.6499999999999901</v>
      </c>
      <c r="H56" s="14">
        <v>19</v>
      </c>
      <c r="I56" s="14">
        <v>110</v>
      </c>
      <c r="J56" s="14">
        <v>2.35</v>
      </c>
      <c r="K56" s="14">
        <v>2.52999999999999</v>
      </c>
      <c r="L56" s="14">
        <v>0.28999999999999898</v>
      </c>
      <c r="M56" s="14">
        <v>1.54</v>
      </c>
      <c r="N56" s="14">
        <v>4.2</v>
      </c>
      <c r="O56" s="14">
        <v>1.1000000000000001</v>
      </c>
      <c r="P56" s="14">
        <v>2.87</v>
      </c>
      <c r="Q56">
        <v>1095</v>
      </c>
    </row>
    <row r="57" spans="3:17" x14ac:dyDescent="0.25">
      <c r="C57" s="15" t="s">
        <v>110</v>
      </c>
      <c r="D57" s="14" t="s">
        <v>13</v>
      </c>
      <c r="E57" s="14">
        <v>13.2799999999999</v>
      </c>
      <c r="F57" s="14">
        <v>1.6399999999999899</v>
      </c>
      <c r="G57" s="14">
        <v>2.8399999999999901</v>
      </c>
      <c r="H57" s="14">
        <v>15.5</v>
      </c>
      <c r="I57" s="14">
        <v>110</v>
      </c>
      <c r="J57" s="14">
        <v>2.6</v>
      </c>
      <c r="K57" s="14">
        <v>2.68</v>
      </c>
      <c r="L57" s="14">
        <v>0.34</v>
      </c>
      <c r="M57" s="14">
        <v>1.36</v>
      </c>
      <c r="N57" s="14">
        <v>4.5999999999999899</v>
      </c>
      <c r="O57" s="14">
        <v>1.0900000000000001</v>
      </c>
      <c r="P57" s="14">
        <v>2.77999999999999</v>
      </c>
      <c r="Q57">
        <v>880</v>
      </c>
    </row>
    <row r="58" spans="3:17" x14ac:dyDescent="0.25">
      <c r="C58" s="15" t="s">
        <v>112</v>
      </c>
      <c r="D58" s="14" t="s">
        <v>13</v>
      </c>
      <c r="E58" s="14">
        <v>13.07</v>
      </c>
      <c r="F58" s="14">
        <v>1.5</v>
      </c>
      <c r="G58" s="14">
        <v>2.1</v>
      </c>
      <c r="H58" s="14">
        <v>15.5</v>
      </c>
      <c r="I58" s="14">
        <v>98</v>
      </c>
      <c r="J58" s="14">
        <v>2.3999999999999901</v>
      </c>
      <c r="K58" s="14">
        <v>2.64</v>
      </c>
      <c r="L58" s="14">
        <v>0.28000000000000003</v>
      </c>
      <c r="M58" s="14">
        <v>1.37</v>
      </c>
      <c r="N58" s="14">
        <v>3.7</v>
      </c>
      <c r="O58" s="14">
        <v>1.1799999999999899</v>
      </c>
      <c r="P58" s="14">
        <v>2.6899999999999902</v>
      </c>
      <c r="Q58">
        <v>1020</v>
      </c>
    </row>
    <row r="59" spans="3:17" x14ac:dyDescent="0.25">
      <c r="C59" s="15" t="s">
        <v>114</v>
      </c>
      <c r="D59" s="14" t="s">
        <v>13</v>
      </c>
      <c r="E59" s="14">
        <v>13.56</v>
      </c>
      <c r="F59" s="14">
        <v>1.71</v>
      </c>
      <c r="G59" s="14">
        <v>2.31</v>
      </c>
      <c r="H59" s="14">
        <v>16.1999999999999</v>
      </c>
      <c r="I59" s="14">
        <v>117</v>
      </c>
      <c r="J59" s="14">
        <v>3.1499999999999901</v>
      </c>
      <c r="K59" s="14">
        <v>3.29</v>
      </c>
      <c r="L59" s="14">
        <v>0.34</v>
      </c>
      <c r="M59" s="14">
        <v>2.3399999999999901</v>
      </c>
      <c r="N59" s="14">
        <v>6.1299999999999901</v>
      </c>
      <c r="O59" s="14">
        <v>0.94999999999999896</v>
      </c>
      <c r="P59" s="14">
        <v>3.3799999999999901</v>
      </c>
      <c r="Q59">
        <v>795</v>
      </c>
    </row>
    <row r="60" spans="3:17" x14ac:dyDescent="0.25">
      <c r="C60" s="15" t="s">
        <v>115</v>
      </c>
      <c r="D60" s="14" t="s">
        <v>13</v>
      </c>
      <c r="E60" s="14">
        <v>13.41</v>
      </c>
      <c r="F60" s="14">
        <v>3.8399999999999901</v>
      </c>
      <c r="G60" s="14">
        <v>2.12</v>
      </c>
      <c r="H60" s="14">
        <v>18.8</v>
      </c>
      <c r="I60" s="14">
        <v>90</v>
      </c>
      <c r="J60" s="14">
        <v>2.4500000000000002</v>
      </c>
      <c r="K60" s="14">
        <v>2.68</v>
      </c>
      <c r="L60" s="14">
        <v>0.27</v>
      </c>
      <c r="M60" s="14">
        <v>1.48</v>
      </c>
      <c r="N60" s="14">
        <v>4.28</v>
      </c>
      <c r="O60" s="14">
        <v>0.91</v>
      </c>
      <c r="P60" s="14">
        <v>3</v>
      </c>
      <c r="Q60">
        <v>1035</v>
      </c>
    </row>
    <row r="61" spans="3:17" x14ac:dyDescent="0.25">
      <c r="C61" s="15" t="s">
        <v>118</v>
      </c>
      <c r="D61" s="14" t="s">
        <v>13</v>
      </c>
      <c r="E61" s="14">
        <v>13.05</v>
      </c>
      <c r="F61" s="14">
        <v>1.77</v>
      </c>
      <c r="G61" s="14">
        <v>2.1</v>
      </c>
      <c r="H61" s="14">
        <v>17</v>
      </c>
      <c r="I61" s="14">
        <v>107</v>
      </c>
      <c r="J61" s="14">
        <v>3</v>
      </c>
      <c r="K61" s="14">
        <v>3</v>
      </c>
      <c r="L61" s="14">
        <v>0.28000000000000003</v>
      </c>
      <c r="M61" s="14">
        <v>2.02999999999999</v>
      </c>
      <c r="N61" s="14">
        <v>5.04</v>
      </c>
      <c r="O61" s="14">
        <v>0.88</v>
      </c>
      <c r="P61" s="14">
        <v>3.35</v>
      </c>
      <c r="Q61">
        <v>885</v>
      </c>
    </row>
    <row r="62" spans="3:17" x14ac:dyDescent="0.25">
      <c r="C62" s="15" t="s">
        <v>120</v>
      </c>
      <c r="D62" s="14" t="s">
        <v>13</v>
      </c>
      <c r="E62" s="14">
        <v>14.38</v>
      </c>
      <c r="F62" s="14">
        <v>3.5899999999999901</v>
      </c>
      <c r="G62" s="14">
        <v>2.27999999999999</v>
      </c>
      <c r="H62" s="14">
        <v>16</v>
      </c>
      <c r="I62" s="14">
        <v>102</v>
      </c>
      <c r="J62" s="14">
        <v>3.25</v>
      </c>
      <c r="K62" s="14">
        <v>3.1699999999999902</v>
      </c>
      <c r="L62" s="14">
        <v>0.27</v>
      </c>
      <c r="M62" s="14">
        <v>2.1899999999999902</v>
      </c>
      <c r="N62" s="14">
        <v>4.9000000000000004</v>
      </c>
      <c r="O62" s="14">
        <v>1.04</v>
      </c>
      <c r="P62" s="14">
        <v>3.4399999999999902</v>
      </c>
      <c r="Q62">
        <v>1065</v>
      </c>
    </row>
    <row r="63" spans="3:17" x14ac:dyDescent="0.25">
      <c r="C63" s="15" t="s">
        <v>121</v>
      </c>
      <c r="D63" s="14" t="s">
        <v>13</v>
      </c>
      <c r="E63" s="14">
        <v>13.9</v>
      </c>
      <c r="F63" s="14">
        <v>1.6799999999999899</v>
      </c>
      <c r="G63" s="14">
        <v>2.12</v>
      </c>
      <c r="H63" s="14">
        <v>16</v>
      </c>
      <c r="I63" s="14">
        <v>101</v>
      </c>
      <c r="J63" s="14">
        <v>3.1</v>
      </c>
      <c r="K63" s="14">
        <v>3.39</v>
      </c>
      <c r="L63" s="14">
        <v>0.20999999999999899</v>
      </c>
      <c r="M63" s="14">
        <v>2.14</v>
      </c>
      <c r="N63" s="14">
        <v>6.0999999999999899</v>
      </c>
      <c r="O63" s="14">
        <v>0.91</v>
      </c>
      <c r="P63" s="14">
        <v>3.33</v>
      </c>
      <c r="Q63">
        <v>985</v>
      </c>
    </row>
    <row r="64" spans="3:17" x14ac:dyDescent="0.25">
      <c r="C64" s="15" t="s">
        <v>122</v>
      </c>
      <c r="D64" s="14" t="s">
        <v>13</v>
      </c>
      <c r="E64" s="14">
        <v>14.1</v>
      </c>
      <c r="F64" s="14">
        <v>2.02</v>
      </c>
      <c r="G64" s="14">
        <v>2.3999999999999901</v>
      </c>
      <c r="H64" s="14">
        <v>18.8</v>
      </c>
      <c r="I64" s="14">
        <v>103</v>
      </c>
      <c r="J64" s="14">
        <v>2.75</v>
      </c>
      <c r="K64" s="14">
        <v>2.9199999999999902</v>
      </c>
      <c r="L64" s="14">
        <v>0.32</v>
      </c>
      <c r="M64" s="14">
        <v>2.3799999999999901</v>
      </c>
      <c r="N64" s="14">
        <v>6.2</v>
      </c>
      <c r="O64" s="14">
        <v>1.07</v>
      </c>
      <c r="P64" s="14">
        <v>2.75</v>
      </c>
      <c r="Q64">
        <v>1060</v>
      </c>
    </row>
    <row r="65" spans="3:17" x14ac:dyDescent="0.25">
      <c r="C65" s="15" t="s">
        <v>123</v>
      </c>
      <c r="D65" s="14" t="s">
        <v>13</v>
      </c>
      <c r="E65" s="14">
        <v>13.94</v>
      </c>
      <c r="F65" s="14">
        <v>1.73</v>
      </c>
      <c r="G65" s="14">
        <v>2.27</v>
      </c>
      <c r="H65" s="14">
        <v>17.399999999999899</v>
      </c>
      <c r="I65" s="14">
        <v>108</v>
      </c>
      <c r="J65" s="14">
        <v>2.8799999999999901</v>
      </c>
      <c r="K65" s="14">
        <v>3.54</v>
      </c>
      <c r="L65" s="14">
        <v>0.32</v>
      </c>
      <c r="M65" s="14">
        <v>2.08</v>
      </c>
      <c r="N65" s="14">
        <v>8.9</v>
      </c>
      <c r="O65" s="14">
        <v>1.1200000000000001</v>
      </c>
      <c r="P65" s="14">
        <v>3.1</v>
      </c>
      <c r="Q65">
        <v>1260</v>
      </c>
    </row>
    <row r="66" spans="3:17" x14ac:dyDescent="0.25">
      <c r="C66" s="15" t="s">
        <v>127</v>
      </c>
      <c r="D66" s="14" t="s">
        <v>13</v>
      </c>
      <c r="E66" s="14">
        <v>13.77</v>
      </c>
      <c r="F66" s="14">
        <v>1.8999999999999899</v>
      </c>
      <c r="G66" s="14">
        <v>2.68</v>
      </c>
      <c r="H66" s="14">
        <v>17.100000000000001</v>
      </c>
      <c r="I66" s="14">
        <v>115</v>
      </c>
      <c r="J66" s="14">
        <v>3</v>
      </c>
      <c r="K66" s="14">
        <v>2.79</v>
      </c>
      <c r="L66" s="14">
        <v>0.39</v>
      </c>
      <c r="M66" s="14">
        <v>1.6799999999999899</v>
      </c>
      <c r="N66" s="14">
        <v>6.2999999999999901</v>
      </c>
      <c r="O66" s="14">
        <v>1.1299999999999899</v>
      </c>
      <c r="P66" s="14">
        <v>2.93</v>
      </c>
      <c r="Q66">
        <v>1375</v>
      </c>
    </row>
    <row r="67" spans="3:17" x14ac:dyDescent="0.25">
      <c r="C67" s="15" t="s">
        <v>129</v>
      </c>
      <c r="D67" s="14" t="s">
        <v>13</v>
      </c>
      <c r="E67" s="14">
        <v>13.56</v>
      </c>
      <c r="F67" s="14">
        <v>1.73</v>
      </c>
      <c r="G67" s="14">
        <v>2.46</v>
      </c>
      <c r="H67" s="14">
        <v>20.5</v>
      </c>
      <c r="I67" s="14">
        <v>116</v>
      </c>
      <c r="J67" s="14">
        <v>2.96</v>
      </c>
      <c r="K67" s="14">
        <v>2.77999999999999</v>
      </c>
      <c r="L67" s="14">
        <v>0.2</v>
      </c>
      <c r="M67" s="14">
        <v>2.4500000000000002</v>
      </c>
      <c r="N67" s="14">
        <v>6.25</v>
      </c>
      <c r="O67" s="14">
        <v>0.97999999999999898</v>
      </c>
      <c r="P67" s="14">
        <v>3.02999999999999</v>
      </c>
      <c r="Q67">
        <v>1120</v>
      </c>
    </row>
    <row r="68" spans="3:17" x14ac:dyDescent="0.25">
      <c r="C68" s="15" t="s">
        <v>130</v>
      </c>
      <c r="D68" s="14" t="s">
        <v>13</v>
      </c>
      <c r="E68" s="14">
        <v>14.22</v>
      </c>
      <c r="F68" s="14">
        <v>1.7</v>
      </c>
      <c r="G68" s="14">
        <v>2.2999999999999901</v>
      </c>
      <c r="H68" s="14">
        <v>16.3</v>
      </c>
      <c r="I68" s="14">
        <v>118</v>
      </c>
      <c r="J68" s="14">
        <v>3.2</v>
      </c>
      <c r="K68" s="14">
        <v>3</v>
      </c>
      <c r="L68" s="14">
        <v>0.26</v>
      </c>
      <c r="M68" s="14">
        <v>2.02999999999999</v>
      </c>
      <c r="N68" s="14">
        <v>6.3799999999999901</v>
      </c>
      <c r="O68" s="14">
        <v>0.93999999999999895</v>
      </c>
      <c r="P68" s="14">
        <v>3.31</v>
      </c>
      <c r="Q68">
        <v>970</v>
      </c>
    </row>
    <row r="69" spans="3:17" x14ac:dyDescent="0.25">
      <c r="C69" s="15" t="s">
        <v>132</v>
      </c>
      <c r="D69" s="14" t="s">
        <v>13</v>
      </c>
      <c r="E69" s="14">
        <v>13.72</v>
      </c>
      <c r="F69" s="14">
        <v>1.4299999999999899</v>
      </c>
      <c r="G69" s="14">
        <v>2.5</v>
      </c>
      <c r="H69" s="14">
        <v>16.6999999999999</v>
      </c>
      <c r="I69" s="14">
        <v>108</v>
      </c>
      <c r="J69" s="14">
        <v>3.3999999999999901</v>
      </c>
      <c r="K69" s="14">
        <v>3.6699999999999902</v>
      </c>
      <c r="L69" s="14">
        <v>0.19</v>
      </c>
      <c r="M69" s="14">
        <v>2.04</v>
      </c>
      <c r="N69" s="14">
        <v>6.7999999999999901</v>
      </c>
      <c r="O69" s="14">
        <v>0.89</v>
      </c>
      <c r="P69" s="14">
        <v>2.87</v>
      </c>
      <c r="Q69">
        <v>1285</v>
      </c>
    </row>
    <row r="70" spans="3:17" x14ac:dyDescent="0.25">
      <c r="C70" s="15" t="s">
        <v>133</v>
      </c>
      <c r="D70" s="14" t="s">
        <v>14</v>
      </c>
      <c r="E70" s="14">
        <v>12.3699999999999</v>
      </c>
      <c r="F70" s="14">
        <v>0.93999999999999895</v>
      </c>
      <c r="G70" s="14">
        <v>1.36</v>
      </c>
      <c r="H70" s="14">
        <v>10.6</v>
      </c>
      <c r="I70" s="14">
        <v>88</v>
      </c>
      <c r="J70" s="14">
        <v>1.98</v>
      </c>
      <c r="K70" s="14">
        <v>0.56999999999999895</v>
      </c>
      <c r="L70" s="14">
        <v>0.28000000000000003</v>
      </c>
      <c r="M70" s="14">
        <v>0.41999999999999899</v>
      </c>
      <c r="N70" s="14">
        <v>1.95</v>
      </c>
      <c r="O70" s="14">
        <v>1.05</v>
      </c>
      <c r="P70" s="14">
        <v>1.82</v>
      </c>
      <c r="Q70">
        <v>520</v>
      </c>
    </row>
    <row r="71" spans="3:17" x14ac:dyDescent="0.25">
      <c r="C71" s="15" t="s">
        <v>134</v>
      </c>
      <c r="D71" s="14" t="s">
        <v>14</v>
      </c>
      <c r="E71" s="14">
        <v>12.33</v>
      </c>
      <c r="F71" s="14">
        <v>1.1000000000000001</v>
      </c>
      <c r="G71" s="14">
        <v>2.27999999999999</v>
      </c>
      <c r="H71" s="14">
        <v>16</v>
      </c>
      <c r="I71" s="14">
        <v>101</v>
      </c>
      <c r="J71" s="14">
        <v>2.0499999999999901</v>
      </c>
      <c r="K71" s="14">
        <v>1.0900000000000001</v>
      </c>
      <c r="L71" s="14">
        <v>0.63</v>
      </c>
      <c r="M71" s="14">
        <v>0.40999999999999898</v>
      </c>
      <c r="N71" s="14">
        <v>3.27</v>
      </c>
      <c r="O71" s="14">
        <v>1.25</v>
      </c>
      <c r="P71" s="14">
        <v>1.6699999999999899</v>
      </c>
      <c r="Q71">
        <v>680</v>
      </c>
    </row>
    <row r="72" spans="3:17" x14ac:dyDescent="0.25">
      <c r="C72" s="15" t="s">
        <v>135</v>
      </c>
      <c r="D72" s="14" t="s">
        <v>14</v>
      </c>
      <c r="E72" s="14">
        <v>12.64</v>
      </c>
      <c r="F72" s="14">
        <v>1.36</v>
      </c>
      <c r="G72" s="14">
        <v>2.02</v>
      </c>
      <c r="H72" s="14">
        <v>16.8</v>
      </c>
      <c r="I72" s="14">
        <v>100</v>
      </c>
      <c r="J72" s="14">
        <v>2.02</v>
      </c>
      <c r="K72" s="14">
        <v>1.4099999999999899</v>
      </c>
      <c r="L72" s="14">
        <v>0.53</v>
      </c>
      <c r="M72" s="14">
        <v>0.62</v>
      </c>
      <c r="N72" s="14">
        <v>5.75</v>
      </c>
      <c r="O72" s="14">
        <v>0.97999999999999898</v>
      </c>
      <c r="P72" s="14">
        <v>1.59</v>
      </c>
      <c r="Q72">
        <v>450</v>
      </c>
    </row>
    <row r="73" spans="3:17" x14ac:dyDescent="0.25">
      <c r="C73" s="15" t="s">
        <v>138</v>
      </c>
      <c r="D73" s="14" t="s">
        <v>14</v>
      </c>
      <c r="E73" s="14">
        <v>12.17</v>
      </c>
      <c r="F73" s="14">
        <v>1.45</v>
      </c>
      <c r="G73" s="14">
        <v>2.52999999999999</v>
      </c>
      <c r="H73" s="14">
        <v>19</v>
      </c>
      <c r="I73" s="14">
        <v>104</v>
      </c>
      <c r="J73" s="14">
        <v>1.8899999999999899</v>
      </c>
      <c r="K73" s="14">
        <v>1.75</v>
      </c>
      <c r="L73" s="14">
        <v>0.45</v>
      </c>
      <c r="M73" s="14">
        <v>1.03</v>
      </c>
      <c r="N73" s="14">
        <v>2.95</v>
      </c>
      <c r="O73" s="14">
        <v>1.45</v>
      </c>
      <c r="P73" s="14">
        <v>2.23</v>
      </c>
      <c r="Q73">
        <v>355</v>
      </c>
    </row>
    <row r="74" spans="3:17" x14ac:dyDescent="0.25">
      <c r="C74" s="15" t="s">
        <v>139</v>
      </c>
      <c r="D74" s="14" t="s">
        <v>14</v>
      </c>
      <c r="E74" s="14">
        <v>12.3699999999999</v>
      </c>
      <c r="F74" s="14">
        <v>1.21</v>
      </c>
      <c r="G74" s="14">
        <v>2.56</v>
      </c>
      <c r="H74" s="14">
        <v>18.100000000000001</v>
      </c>
      <c r="I74" s="14">
        <v>98</v>
      </c>
      <c r="J74" s="14">
        <v>2.4199999999999902</v>
      </c>
      <c r="K74" s="14">
        <v>2.6499999999999901</v>
      </c>
      <c r="L74" s="14">
        <v>0.37</v>
      </c>
      <c r="M74" s="14">
        <v>2.08</v>
      </c>
      <c r="N74" s="14">
        <v>4.5999999999999899</v>
      </c>
      <c r="O74" s="14">
        <v>1.18999999999999</v>
      </c>
      <c r="P74" s="14">
        <v>2.2999999999999901</v>
      </c>
      <c r="Q74">
        <v>678</v>
      </c>
    </row>
    <row r="75" spans="3:17" x14ac:dyDescent="0.25">
      <c r="C75" s="15" t="s">
        <v>141</v>
      </c>
      <c r="D75" s="14" t="s">
        <v>14</v>
      </c>
      <c r="E75" s="14">
        <v>12.3699999999999</v>
      </c>
      <c r="F75" s="14">
        <v>1.1699999999999899</v>
      </c>
      <c r="G75" s="14">
        <v>1.9199999999999899</v>
      </c>
      <c r="H75" s="14">
        <v>19.600000000000001</v>
      </c>
      <c r="I75" s="14">
        <v>78</v>
      </c>
      <c r="J75" s="14">
        <v>2.1099999999999901</v>
      </c>
      <c r="K75" s="14">
        <v>2</v>
      </c>
      <c r="L75" s="14">
        <v>0.27</v>
      </c>
      <c r="M75" s="14">
        <v>1.04</v>
      </c>
      <c r="N75" s="14">
        <v>4.6799999999999899</v>
      </c>
      <c r="O75" s="14">
        <v>1.1200000000000001</v>
      </c>
      <c r="P75" s="14">
        <v>3.48</v>
      </c>
      <c r="Q75">
        <v>510</v>
      </c>
    </row>
    <row r="76" spans="3:17" x14ac:dyDescent="0.25">
      <c r="C76" s="15" t="s">
        <v>143</v>
      </c>
      <c r="D76" s="14" t="s">
        <v>14</v>
      </c>
      <c r="E76" s="14">
        <v>12.21</v>
      </c>
      <c r="F76" s="14">
        <v>1.18999999999999</v>
      </c>
      <c r="G76" s="14">
        <v>1.75</v>
      </c>
      <c r="H76" s="14">
        <v>16.8</v>
      </c>
      <c r="I76" s="14">
        <v>151</v>
      </c>
      <c r="J76" s="14">
        <v>1.85</v>
      </c>
      <c r="K76" s="14">
        <v>1.28</v>
      </c>
      <c r="L76" s="14">
        <v>0.14000000000000001</v>
      </c>
      <c r="M76" s="14">
        <v>2.5</v>
      </c>
      <c r="N76" s="14">
        <v>2.85</v>
      </c>
      <c r="O76" s="14">
        <v>1.28</v>
      </c>
      <c r="P76" s="14">
        <v>3.0699999999999901</v>
      </c>
      <c r="Q76">
        <v>718</v>
      </c>
    </row>
    <row r="77" spans="3:17" x14ac:dyDescent="0.25">
      <c r="C77" s="15" t="s">
        <v>144</v>
      </c>
      <c r="D77" s="14" t="s">
        <v>14</v>
      </c>
      <c r="E77" s="14">
        <v>12.2899999999999</v>
      </c>
      <c r="F77" s="14">
        <v>1.61</v>
      </c>
      <c r="G77" s="14">
        <v>2.21</v>
      </c>
      <c r="H77" s="14">
        <v>20.399999999999899</v>
      </c>
      <c r="I77" s="14">
        <v>103</v>
      </c>
      <c r="J77" s="14">
        <v>1.1000000000000001</v>
      </c>
      <c r="K77" s="14">
        <v>1.02</v>
      </c>
      <c r="L77" s="14">
        <v>0.37</v>
      </c>
      <c r="M77" s="14">
        <v>1.46</v>
      </c>
      <c r="N77" s="14">
        <v>3.0499999999999901</v>
      </c>
      <c r="O77" s="14">
        <v>0.90600000000000003</v>
      </c>
      <c r="P77" s="14">
        <v>1.82</v>
      </c>
      <c r="Q77">
        <v>870</v>
      </c>
    </row>
    <row r="78" spans="3:17" x14ac:dyDescent="0.25">
      <c r="C78" s="15" t="s">
        <v>146</v>
      </c>
      <c r="D78" s="14" t="s">
        <v>14</v>
      </c>
      <c r="E78" s="14">
        <v>13.49</v>
      </c>
      <c r="F78" s="14">
        <v>1.6599999999999899</v>
      </c>
      <c r="G78" s="14">
        <v>2.2400000000000002</v>
      </c>
      <c r="H78" s="14">
        <v>24</v>
      </c>
      <c r="I78" s="14">
        <v>87</v>
      </c>
      <c r="J78" s="14">
        <v>1.8799999999999899</v>
      </c>
      <c r="K78" s="14">
        <v>1.84</v>
      </c>
      <c r="L78" s="14">
        <v>0.27</v>
      </c>
      <c r="M78" s="14">
        <v>1.03</v>
      </c>
      <c r="N78" s="14">
        <v>3.74</v>
      </c>
      <c r="O78" s="14">
        <v>0.97999999999999898</v>
      </c>
      <c r="P78" s="14">
        <v>2.77999999999999</v>
      </c>
      <c r="Q78">
        <v>472</v>
      </c>
    </row>
    <row r="79" spans="3:17" x14ac:dyDescent="0.25">
      <c r="C79" s="15" t="s">
        <v>149</v>
      </c>
      <c r="D79" s="14" t="s">
        <v>14</v>
      </c>
      <c r="E79" s="14">
        <v>11.66</v>
      </c>
      <c r="F79" s="14">
        <v>1.8799999999999899</v>
      </c>
      <c r="G79" s="14">
        <v>1.9199999999999899</v>
      </c>
      <c r="H79" s="14">
        <v>16</v>
      </c>
      <c r="I79" s="14">
        <v>97</v>
      </c>
      <c r="J79" s="14">
        <v>1.61</v>
      </c>
      <c r="K79" s="14">
        <v>1.57</v>
      </c>
      <c r="L79" s="14">
        <v>0.34</v>
      </c>
      <c r="M79" s="14">
        <v>1.1499999999999899</v>
      </c>
      <c r="N79" s="14">
        <v>3.7999999999999901</v>
      </c>
      <c r="O79" s="14">
        <v>1.23</v>
      </c>
      <c r="P79" s="14">
        <v>2.14</v>
      </c>
      <c r="Q79">
        <v>428</v>
      </c>
    </row>
    <row r="80" spans="3:17" x14ac:dyDescent="0.25">
      <c r="C80" s="15" t="s">
        <v>151</v>
      </c>
      <c r="D80" s="14" t="s">
        <v>14</v>
      </c>
      <c r="E80" s="14">
        <v>11.84</v>
      </c>
      <c r="F80" s="14">
        <v>2.89</v>
      </c>
      <c r="G80" s="14">
        <v>2.23</v>
      </c>
      <c r="H80" s="14">
        <v>18</v>
      </c>
      <c r="I80" s="14">
        <v>112</v>
      </c>
      <c r="J80" s="14">
        <v>1.72</v>
      </c>
      <c r="K80" s="14">
        <v>1.32</v>
      </c>
      <c r="L80" s="14">
        <v>0.42999999999999899</v>
      </c>
      <c r="M80" s="14">
        <v>0.94999999999999896</v>
      </c>
      <c r="N80" s="14">
        <v>2.6499999999999901</v>
      </c>
      <c r="O80" s="14">
        <v>0.95999999999999897</v>
      </c>
      <c r="P80" s="14">
        <v>2.52</v>
      </c>
      <c r="Q80">
        <v>500</v>
      </c>
    </row>
    <row r="81" spans="3:17" x14ac:dyDescent="0.25">
      <c r="C81" s="15" t="s">
        <v>153</v>
      </c>
      <c r="D81" s="14" t="s">
        <v>14</v>
      </c>
      <c r="E81" s="14">
        <v>12.6999999999999</v>
      </c>
      <c r="F81" s="14">
        <v>3.87</v>
      </c>
      <c r="G81" s="14">
        <v>2.3999999999999901</v>
      </c>
      <c r="H81" s="14">
        <v>23</v>
      </c>
      <c r="I81" s="14">
        <v>101</v>
      </c>
      <c r="J81" s="14">
        <v>2.83</v>
      </c>
      <c r="K81" s="14">
        <v>2.5499999999999901</v>
      </c>
      <c r="L81" s="14">
        <v>0.42999999999999899</v>
      </c>
      <c r="M81" s="14">
        <v>1.95</v>
      </c>
      <c r="N81" s="14">
        <v>2.5699999999999901</v>
      </c>
      <c r="O81" s="14">
        <v>1.18999999999999</v>
      </c>
      <c r="P81" s="14">
        <v>3.1299999999999901</v>
      </c>
      <c r="Q81">
        <v>463</v>
      </c>
    </row>
    <row r="82" spans="3:17" x14ac:dyDescent="0.25">
      <c r="C82" s="15" t="s">
        <v>154</v>
      </c>
      <c r="D82" s="14" t="s">
        <v>14</v>
      </c>
      <c r="E82" s="14">
        <v>12</v>
      </c>
      <c r="F82" s="14">
        <v>0.92</v>
      </c>
      <c r="G82" s="14">
        <v>2</v>
      </c>
      <c r="H82" s="14">
        <v>19</v>
      </c>
      <c r="I82" s="14">
        <v>86</v>
      </c>
      <c r="J82" s="14">
        <v>2.4199999999999902</v>
      </c>
      <c r="K82" s="14">
        <v>2.25999999999999</v>
      </c>
      <c r="L82" s="14">
        <v>0.29999999999999899</v>
      </c>
      <c r="M82" s="14">
        <v>1.4299999999999899</v>
      </c>
      <c r="N82" s="14">
        <v>2.5</v>
      </c>
      <c r="O82" s="14">
        <v>1.3799999999999899</v>
      </c>
      <c r="P82" s="14">
        <v>3.12</v>
      </c>
      <c r="Q82">
        <v>278</v>
      </c>
    </row>
    <row r="83" spans="3:17" x14ac:dyDescent="0.25">
      <c r="C83" s="15" t="s">
        <v>155</v>
      </c>
      <c r="D83" s="14" t="s">
        <v>14</v>
      </c>
      <c r="E83" s="14">
        <v>12.72</v>
      </c>
      <c r="F83" s="14">
        <v>1.81</v>
      </c>
      <c r="G83" s="14">
        <v>2.2000000000000002</v>
      </c>
      <c r="H83" s="14">
        <v>18.8</v>
      </c>
      <c r="I83" s="14">
        <v>86</v>
      </c>
      <c r="J83" s="14">
        <v>2.2000000000000002</v>
      </c>
      <c r="K83" s="14">
        <v>2.52999999999999</v>
      </c>
      <c r="L83" s="14">
        <v>0.26</v>
      </c>
      <c r="M83" s="14">
        <v>1.77</v>
      </c>
      <c r="N83" s="14">
        <v>3.8999999999999901</v>
      </c>
      <c r="O83" s="14">
        <v>1.1599999999999899</v>
      </c>
      <c r="P83" s="14">
        <v>3.14</v>
      </c>
      <c r="Q83">
        <v>714</v>
      </c>
    </row>
    <row r="84" spans="3:17" x14ac:dyDescent="0.25">
      <c r="C84" s="15" t="s">
        <v>156</v>
      </c>
      <c r="D84" s="14" t="s">
        <v>14</v>
      </c>
      <c r="E84" s="14">
        <v>12.08</v>
      </c>
      <c r="F84" s="14">
        <v>1.1299999999999899</v>
      </c>
      <c r="G84" s="14">
        <v>2.50999999999999</v>
      </c>
      <c r="H84" s="14">
        <v>24</v>
      </c>
      <c r="I84" s="14">
        <v>78</v>
      </c>
      <c r="J84" s="14">
        <v>2</v>
      </c>
      <c r="K84" s="14">
        <v>1.58</v>
      </c>
      <c r="L84" s="14">
        <v>0.4</v>
      </c>
      <c r="M84" s="14">
        <v>1.3999999999999899</v>
      </c>
      <c r="N84" s="14">
        <v>2.2000000000000002</v>
      </c>
      <c r="O84" s="14">
        <v>1.31</v>
      </c>
      <c r="P84" s="14">
        <v>2.72</v>
      </c>
      <c r="Q84">
        <v>630</v>
      </c>
    </row>
    <row r="85" spans="3:17" x14ac:dyDescent="0.25">
      <c r="C85" s="15" t="s">
        <v>157</v>
      </c>
      <c r="D85" s="14" t="s">
        <v>14</v>
      </c>
      <c r="E85" s="14">
        <v>13.05</v>
      </c>
      <c r="F85" s="14">
        <v>3.8599999999999901</v>
      </c>
      <c r="G85" s="14">
        <v>2.3199999999999901</v>
      </c>
      <c r="H85" s="14">
        <v>22.5</v>
      </c>
      <c r="I85" s="14">
        <v>85</v>
      </c>
      <c r="J85" s="14">
        <v>1.6499999999999899</v>
      </c>
      <c r="K85" s="14">
        <v>1.59</v>
      </c>
      <c r="L85" s="14">
        <v>0.60999999999999899</v>
      </c>
      <c r="M85" s="14">
        <v>1.62</v>
      </c>
      <c r="N85" s="14">
        <v>4.7999999999999901</v>
      </c>
      <c r="O85" s="14">
        <v>0.83999999999999897</v>
      </c>
      <c r="P85" s="14">
        <v>2.00999999999999</v>
      </c>
      <c r="Q85">
        <v>515</v>
      </c>
    </row>
    <row r="86" spans="3:17" x14ac:dyDescent="0.25">
      <c r="C86" s="15" t="s">
        <v>161</v>
      </c>
      <c r="D86" s="14" t="s">
        <v>14</v>
      </c>
      <c r="E86" s="14">
        <v>11.65</v>
      </c>
      <c r="F86" s="14">
        <v>1.6699999999999899</v>
      </c>
      <c r="G86" s="14">
        <v>2.62</v>
      </c>
      <c r="H86" s="14">
        <v>26</v>
      </c>
      <c r="I86" s="14">
        <v>88</v>
      </c>
      <c r="J86" s="14">
        <v>1.9199999999999899</v>
      </c>
      <c r="K86" s="14">
        <v>1.61</v>
      </c>
      <c r="L86" s="14">
        <v>0.4</v>
      </c>
      <c r="M86" s="14">
        <v>1.34</v>
      </c>
      <c r="N86" s="14">
        <v>2.6</v>
      </c>
      <c r="O86" s="14">
        <v>1.36</v>
      </c>
      <c r="P86" s="14">
        <v>3.21</v>
      </c>
      <c r="Q86">
        <v>562</v>
      </c>
    </row>
    <row r="87" spans="3:17" x14ac:dyDescent="0.25">
      <c r="C87" s="15" t="s">
        <v>162</v>
      </c>
      <c r="D87" s="14" t="s">
        <v>14</v>
      </c>
      <c r="E87" s="14">
        <v>11.64</v>
      </c>
      <c r="F87" s="14">
        <v>2.06</v>
      </c>
      <c r="G87" s="14">
        <v>2.46</v>
      </c>
      <c r="H87" s="14">
        <v>21.6</v>
      </c>
      <c r="I87" s="14">
        <v>84</v>
      </c>
      <c r="J87" s="14">
        <v>1.95</v>
      </c>
      <c r="K87" s="14">
        <v>1.68999999999999</v>
      </c>
      <c r="L87" s="14">
        <v>0.47999999999999898</v>
      </c>
      <c r="M87" s="14">
        <v>1.35</v>
      </c>
      <c r="N87" s="14">
        <v>2.7999999999999901</v>
      </c>
      <c r="O87" s="14">
        <v>1</v>
      </c>
      <c r="P87" s="14">
        <v>2.75</v>
      </c>
      <c r="Q87">
        <v>680</v>
      </c>
    </row>
    <row r="88" spans="3:17" x14ac:dyDescent="0.25">
      <c r="C88" s="15" t="s">
        <v>164</v>
      </c>
      <c r="D88" s="14" t="s">
        <v>14</v>
      </c>
      <c r="E88" s="14">
        <v>12.08</v>
      </c>
      <c r="F88" s="14">
        <v>1.83</v>
      </c>
      <c r="G88" s="14">
        <v>2.3199999999999901</v>
      </c>
      <c r="H88" s="14">
        <v>18.5</v>
      </c>
      <c r="I88" s="14">
        <v>81</v>
      </c>
      <c r="J88" s="14">
        <v>1.6</v>
      </c>
      <c r="K88" s="14">
        <v>1.5</v>
      </c>
      <c r="L88" s="14">
        <v>0.52</v>
      </c>
      <c r="M88" s="14">
        <v>1.6399999999999899</v>
      </c>
      <c r="N88" s="14">
        <v>2.3999999999999901</v>
      </c>
      <c r="O88" s="14">
        <v>1.08</v>
      </c>
      <c r="P88" s="14">
        <v>2.27</v>
      </c>
      <c r="Q88">
        <v>480</v>
      </c>
    </row>
    <row r="89" spans="3:17" x14ac:dyDescent="0.25">
      <c r="C89" s="15" t="s">
        <v>165</v>
      </c>
      <c r="D89" s="14" t="s">
        <v>14</v>
      </c>
      <c r="E89" s="14">
        <v>12</v>
      </c>
      <c r="F89" s="14">
        <v>1.51</v>
      </c>
      <c r="G89" s="14">
        <v>2.4199999999999902</v>
      </c>
      <c r="H89" s="14">
        <v>22</v>
      </c>
      <c r="I89" s="14">
        <v>86</v>
      </c>
      <c r="J89" s="14">
        <v>1.45</v>
      </c>
      <c r="K89" s="14">
        <v>1.25</v>
      </c>
      <c r="L89" s="14">
        <v>0.5</v>
      </c>
      <c r="M89" s="14">
        <v>1.6299999999999899</v>
      </c>
      <c r="N89" s="14">
        <v>3.6</v>
      </c>
      <c r="O89" s="14">
        <v>1.05</v>
      </c>
      <c r="P89" s="14">
        <v>2.6499999999999901</v>
      </c>
      <c r="Q89">
        <v>450</v>
      </c>
    </row>
    <row r="90" spans="3:17" x14ac:dyDescent="0.25">
      <c r="C90" s="15" t="s">
        <v>168</v>
      </c>
      <c r="D90" s="14" t="s">
        <v>14</v>
      </c>
      <c r="E90" s="14">
        <v>11.6199999999999</v>
      </c>
      <c r="F90" s="14">
        <v>1.99</v>
      </c>
      <c r="G90" s="14">
        <v>2.27999999999999</v>
      </c>
      <c r="H90" s="14">
        <v>18</v>
      </c>
      <c r="I90" s="14">
        <v>98</v>
      </c>
      <c r="J90" s="14">
        <v>3.02</v>
      </c>
      <c r="K90" s="14">
        <v>2.25999999999999</v>
      </c>
      <c r="L90" s="14">
        <v>0.17</v>
      </c>
      <c r="M90" s="14">
        <v>1.35</v>
      </c>
      <c r="N90" s="14">
        <v>3.25</v>
      </c>
      <c r="O90" s="14">
        <v>1.1599999999999899</v>
      </c>
      <c r="P90" s="14">
        <v>2.96</v>
      </c>
      <c r="Q90">
        <v>345</v>
      </c>
    </row>
    <row r="91" spans="3:17" x14ac:dyDescent="0.25">
      <c r="C91" s="15" t="s">
        <v>170</v>
      </c>
      <c r="D91" s="14" t="s">
        <v>14</v>
      </c>
      <c r="E91" s="14">
        <v>11.81</v>
      </c>
      <c r="F91" s="14">
        <v>2.12</v>
      </c>
      <c r="G91" s="14">
        <v>2.74</v>
      </c>
      <c r="H91" s="14">
        <v>21.5</v>
      </c>
      <c r="I91" s="14">
        <v>134</v>
      </c>
      <c r="J91" s="14">
        <v>1.6</v>
      </c>
      <c r="K91" s="14">
        <v>0.98999999999999899</v>
      </c>
      <c r="L91" s="14">
        <v>0.14000000000000001</v>
      </c>
      <c r="M91" s="14">
        <v>1.56</v>
      </c>
      <c r="N91" s="14">
        <v>2.5</v>
      </c>
      <c r="O91" s="14">
        <v>0.94999999999999896</v>
      </c>
      <c r="P91" s="14">
        <v>2.25999999999999</v>
      </c>
      <c r="Q91">
        <v>625</v>
      </c>
    </row>
    <row r="92" spans="3:17" x14ac:dyDescent="0.25">
      <c r="C92" s="15" t="s">
        <v>171</v>
      </c>
      <c r="D92" s="14" t="s">
        <v>14</v>
      </c>
      <c r="E92" s="14">
        <v>12.2899999999999</v>
      </c>
      <c r="F92" s="14">
        <v>1.4099999999999899</v>
      </c>
      <c r="G92" s="14">
        <v>1.98</v>
      </c>
      <c r="H92" s="14">
        <v>16</v>
      </c>
      <c r="I92" s="14">
        <v>85</v>
      </c>
      <c r="J92" s="14">
        <v>2.5499999999999901</v>
      </c>
      <c r="K92" s="14">
        <v>2.5</v>
      </c>
      <c r="L92" s="14">
        <v>0.28999999999999898</v>
      </c>
      <c r="M92" s="14">
        <v>1.77</v>
      </c>
      <c r="N92" s="14">
        <v>2.8999999999999901</v>
      </c>
      <c r="O92" s="14">
        <v>1.23</v>
      </c>
      <c r="P92" s="14">
        <v>2.74</v>
      </c>
      <c r="Q92">
        <v>428</v>
      </c>
    </row>
    <row r="93" spans="3:17" x14ac:dyDescent="0.25">
      <c r="C93" s="15" t="s">
        <v>173</v>
      </c>
      <c r="D93" s="14" t="s">
        <v>14</v>
      </c>
      <c r="E93" s="14">
        <v>12.2899999999999</v>
      </c>
      <c r="F93" s="14">
        <v>3.1699999999999902</v>
      </c>
      <c r="G93" s="14">
        <v>2.21</v>
      </c>
      <c r="H93" s="14">
        <v>18</v>
      </c>
      <c r="I93" s="14">
        <v>88</v>
      </c>
      <c r="J93" s="14">
        <v>2.85</v>
      </c>
      <c r="K93" s="14">
        <v>2.99</v>
      </c>
      <c r="L93" s="14">
        <v>0.45</v>
      </c>
      <c r="M93" s="14">
        <v>2.81</v>
      </c>
      <c r="N93" s="14">
        <v>2.2999999999999901</v>
      </c>
      <c r="O93" s="14">
        <v>1.4199999999999899</v>
      </c>
      <c r="P93" s="14">
        <v>2.83</v>
      </c>
      <c r="Q93">
        <v>406</v>
      </c>
    </row>
    <row r="94" spans="3:17" x14ac:dyDescent="0.25">
      <c r="C94" s="15" t="s">
        <v>178</v>
      </c>
      <c r="D94" s="14" t="s">
        <v>14</v>
      </c>
      <c r="E94" s="14">
        <v>12.51</v>
      </c>
      <c r="F94" s="14">
        <v>1.73</v>
      </c>
      <c r="G94" s="14">
        <v>1.98</v>
      </c>
      <c r="H94" s="14">
        <v>20.5</v>
      </c>
      <c r="I94" s="14">
        <v>85</v>
      </c>
      <c r="J94" s="14">
        <v>2.2000000000000002</v>
      </c>
      <c r="K94" s="14">
        <v>1.9199999999999899</v>
      </c>
      <c r="L94" s="14">
        <v>0.32</v>
      </c>
      <c r="M94" s="14">
        <v>1.48</v>
      </c>
      <c r="N94" s="14">
        <v>2.9399999999999902</v>
      </c>
      <c r="O94" s="14">
        <v>1.04</v>
      </c>
      <c r="P94" s="14">
        <v>3.5699999999999901</v>
      </c>
      <c r="Q94">
        <v>672</v>
      </c>
    </row>
    <row r="95" spans="3:17" x14ac:dyDescent="0.25">
      <c r="C95" s="15" t="s">
        <v>179</v>
      </c>
      <c r="D95" s="14" t="s">
        <v>14</v>
      </c>
      <c r="E95" s="14">
        <v>12.42</v>
      </c>
      <c r="F95" s="14">
        <v>2.5499999999999901</v>
      </c>
      <c r="G95" s="14">
        <v>2.27</v>
      </c>
      <c r="H95" s="14">
        <v>22</v>
      </c>
      <c r="I95" s="14">
        <v>90</v>
      </c>
      <c r="J95" s="14">
        <v>1.6799999999999899</v>
      </c>
      <c r="K95" s="14">
        <v>1.84</v>
      </c>
      <c r="L95" s="14">
        <v>0.66</v>
      </c>
      <c r="M95" s="14">
        <v>1.4199999999999899</v>
      </c>
      <c r="N95" s="14">
        <v>2.7</v>
      </c>
      <c r="O95" s="14">
        <v>0.85999999999999899</v>
      </c>
      <c r="P95" s="14">
        <v>3.2999999999999901</v>
      </c>
      <c r="Q95">
        <v>315</v>
      </c>
    </row>
    <row r="96" spans="3:17" x14ac:dyDescent="0.25">
      <c r="C96" s="15" t="s">
        <v>180</v>
      </c>
      <c r="D96" s="14" t="s">
        <v>14</v>
      </c>
      <c r="E96" s="14">
        <v>12.25</v>
      </c>
      <c r="F96" s="14">
        <v>1.73</v>
      </c>
      <c r="G96" s="14">
        <v>2.12</v>
      </c>
      <c r="H96" s="14">
        <v>19</v>
      </c>
      <c r="I96" s="14">
        <v>80</v>
      </c>
      <c r="J96" s="14">
        <v>1.6499999999999899</v>
      </c>
      <c r="K96" s="14">
        <v>2.02999999999999</v>
      </c>
      <c r="L96" s="14">
        <v>0.37</v>
      </c>
      <c r="M96" s="14">
        <v>1.6299999999999899</v>
      </c>
      <c r="N96" s="14">
        <v>3.3999999999999901</v>
      </c>
      <c r="O96" s="14">
        <v>1</v>
      </c>
      <c r="P96" s="14">
        <v>3.1699999999999902</v>
      </c>
      <c r="Q96">
        <v>510</v>
      </c>
    </row>
    <row r="97" spans="3:17" x14ac:dyDescent="0.25">
      <c r="C97" s="15" t="s">
        <v>181</v>
      </c>
      <c r="D97" s="14" t="s">
        <v>14</v>
      </c>
      <c r="E97" s="14">
        <v>12.72</v>
      </c>
      <c r="F97" s="14">
        <v>1.75</v>
      </c>
      <c r="G97" s="14">
        <v>2.27999999999999</v>
      </c>
      <c r="H97" s="14">
        <v>22.5</v>
      </c>
      <c r="I97" s="14">
        <v>84</v>
      </c>
      <c r="J97" s="14">
        <v>1.3799999999999899</v>
      </c>
      <c r="K97" s="14">
        <v>1.76</v>
      </c>
      <c r="L97" s="14">
        <v>0.47999999999999898</v>
      </c>
      <c r="M97" s="14">
        <v>1.6299999999999899</v>
      </c>
      <c r="N97" s="14">
        <v>3.2999999999999901</v>
      </c>
      <c r="O97" s="14">
        <v>0.88</v>
      </c>
      <c r="P97" s="14">
        <v>2.4199999999999902</v>
      </c>
      <c r="Q97">
        <v>488</v>
      </c>
    </row>
    <row r="98" spans="3:17" x14ac:dyDescent="0.25">
      <c r="C98" s="15" t="s">
        <v>182</v>
      </c>
      <c r="D98" s="14" t="s">
        <v>14</v>
      </c>
      <c r="E98" s="14">
        <v>12.22</v>
      </c>
      <c r="F98" s="14">
        <v>1.29</v>
      </c>
      <c r="G98" s="14">
        <v>1.93999999999999</v>
      </c>
      <c r="H98" s="14">
        <v>19</v>
      </c>
      <c r="I98" s="14">
        <v>92</v>
      </c>
      <c r="J98" s="14">
        <v>2.3599999999999901</v>
      </c>
      <c r="K98" s="14">
        <v>2.04</v>
      </c>
      <c r="L98" s="14">
        <v>0.39</v>
      </c>
      <c r="M98" s="14">
        <v>2.08</v>
      </c>
      <c r="N98" s="14">
        <v>2.7</v>
      </c>
      <c r="O98" s="14">
        <v>0.85999999999999899</v>
      </c>
      <c r="P98" s="14">
        <v>3.02</v>
      </c>
      <c r="Q98">
        <v>312</v>
      </c>
    </row>
    <row r="99" spans="3:17" x14ac:dyDescent="0.25">
      <c r="C99" s="15" t="s">
        <v>183</v>
      </c>
      <c r="D99" s="14" t="s">
        <v>14</v>
      </c>
      <c r="E99" s="14">
        <v>11.6099999999999</v>
      </c>
      <c r="F99" s="14">
        <v>1.35</v>
      </c>
      <c r="G99" s="14">
        <v>2.7</v>
      </c>
      <c r="H99" s="14">
        <v>20</v>
      </c>
      <c r="I99" s="14">
        <v>94</v>
      </c>
      <c r="J99" s="14">
        <v>2.74</v>
      </c>
      <c r="K99" s="14">
        <v>2.9199999999999902</v>
      </c>
      <c r="L99" s="14">
        <v>0.28999999999999898</v>
      </c>
      <c r="M99" s="14">
        <v>2.4900000000000002</v>
      </c>
      <c r="N99" s="14">
        <v>2.6499999999999901</v>
      </c>
      <c r="O99" s="14">
        <v>0.95999999999999897</v>
      </c>
      <c r="P99" s="14">
        <v>3.25999999999999</v>
      </c>
      <c r="Q99">
        <v>680</v>
      </c>
    </row>
    <row r="100" spans="3:17" x14ac:dyDescent="0.25">
      <c r="C100" s="15" t="s">
        <v>185</v>
      </c>
      <c r="D100" s="14" t="s">
        <v>14</v>
      </c>
      <c r="E100" s="14">
        <v>12.52</v>
      </c>
      <c r="F100" s="14">
        <v>2.4300000000000002</v>
      </c>
      <c r="G100" s="14">
        <v>2.1699999999999902</v>
      </c>
      <c r="H100" s="14">
        <v>21</v>
      </c>
      <c r="I100" s="14">
        <v>88</v>
      </c>
      <c r="J100" s="14">
        <v>2.5499999999999901</v>
      </c>
      <c r="K100" s="14">
        <v>2.27</v>
      </c>
      <c r="L100" s="14">
        <v>0.26</v>
      </c>
      <c r="M100" s="14">
        <v>1.22</v>
      </c>
      <c r="N100" s="14">
        <v>2</v>
      </c>
      <c r="O100" s="14">
        <v>0.9</v>
      </c>
      <c r="P100" s="14">
        <v>2.77999999999999</v>
      </c>
      <c r="Q100">
        <v>325</v>
      </c>
    </row>
    <row r="101" spans="3:17" x14ac:dyDescent="0.25">
      <c r="C101" s="15" t="s">
        <v>186</v>
      </c>
      <c r="D101" s="14" t="s">
        <v>14</v>
      </c>
      <c r="E101" s="14">
        <v>11.76</v>
      </c>
      <c r="F101" s="14">
        <v>2.68</v>
      </c>
      <c r="G101" s="14">
        <v>2.9199999999999902</v>
      </c>
      <c r="H101" s="14">
        <v>20</v>
      </c>
      <c r="I101" s="14">
        <v>103</v>
      </c>
      <c r="J101" s="14">
        <v>1.75</v>
      </c>
      <c r="K101" s="14">
        <v>2.02999999999999</v>
      </c>
      <c r="L101" s="14">
        <v>0.59999999999999898</v>
      </c>
      <c r="M101" s="14">
        <v>1.05</v>
      </c>
      <c r="N101" s="14">
        <v>3.7999999999999901</v>
      </c>
      <c r="O101" s="14">
        <v>1.23</v>
      </c>
      <c r="P101" s="14">
        <v>2.5</v>
      </c>
      <c r="Q101">
        <v>607</v>
      </c>
    </row>
    <row r="102" spans="3:17" x14ac:dyDescent="0.25">
      <c r="C102" s="15" t="s">
        <v>187</v>
      </c>
      <c r="D102" s="14" t="s">
        <v>14</v>
      </c>
      <c r="E102" s="14">
        <v>11.41</v>
      </c>
      <c r="F102" s="14">
        <v>0.73999999999999899</v>
      </c>
      <c r="G102" s="14">
        <v>2.5</v>
      </c>
      <c r="H102" s="14">
        <v>21</v>
      </c>
      <c r="I102" s="14">
        <v>88</v>
      </c>
      <c r="J102" s="14">
        <v>2.48</v>
      </c>
      <c r="K102" s="14">
        <v>2.00999999999999</v>
      </c>
      <c r="L102" s="14">
        <v>0.41999999999999899</v>
      </c>
      <c r="M102" s="14">
        <v>1.43999999999999</v>
      </c>
      <c r="N102" s="14">
        <v>3.08</v>
      </c>
      <c r="O102" s="14">
        <v>1.1000000000000001</v>
      </c>
      <c r="P102" s="14">
        <v>2.31</v>
      </c>
      <c r="Q102">
        <v>434</v>
      </c>
    </row>
    <row r="103" spans="3:17" x14ac:dyDescent="0.25">
      <c r="C103" s="15" t="s">
        <v>188</v>
      </c>
      <c r="D103" s="14" t="s">
        <v>14</v>
      </c>
      <c r="E103" s="14">
        <v>12.08</v>
      </c>
      <c r="F103" s="14">
        <v>1.3899999999999899</v>
      </c>
      <c r="G103" s="14">
        <v>2.5</v>
      </c>
      <c r="H103" s="14">
        <v>22.5</v>
      </c>
      <c r="I103" s="14">
        <v>84</v>
      </c>
      <c r="J103" s="14">
        <v>2.56</v>
      </c>
      <c r="K103" s="14">
        <v>2.29</v>
      </c>
      <c r="L103" s="14">
        <v>0.42999999999999899</v>
      </c>
      <c r="M103" s="14">
        <v>1.04</v>
      </c>
      <c r="N103" s="14">
        <v>2.8999999999999901</v>
      </c>
      <c r="O103" s="14">
        <v>0.93</v>
      </c>
      <c r="P103" s="14">
        <v>3.1899999999999902</v>
      </c>
      <c r="Q103">
        <v>385</v>
      </c>
    </row>
    <row r="104" spans="3:17" x14ac:dyDescent="0.25">
      <c r="C104" s="15" t="s">
        <v>190</v>
      </c>
      <c r="D104" s="14" t="s">
        <v>14</v>
      </c>
      <c r="E104" s="14">
        <v>11.82</v>
      </c>
      <c r="F104" s="14">
        <v>1.47</v>
      </c>
      <c r="G104" s="14">
        <v>1.99</v>
      </c>
      <c r="H104" s="14">
        <v>20.8</v>
      </c>
      <c r="I104" s="14">
        <v>86</v>
      </c>
      <c r="J104" s="14">
        <v>1.98</v>
      </c>
      <c r="K104" s="14">
        <v>1.6</v>
      </c>
      <c r="L104" s="14">
        <v>0.29999999999999899</v>
      </c>
      <c r="M104" s="14">
        <v>1.53</v>
      </c>
      <c r="N104" s="14">
        <v>1.95</v>
      </c>
      <c r="O104" s="14">
        <v>0.94999999999999896</v>
      </c>
      <c r="P104" s="14">
        <v>3.33</v>
      </c>
      <c r="Q104">
        <v>495</v>
      </c>
    </row>
    <row r="105" spans="3:17" x14ac:dyDescent="0.25">
      <c r="C105" s="15" t="s">
        <v>191</v>
      </c>
      <c r="D105" s="14" t="s">
        <v>14</v>
      </c>
      <c r="E105" s="14">
        <v>12.42</v>
      </c>
      <c r="F105" s="14">
        <v>1.61</v>
      </c>
      <c r="G105" s="14">
        <v>2.1899999999999902</v>
      </c>
      <c r="H105" s="14">
        <v>22.5</v>
      </c>
      <c r="I105" s="14">
        <v>108</v>
      </c>
      <c r="J105" s="14">
        <v>2</v>
      </c>
      <c r="K105" s="14">
        <v>2.0899999999999901</v>
      </c>
      <c r="L105" s="14">
        <v>0.34</v>
      </c>
      <c r="M105" s="14">
        <v>1.61</v>
      </c>
      <c r="N105" s="14">
        <v>2.06</v>
      </c>
      <c r="O105" s="14">
        <v>1.06</v>
      </c>
      <c r="P105" s="14">
        <v>2.96</v>
      </c>
      <c r="Q105">
        <v>345</v>
      </c>
    </row>
    <row r="106" spans="3:17" x14ac:dyDescent="0.25">
      <c r="C106" s="15" t="s">
        <v>192</v>
      </c>
      <c r="D106" s="14" t="s">
        <v>14</v>
      </c>
      <c r="E106" s="14">
        <v>12.77</v>
      </c>
      <c r="F106" s="14">
        <v>3.43</v>
      </c>
      <c r="G106" s="14">
        <v>1.98</v>
      </c>
      <c r="H106" s="14">
        <v>16</v>
      </c>
      <c r="I106" s="14">
        <v>80</v>
      </c>
      <c r="J106" s="14">
        <v>1.6299999999999899</v>
      </c>
      <c r="K106" s="14">
        <v>1.25</v>
      </c>
      <c r="L106" s="14">
        <v>0.42999999999999899</v>
      </c>
      <c r="M106" s="14">
        <v>0.82999999999999896</v>
      </c>
      <c r="N106" s="14">
        <v>3.3999999999999901</v>
      </c>
      <c r="O106" s="14">
        <v>0.69999999999999896</v>
      </c>
      <c r="P106" s="14">
        <v>2.12</v>
      </c>
      <c r="Q106">
        <v>372</v>
      </c>
    </row>
    <row r="107" spans="3:17" x14ac:dyDescent="0.25">
      <c r="C107" s="15" t="s">
        <v>193</v>
      </c>
      <c r="D107" s="14" t="s">
        <v>14</v>
      </c>
      <c r="E107" s="14">
        <v>12</v>
      </c>
      <c r="F107" s="14">
        <v>3.43</v>
      </c>
      <c r="G107" s="14">
        <v>2</v>
      </c>
      <c r="H107" s="14">
        <v>19</v>
      </c>
      <c r="I107" s="14">
        <v>87</v>
      </c>
      <c r="J107" s="14">
        <v>2</v>
      </c>
      <c r="K107" s="14">
        <v>1.6399999999999899</v>
      </c>
      <c r="L107" s="14">
        <v>0.37</v>
      </c>
      <c r="M107" s="14">
        <v>1.87</v>
      </c>
      <c r="N107" s="14">
        <v>1.28</v>
      </c>
      <c r="O107" s="14">
        <v>0.93</v>
      </c>
      <c r="P107" s="14">
        <v>3.0499999999999901</v>
      </c>
      <c r="Q107">
        <v>564</v>
      </c>
    </row>
    <row r="108" spans="3:17" x14ac:dyDescent="0.25">
      <c r="C108" s="15" t="s">
        <v>195</v>
      </c>
      <c r="D108" s="14" t="s">
        <v>14</v>
      </c>
      <c r="E108" s="14">
        <v>11.56</v>
      </c>
      <c r="F108" s="14">
        <v>2.0499999999999901</v>
      </c>
      <c r="G108" s="14">
        <v>3.23</v>
      </c>
      <c r="H108" s="14">
        <v>28.5</v>
      </c>
      <c r="I108" s="14">
        <v>119</v>
      </c>
      <c r="J108" s="14">
        <v>3.18</v>
      </c>
      <c r="K108" s="14">
        <v>5.08</v>
      </c>
      <c r="L108" s="14">
        <v>0.46999999999999897</v>
      </c>
      <c r="M108" s="14">
        <v>1.87</v>
      </c>
      <c r="N108" s="14">
        <v>6</v>
      </c>
      <c r="O108" s="14">
        <v>0.93</v>
      </c>
      <c r="P108" s="14">
        <v>3.6899999999999902</v>
      </c>
      <c r="Q108">
        <v>465</v>
      </c>
    </row>
    <row r="109" spans="3:17" x14ac:dyDescent="0.25">
      <c r="C109" s="15" t="s">
        <v>196</v>
      </c>
      <c r="D109" s="14" t="s">
        <v>14</v>
      </c>
      <c r="E109" s="14">
        <v>12.42</v>
      </c>
      <c r="F109" s="14">
        <v>4.4299999999999899</v>
      </c>
      <c r="G109" s="14">
        <v>2.73</v>
      </c>
      <c r="H109" s="14">
        <v>26.5</v>
      </c>
      <c r="I109" s="14">
        <v>102</v>
      </c>
      <c r="J109" s="14">
        <v>2.2000000000000002</v>
      </c>
      <c r="K109" s="14">
        <v>2.1299999999999901</v>
      </c>
      <c r="L109" s="14">
        <v>0.42999999999999899</v>
      </c>
      <c r="M109" s="14">
        <v>1.71</v>
      </c>
      <c r="N109" s="14">
        <v>2.08</v>
      </c>
      <c r="O109" s="14">
        <v>0.92</v>
      </c>
      <c r="P109" s="14">
        <v>3.12</v>
      </c>
      <c r="Q109">
        <v>365</v>
      </c>
    </row>
    <row r="110" spans="3:17" x14ac:dyDescent="0.25">
      <c r="C110" s="15" t="s">
        <v>201</v>
      </c>
      <c r="D110" s="14" t="s">
        <v>14</v>
      </c>
      <c r="E110" s="14">
        <v>11.7899999999999</v>
      </c>
      <c r="F110" s="14">
        <v>2.1299999999999901</v>
      </c>
      <c r="G110" s="14">
        <v>2.77999999999999</v>
      </c>
      <c r="H110" s="14">
        <v>28.5</v>
      </c>
      <c r="I110" s="14">
        <v>92</v>
      </c>
      <c r="J110" s="14">
        <v>2.1299999999999901</v>
      </c>
      <c r="K110" s="14">
        <v>2.2400000000000002</v>
      </c>
      <c r="L110" s="14">
        <v>0.57999999999999896</v>
      </c>
      <c r="M110" s="14">
        <v>1.76</v>
      </c>
      <c r="N110" s="14">
        <v>3</v>
      </c>
      <c r="O110" s="14">
        <v>0.96999999999999897</v>
      </c>
      <c r="P110" s="14">
        <v>2.4399999999999902</v>
      </c>
      <c r="Q110">
        <v>466</v>
      </c>
    </row>
    <row r="111" spans="3:17" x14ac:dyDescent="0.25">
      <c r="C111" s="15" t="s">
        <v>202</v>
      </c>
      <c r="D111" s="14" t="s">
        <v>14</v>
      </c>
      <c r="E111" s="14">
        <v>12.3699999999999</v>
      </c>
      <c r="F111" s="14">
        <v>1.6299999999999899</v>
      </c>
      <c r="G111" s="14">
        <v>2.2999999999999901</v>
      </c>
      <c r="H111" s="14">
        <v>24.5</v>
      </c>
      <c r="I111" s="14">
        <v>88</v>
      </c>
      <c r="J111" s="14">
        <v>2.2200000000000002</v>
      </c>
      <c r="K111" s="14">
        <v>2.4500000000000002</v>
      </c>
      <c r="L111" s="14">
        <v>0.4</v>
      </c>
      <c r="M111" s="14">
        <v>1.8999999999999899</v>
      </c>
      <c r="N111" s="14">
        <v>2.12</v>
      </c>
      <c r="O111" s="14">
        <v>0.89</v>
      </c>
      <c r="P111" s="14">
        <v>2.77999999999999</v>
      </c>
      <c r="Q111">
        <v>342</v>
      </c>
    </row>
    <row r="112" spans="3:17" x14ac:dyDescent="0.25">
      <c r="C112" s="15" t="s">
        <v>203</v>
      </c>
      <c r="D112" s="14" t="s">
        <v>14</v>
      </c>
      <c r="E112" s="14">
        <v>12.0399999999999</v>
      </c>
      <c r="F112" s="14">
        <v>4.2999999999999901</v>
      </c>
      <c r="G112" s="14">
        <v>2.3799999999999901</v>
      </c>
      <c r="H112" s="14">
        <v>22</v>
      </c>
      <c r="I112" s="14">
        <v>80</v>
      </c>
      <c r="J112" s="14">
        <v>2.1</v>
      </c>
      <c r="K112" s="14">
        <v>1.75</v>
      </c>
      <c r="L112" s="14">
        <v>0.41999999999999899</v>
      </c>
      <c r="M112" s="14">
        <v>1.35</v>
      </c>
      <c r="N112" s="14">
        <v>2.6</v>
      </c>
      <c r="O112" s="14">
        <v>0.79</v>
      </c>
      <c r="P112" s="14">
        <v>2.5699999999999901</v>
      </c>
      <c r="Q112">
        <v>580</v>
      </c>
    </row>
    <row r="113" spans="3:17" x14ac:dyDescent="0.25">
      <c r="C113" s="15" t="s">
        <v>205</v>
      </c>
      <c r="D113" s="14" t="s">
        <v>15</v>
      </c>
      <c r="E113" s="14">
        <v>12.88</v>
      </c>
      <c r="F113" s="14">
        <v>2.99</v>
      </c>
      <c r="G113" s="14">
        <v>2.3999999999999901</v>
      </c>
      <c r="H113" s="14">
        <v>20</v>
      </c>
      <c r="I113" s="14">
        <v>104</v>
      </c>
      <c r="J113" s="14">
        <v>1.3</v>
      </c>
      <c r="K113" s="14">
        <v>1.22</v>
      </c>
      <c r="L113" s="14">
        <v>0.23999999999999899</v>
      </c>
      <c r="M113" s="14">
        <v>0.82999999999999896</v>
      </c>
      <c r="N113" s="14">
        <v>5.4</v>
      </c>
      <c r="O113" s="14">
        <v>0.73999999999999899</v>
      </c>
      <c r="P113" s="14">
        <v>1.4199999999999899</v>
      </c>
      <c r="Q113">
        <v>530</v>
      </c>
    </row>
    <row r="114" spans="3:17" x14ac:dyDescent="0.25">
      <c r="C114" s="15" t="s">
        <v>206</v>
      </c>
      <c r="D114" s="14" t="s">
        <v>15</v>
      </c>
      <c r="E114" s="14">
        <v>12.81</v>
      </c>
      <c r="F114" s="14">
        <v>2.31</v>
      </c>
      <c r="G114" s="14">
        <v>2.3999999999999901</v>
      </c>
      <c r="H114" s="14">
        <v>24</v>
      </c>
      <c r="I114" s="14">
        <v>98</v>
      </c>
      <c r="J114" s="14">
        <v>1.1499999999999899</v>
      </c>
      <c r="K114" s="14">
        <v>1.0900000000000001</v>
      </c>
      <c r="L114" s="14">
        <v>0.27</v>
      </c>
      <c r="M114" s="14">
        <v>0.82999999999999896</v>
      </c>
      <c r="N114" s="14">
        <v>5.7</v>
      </c>
      <c r="O114" s="14">
        <v>0.66</v>
      </c>
      <c r="P114" s="14">
        <v>1.36</v>
      </c>
      <c r="Q114">
        <v>560</v>
      </c>
    </row>
    <row r="115" spans="3:17" x14ac:dyDescent="0.25">
      <c r="C115" s="15" t="s">
        <v>207</v>
      </c>
      <c r="D115" s="14" t="s">
        <v>15</v>
      </c>
      <c r="E115" s="14">
        <v>12.6999999999999</v>
      </c>
      <c r="F115" s="14">
        <v>3.5499999999999901</v>
      </c>
      <c r="G115" s="14">
        <v>2.3599999999999901</v>
      </c>
      <c r="H115" s="14">
        <v>21.5</v>
      </c>
      <c r="I115" s="14">
        <v>106</v>
      </c>
      <c r="J115" s="14">
        <v>1.7</v>
      </c>
      <c r="K115" s="14">
        <v>1.2</v>
      </c>
      <c r="L115" s="14">
        <v>0.17</v>
      </c>
      <c r="M115" s="14">
        <v>0.83999999999999897</v>
      </c>
      <c r="N115" s="14">
        <v>5</v>
      </c>
      <c r="O115" s="14">
        <v>0.78</v>
      </c>
      <c r="P115" s="14">
        <v>1.29</v>
      </c>
      <c r="Q115">
        <v>600</v>
      </c>
    </row>
    <row r="116" spans="3:17" x14ac:dyDescent="0.25">
      <c r="C116" s="15" t="s">
        <v>209</v>
      </c>
      <c r="D116" s="14" t="s">
        <v>15</v>
      </c>
      <c r="E116" s="14">
        <v>12.6</v>
      </c>
      <c r="F116" s="14">
        <v>2.46</v>
      </c>
      <c r="G116" s="14">
        <v>2.2000000000000002</v>
      </c>
      <c r="H116" s="14">
        <v>18.5</v>
      </c>
      <c r="I116" s="14">
        <v>94</v>
      </c>
      <c r="J116" s="14">
        <v>1.62</v>
      </c>
      <c r="K116" s="14">
        <v>0.66</v>
      </c>
      <c r="L116" s="14">
        <v>0.63</v>
      </c>
      <c r="M116" s="14">
        <v>0.93999999999999895</v>
      </c>
      <c r="N116" s="14">
        <v>7.0999999999999899</v>
      </c>
      <c r="O116" s="14">
        <v>0.72999999999999898</v>
      </c>
      <c r="P116" s="14">
        <v>1.58</v>
      </c>
      <c r="Q116">
        <v>695</v>
      </c>
    </row>
    <row r="117" spans="3:17" x14ac:dyDescent="0.25">
      <c r="C117" s="15" t="s">
        <v>214</v>
      </c>
      <c r="D117" s="14" t="s">
        <v>15</v>
      </c>
      <c r="E117" s="14">
        <v>12.93</v>
      </c>
      <c r="F117" s="14">
        <v>2.81</v>
      </c>
      <c r="G117" s="14">
        <v>2.7</v>
      </c>
      <c r="H117" s="14">
        <v>21</v>
      </c>
      <c r="I117" s="14">
        <v>96</v>
      </c>
      <c r="J117" s="14">
        <v>1.54</v>
      </c>
      <c r="K117" s="14">
        <v>0.5</v>
      </c>
      <c r="L117" s="14">
        <v>0.53</v>
      </c>
      <c r="M117" s="14">
        <v>0.75</v>
      </c>
      <c r="N117" s="14">
        <v>4.5999999999999899</v>
      </c>
      <c r="O117" s="14">
        <v>0.77</v>
      </c>
      <c r="P117" s="14">
        <v>2.31</v>
      </c>
      <c r="Q117">
        <v>600</v>
      </c>
    </row>
    <row r="118" spans="3:17" x14ac:dyDescent="0.25">
      <c r="C118" s="15" t="s">
        <v>215</v>
      </c>
      <c r="D118" s="14" t="s">
        <v>15</v>
      </c>
      <c r="E118" s="14">
        <v>13.3599999999999</v>
      </c>
      <c r="F118" s="14">
        <v>2.56</v>
      </c>
      <c r="G118" s="14">
        <v>2.35</v>
      </c>
      <c r="H118" s="14">
        <v>20</v>
      </c>
      <c r="I118" s="14">
        <v>89</v>
      </c>
      <c r="J118" s="14">
        <v>1.3999999999999899</v>
      </c>
      <c r="K118" s="14">
        <v>0.5</v>
      </c>
      <c r="L118" s="14">
        <v>0.37</v>
      </c>
      <c r="M118" s="14">
        <v>0.64</v>
      </c>
      <c r="N118" s="14">
        <v>5.5999999999999899</v>
      </c>
      <c r="O118" s="14">
        <v>0.69999999999999896</v>
      </c>
      <c r="P118" s="14">
        <v>2.4700000000000002</v>
      </c>
      <c r="Q118">
        <v>780</v>
      </c>
    </row>
    <row r="119" spans="3:17" x14ac:dyDescent="0.25">
      <c r="C119" s="15" t="s">
        <v>216</v>
      </c>
      <c r="D119" s="14" t="s">
        <v>15</v>
      </c>
      <c r="E119" s="14">
        <v>13.52</v>
      </c>
      <c r="F119" s="14">
        <v>3.1699999999999902</v>
      </c>
      <c r="G119" s="14">
        <v>2.72</v>
      </c>
      <c r="H119" s="14">
        <v>23.5</v>
      </c>
      <c r="I119" s="14">
        <v>97</v>
      </c>
      <c r="J119" s="14">
        <v>1.55</v>
      </c>
      <c r="K119" s="14">
        <v>0.52</v>
      </c>
      <c r="L119" s="14">
        <v>0.5</v>
      </c>
      <c r="M119" s="14">
        <v>0.55000000000000004</v>
      </c>
      <c r="N119" s="14">
        <v>4.3499999999999899</v>
      </c>
      <c r="O119" s="14">
        <v>0.89</v>
      </c>
      <c r="P119" s="14">
        <v>2.06</v>
      </c>
      <c r="Q119">
        <v>520</v>
      </c>
    </row>
    <row r="120" spans="3:17" x14ac:dyDescent="0.25">
      <c r="C120" s="15" t="s">
        <v>218</v>
      </c>
      <c r="D120" s="14" t="s">
        <v>15</v>
      </c>
      <c r="E120" s="14">
        <v>12.25</v>
      </c>
      <c r="F120" s="14">
        <v>3.8799999999999901</v>
      </c>
      <c r="G120" s="14">
        <v>2.2000000000000002</v>
      </c>
      <c r="H120" s="14">
        <v>18.5</v>
      </c>
      <c r="I120" s="14">
        <v>112</v>
      </c>
      <c r="J120" s="14">
        <v>1.3799999999999899</v>
      </c>
      <c r="K120" s="14">
        <v>0.78</v>
      </c>
      <c r="L120" s="14">
        <v>0.28999999999999898</v>
      </c>
      <c r="M120" s="14">
        <v>1.1399999999999899</v>
      </c>
      <c r="N120" s="14">
        <v>8.2100000000000009</v>
      </c>
      <c r="O120" s="14">
        <v>0.65</v>
      </c>
      <c r="P120" s="14">
        <v>2</v>
      </c>
      <c r="Q120">
        <v>855</v>
      </c>
    </row>
    <row r="121" spans="3:17" x14ac:dyDescent="0.25">
      <c r="C121" s="15" t="s">
        <v>219</v>
      </c>
      <c r="D121" s="14" t="s">
        <v>15</v>
      </c>
      <c r="E121" s="14">
        <v>13.16</v>
      </c>
      <c r="F121" s="14">
        <v>3.5699999999999901</v>
      </c>
      <c r="G121" s="14">
        <v>2.1499999999999901</v>
      </c>
      <c r="H121" s="14">
        <v>21</v>
      </c>
      <c r="I121" s="14">
        <v>102</v>
      </c>
      <c r="J121" s="14">
        <v>1.5</v>
      </c>
      <c r="K121" s="14">
        <v>0.55000000000000004</v>
      </c>
      <c r="L121" s="14">
        <v>0.42999999999999899</v>
      </c>
      <c r="M121" s="14">
        <v>1.3</v>
      </c>
      <c r="N121" s="14">
        <v>4</v>
      </c>
      <c r="O121" s="14">
        <v>0.59999999999999898</v>
      </c>
      <c r="P121" s="14">
        <v>1.6799999999999899</v>
      </c>
      <c r="Q121">
        <v>830</v>
      </c>
    </row>
    <row r="122" spans="3:17" x14ac:dyDescent="0.25">
      <c r="C122" s="15" t="s">
        <v>221</v>
      </c>
      <c r="D122" s="14" t="s">
        <v>15</v>
      </c>
      <c r="E122" s="14">
        <v>12.8699999999999</v>
      </c>
      <c r="F122" s="14">
        <v>4.6100000000000003</v>
      </c>
      <c r="G122" s="14">
        <v>2.48</v>
      </c>
      <c r="H122" s="14">
        <v>21.5</v>
      </c>
      <c r="I122" s="14">
        <v>86</v>
      </c>
      <c r="J122" s="14">
        <v>1.7</v>
      </c>
      <c r="K122" s="14">
        <v>0.65</v>
      </c>
      <c r="L122" s="14">
        <v>0.46999999999999897</v>
      </c>
      <c r="M122" s="14">
        <v>0.85999999999999899</v>
      </c>
      <c r="N122" s="14">
        <v>7.65</v>
      </c>
      <c r="O122" s="14">
        <v>0.54</v>
      </c>
      <c r="P122" s="14">
        <v>1.86</v>
      </c>
      <c r="Q122">
        <v>625</v>
      </c>
    </row>
    <row r="123" spans="3:17" x14ac:dyDescent="0.25">
      <c r="C123" s="15" t="s">
        <v>223</v>
      </c>
      <c r="D123" s="14" t="s">
        <v>15</v>
      </c>
      <c r="E123" s="14">
        <v>13.08</v>
      </c>
      <c r="F123" s="14">
        <v>3.8999999999999901</v>
      </c>
      <c r="G123" s="14">
        <v>2.3599999999999901</v>
      </c>
      <c r="H123" s="14">
        <v>21.5</v>
      </c>
      <c r="I123" s="14">
        <v>113</v>
      </c>
      <c r="J123" s="14">
        <v>1.4099999999999899</v>
      </c>
      <c r="K123" s="14">
        <v>1.3899999999999899</v>
      </c>
      <c r="L123" s="14">
        <v>0.34</v>
      </c>
      <c r="M123" s="14">
        <v>1.1399999999999899</v>
      </c>
      <c r="N123" s="14">
        <v>9.4</v>
      </c>
      <c r="O123" s="14">
        <v>0.56999999999999895</v>
      </c>
      <c r="P123" s="14">
        <v>1.33</v>
      </c>
      <c r="Q123">
        <v>550</v>
      </c>
    </row>
    <row r="124" spans="3:17" x14ac:dyDescent="0.25">
      <c r="C124" s="15" t="s">
        <v>226</v>
      </c>
      <c r="D124" s="14" t="s">
        <v>15</v>
      </c>
      <c r="E124" s="14">
        <v>13.1099999999999</v>
      </c>
      <c r="F124" s="14">
        <v>1.8999999999999899</v>
      </c>
      <c r="G124" s="14">
        <v>2.75</v>
      </c>
      <c r="H124" s="14">
        <v>25.5</v>
      </c>
      <c r="I124" s="14">
        <v>116</v>
      </c>
      <c r="J124" s="14">
        <v>2.2000000000000002</v>
      </c>
      <c r="K124" s="14">
        <v>1.28</v>
      </c>
      <c r="L124" s="14">
        <v>0.26</v>
      </c>
      <c r="M124" s="14">
        <v>1.56</v>
      </c>
      <c r="N124" s="14">
        <v>7.0999999999999899</v>
      </c>
      <c r="O124" s="14">
        <v>0.60999999999999899</v>
      </c>
      <c r="P124" s="14">
        <v>1.33</v>
      </c>
      <c r="Q124">
        <v>425</v>
      </c>
    </row>
    <row r="125" spans="3:17" x14ac:dyDescent="0.25">
      <c r="C125" s="15" t="s">
        <v>229</v>
      </c>
      <c r="D125" s="14" t="s">
        <v>15</v>
      </c>
      <c r="E125" s="14">
        <v>13.17</v>
      </c>
      <c r="F125" s="14">
        <v>5.19</v>
      </c>
      <c r="G125" s="14">
        <v>2.3199999999999901</v>
      </c>
      <c r="H125" s="14">
        <v>22</v>
      </c>
      <c r="I125" s="14">
        <v>93</v>
      </c>
      <c r="J125" s="14">
        <v>1.74</v>
      </c>
      <c r="K125" s="14">
        <v>0.63</v>
      </c>
      <c r="L125" s="14">
        <v>0.60999999999999899</v>
      </c>
      <c r="M125" s="14">
        <v>1.55</v>
      </c>
      <c r="N125" s="14">
        <v>7.9</v>
      </c>
      <c r="O125" s="14">
        <v>0.59999999999999898</v>
      </c>
      <c r="P125" s="14">
        <v>1.48</v>
      </c>
      <c r="Q125">
        <v>725</v>
      </c>
    </row>
    <row r="126" spans="3:17" x14ac:dyDescent="0.25">
      <c r="C126" s="15" t="s">
        <v>230</v>
      </c>
      <c r="D126" s="14" t="s">
        <v>15</v>
      </c>
      <c r="E126" s="14">
        <v>13.84</v>
      </c>
      <c r="F126" s="14">
        <v>4.12</v>
      </c>
      <c r="G126" s="14">
        <v>2.3799999999999901</v>
      </c>
      <c r="H126" s="14">
        <v>19.5</v>
      </c>
      <c r="I126" s="14">
        <v>89</v>
      </c>
      <c r="J126" s="14">
        <v>1.8</v>
      </c>
      <c r="K126" s="14">
        <v>0.82999999999999896</v>
      </c>
      <c r="L126" s="14">
        <v>0.47999999999999898</v>
      </c>
      <c r="M126" s="14">
        <v>1.56</v>
      </c>
      <c r="N126" s="14">
        <v>9.0099999999999891</v>
      </c>
      <c r="O126" s="14">
        <v>0.56999999999999895</v>
      </c>
      <c r="P126" s="14">
        <v>1.6399999999999899</v>
      </c>
      <c r="Q126">
        <v>480</v>
      </c>
    </row>
    <row r="127" spans="3:17" x14ac:dyDescent="0.25">
      <c r="C127" s="15" t="s">
        <v>231</v>
      </c>
      <c r="D127" s="14" t="s">
        <v>15</v>
      </c>
      <c r="E127" s="14">
        <v>12.4499999999999</v>
      </c>
      <c r="F127" s="14">
        <v>3.02999999999999</v>
      </c>
      <c r="G127" s="14">
        <v>2.64</v>
      </c>
      <c r="H127" s="14">
        <v>27</v>
      </c>
      <c r="I127" s="14">
        <v>97</v>
      </c>
      <c r="J127" s="14">
        <v>1.8999999999999899</v>
      </c>
      <c r="K127" s="14">
        <v>0.57999999999999896</v>
      </c>
      <c r="L127" s="14">
        <v>0.63</v>
      </c>
      <c r="M127" s="14">
        <v>1.1399999999999899</v>
      </c>
      <c r="N127" s="14">
        <v>7.5</v>
      </c>
      <c r="O127" s="14">
        <v>0.67</v>
      </c>
      <c r="P127" s="14">
        <v>1.73</v>
      </c>
      <c r="Q127">
        <v>880</v>
      </c>
    </row>
    <row r="128" spans="3:17" x14ac:dyDescent="0.25">
      <c r="C128" s="15" t="s">
        <v>232</v>
      </c>
      <c r="D128" s="14" t="s">
        <v>15</v>
      </c>
      <c r="E128" s="14">
        <v>14.34</v>
      </c>
      <c r="F128" s="14">
        <v>1.6799999999999899</v>
      </c>
      <c r="G128" s="14">
        <v>2.7</v>
      </c>
      <c r="H128" s="14">
        <v>25</v>
      </c>
      <c r="I128" s="14">
        <v>98</v>
      </c>
      <c r="J128" s="14">
        <v>2.7999999999999901</v>
      </c>
      <c r="K128" s="14">
        <v>1.31</v>
      </c>
      <c r="L128" s="14">
        <v>0.53</v>
      </c>
      <c r="M128" s="14">
        <v>2.7</v>
      </c>
      <c r="N128" s="14">
        <v>13</v>
      </c>
      <c r="O128" s="14">
        <v>0.56999999999999895</v>
      </c>
      <c r="P128" s="14">
        <v>1.96</v>
      </c>
      <c r="Q128">
        <v>660</v>
      </c>
    </row>
    <row r="129" spans="3:17" x14ac:dyDescent="0.25">
      <c r="C129" s="15" t="s">
        <v>234</v>
      </c>
      <c r="D129" s="14" t="s">
        <v>15</v>
      </c>
      <c r="E129" s="14">
        <v>12.3599999999999</v>
      </c>
      <c r="F129" s="14">
        <v>3.83</v>
      </c>
      <c r="G129" s="14">
        <v>2.3799999999999901</v>
      </c>
      <c r="H129" s="14">
        <v>21</v>
      </c>
      <c r="I129" s="14">
        <v>88</v>
      </c>
      <c r="J129" s="14">
        <v>2.2999999999999901</v>
      </c>
      <c r="K129" s="14">
        <v>0.92</v>
      </c>
      <c r="L129" s="14">
        <v>0.5</v>
      </c>
      <c r="M129" s="14">
        <v>1.04</v>
      </c>
      <c r="N129" s="14">
        <v>7.65</v>
      </c>
      <c r="O129" s="14">
        <v>0.56000000000000005</v>
      </c>
      <c r="P129" s="14">
        <v>1.58</v>
      </c>
      <c r="Q129">
        <v>520</v>
      </c>
    </row>
    <row r="130" spans="3:17" x14ac:dyDescent="0.25">
      <c r="C130" s="15" t="s">
        <v>237</v>
      </c>
      <c r="D130" s="14" t="s">
        <v>15</v>
      </c>
      <c r="E130" s="14">
        <v>12.96</v>
      </c>
      <c r="F130" s="14">
        <v>3.45</v>
      </c>
      <c r="G130" s="14">
        <v>2.35</v>
      </c>
      <c r="H130" s="14">
        <v>18.5</v>
      </c>
      <c r="I130" s="14">
        <v>106</v>
      </c>
      <c r="J130" s="14">
        <v>1.3899999999999899</v>
      </c>
      <c r="K130" s="14">
        <v>0.69999999999999896</v>
      </c>
      <c r="L130" s="14">
        <v>0.4</v>
      </c>
      <c r="M130" s="14">
        <v>0.93999999999999895</v>
      </c>
      <c r="N130" s="14">
        <v>5.28</v>
      </c>
      <c r="O130" s="14">
        <v>0.68</v>
      </c>
      <c r="P130" s="14">
        <v>1.75</v>
      </c>
      <c r="Q130">
        <v>675</v>
      </c>
    </row>
    <row r="131" spans="3:17" x14ac:dyDescent="0.25">
      <c r="C131" s="15" t="s">
        <v>239</v>
      </c>
      <c r="D131" s="14" t="s">
        <v>15</v>
      </c>
      <c r="E131" s="14">
        <v>13.73</v>
      </c>
      <c r="F131" s="14">
        <v>4.3600000000000003</v>
      </c>
      <c r="G131" s="14">
        <v>2.25999999999999</v>
      </c>
      <c r="H131" s="14">
        <v>22.5</v>
      </c>
      <c r="I131" s="14">
        <v>88</v>
      </c>
      <c r="J131" s="14">
        <v>1.28</v>
      </c>
      <c r="K131" s="14">
        <v>0.46999999999999897</v>
      </c>
      <c r="L131" s="14">
        <v>0.52</v>
      </c>
      <c r="M131" s="14">
        <v>1.1499999999999899</v>
      </c>
      <c r="N131" s="14">
        <v>6.62</v>
      </c>
      <c r="O131" s="14">
        <v>0.78</v>
      </c>
      <c r="P131" s="14">
        <v>1.75</v>
      </c>
      <c r="Q131">
        <v>520</v>
      </c>
    </row>
    <row r="132" spans="3:17" x14ac:dyDescent="0.25">
      <c r="C132" s="15" t="s">
        <v>240</v>
      </c>
      <c r="D132" s="14" t="s">
        <v>15</v>
      </c>
      <c r="E132" s="14">
        <v>13.4499999999999</v>
      </c>
      <c r="F132" s="14">
        <v>3.7</v>
      </c>
      <c r="G132" s="14">
        <v>2.6</v>
      </c>
      <c r="H132" s="14">
        <v>23</v>
      </c>
      <c r="I132" s="14">
        <v>111</v>
      </c>
      <c r="J132" s="14">
        <v>1.7</v>
      </c>
      <c r="K132" s="14">
        <v>0.92</v>
      </c>
      <c r="L132" s="14">
        <v>0.42999999999999899</v>
      </c>
      <c r="M132" s="14">
        <v>1.46</v>
      </c>
      <c r="N132" s="14">
        <v>10.68</v>
      </c>
      <c r="O132" s="14">
        <v>0.84999999999999898</v>
      </c>
      <c r="P132" s="14">
        <v>1.56</v>
      </c>
      <c r="Q132">
        <v>695</v>
      </c>
    </row>
    <row r="133" spans="3:17" x14ac:dyDescent="0.25">
      <c r="C133" s="15" t="s">
        <v>241</v>
      </c>
      <c r="D133" s="14" t="s">
        <v>15</v>
      </c>
      <c r="E133" s="14">
        <v>12.82</v>
      </c>
      <c r="F133" s="14">
        <v>3.37</v>
      </c>
      <c r="G133" s="14">
        <v>2.2999999999999901</v>
      </c>
      <c r="H133" s="14">
        <v>19.5</v>
      </c>
      <c r="I133" s="14">
        <v>88</v>
      </c>
      <c r="J133" s="14">
        <v>1.48</v>
      </c>
      <c r="K133" s="14">
        <v>0.66</v>
      </c>
      <c r="L133" s="14">
        <v>0.4</v>
      </c>
      <c r="M133" s="14">
        <v>0.96999999999999897</v>
      </c>
      <c r="N133" s="14">
        <v>10.26</v>
      </c>
      <c r="O133" s="14">
        <v>0.71999999999999897</v>
      </c>
      <c r="P133" s="14">
        <v>1.75</v>
      </c>
      <c r="Q133">
        <v>685</v>
      </c>
    </row>
    <row r="134" spans="3:17" x14ac:dyDescent="0.25">
      <c r="C134" s="15" t="s">
        <v>242</v>
      </c>
      <c r="D134" s="14" t="s">
        <v>15</v>
      </c>
      <c r="E134" s="14">
        <v>13.58</v>
      </c>
      <c r="F134" s="14">
        <v>2.58</v>
      </c>
      <c r="G134" s="14">
        <v>2.6899999999999902</v>
      </c>
      <c r="H134" s="14">
        <v>24.5</v>
      </c>
      <c r="I134" s="14">
        <v>105</v>
      </c>
      <c r="J134" s="14">
        <v>1.55</v>
      </c>
      <c r="K134" s="14">
        <v>0.83999999999999897</v>
      </c>
      <c r="L134" s="14">
        <v>0.39</v>
      </c>
      <c r="M134" s="14">
        <v>1.54</v>
      </c>
      <c r="N134" s="14">
        <v>8.66</v>
      </c>
      <c r="O134" s="14">
        <v>0.73999999999999899</v>
      </c>
      <c r="P134" s="14">
        <v>1.8</v>
      </c>
      <c r="Q134">
        <v>750</v>
      </c>
    </row>
    <row r="135" spans="3:17" x14ac:dyDescent="0.25">
      <c r="C135" s="15" t="s">
        <v>244</v>
      </c>
      <c r="D135" s="14" t="s">
        <v>15</v>
      </c>
      <c r="E135" s="14">
        <v>12.1999999999999</v>
      </c>
      <c r="F135" s="14">
        <v>3.02999999999999</v>
      </c>
      <c r="G135" s="14">
        <v>2.3199999999999901</v>
      </c>
      <c r="H135" s="14">
        <v>19</v>
      </c>
      <c r="I135" s="14">
        <v>96</v>
      </c>
      <c r="J135" s="14">
        <v>1.25</v>
      </c>
      <c r="K135" s="14">
        <v>0.48999999999999899</v>
      </c>
      <c r="L135" s="14">
        <v>0.4</v>
      </c>
      <c r="M135" s="14">
        <v>0.72999999999999898</v>
      </c>
      <c r="N135" s="14">
        <v>5.5</v>
      </c>
      <c r="O135" s="14">
        <v>0.66</v>
      </c>
      <c r="P135" s="14">
        <v>1.83</v>
      </c>
      <c r="Q135">
        <v>510</v>
      </c>
    </row>
    <row r="136" spans="3:17" x14ac:dyDescent="0.25">
      <c r="C136" s="15" t="s">
        <v>247</v>
      </c>
      <c r="D136" s="14" t="s">
        <v>15</v>
      </c>
      <c r="E136" s="14">
        <v>13.71</v>
      </c>
      <c r="F136" s="14">
        <v>5.65</v>
      </c>
      <c r="G136" s="14">
        <v>2.4500000000000002</v>
      </c>
      <c r="H136" s="14">
        <v>20.5</v>
      </c>
      <c r="I136" s="14">
        <v>95</v>
      </c>
      <c r="J136" s="14">
        <v>1.6799999999999899</v>
      </c>
      <c r="K136" s="14">
        <v>0.60999999999999899</v>
      </c>
      <c r="L136" s="14">
        <v>0.52</v>
      </c>
      <c r="M136" s="14">
        <v>1.06</v>
      </c>
      <c r="N136" s="14">
        <v>7.7</v>
      </c>
      <c r="O136" s="14">
        <v>0.64</v>
      </c>
      <c r="P136" s="14">
        <v>1.74</v>
      </c>
      <c r="Q136">
        <v>740</v>
      </c>
    </row>
    <row r="137" spans="3:17" x14ac:dyDescent="0.25">
      <c r="C137" s="15" t="s">
        <v>252</v>
      </c>
      <c r="D137" s="14" t="s">
        <v>13</v>
      </c>
      <c r="E137" s="14">
        <v>12.85</v>
      </c>
      <c r="F137" s="14">
        <v>1.6</v>
      </c>
      <c r="G137" s="14">
        <v>2.52</v>
      </c>
      <c r="H137" s="14">
        <v>17.8</v>
      </c>
      <c r="I137" s="14">
        <v>95</v>
      </c>
      <c r="J137" s="14">
        <v>2.48</v>
      </c>
      <c r="K137" s="14">
        <v>2.37</v>
      </c>
      <c r="L137" s="14">
        <v>0.26</v>
      </c>
      <c r="M137" s="14">
        <v>1.46</v>
      </c>
      <c r="N137" s="14">
        <v>3.93</v>
      </c>
      <c r="O137" s="14">
        <v>1.0900000000000001</v>
      </c>
      <c r="P137" s="14">
        <v>3.6299999999999901</v>
      </c>
      <c r="Q137">
        <v>1015</v>
      </c>
    </row>
    <row r="138" spans="3:17" x14ac:dyDescent="0.25">
      <c r="C138" s="15" t="s">
        <v>254</v>
      </c>
      <c r="D138" s="14" t="s">
        <v>13</v>
      </c>
      <c r="E138" s="14">
        <v>13.05</v>
      </c>
      <c r="F138" s="14">
        <v>2.0499999999999901</v>
      </c>
      <c r="G138" s="14">
        <v>3.22</v>
      </c>
      <c r="H138" s="14">
        <v>25</v>
      </c>
      <c r="I138" s="14">
        <v>124</v>
      </c>
      <c r="J138" s="14">
        <v>2.6299999999999901</v>
      </c>
      <c r="K138" s="14">
        <v>2.68</v>
      </c>
      <c r="L138" s="14">
        <v>0.46999999999999897</v>
      </c>
      <c r="M138" s="14">
        <v>1.9199999999999899</v>
      </c>
      <c r="N138" s="14">
        <v>3.58</v>
      </c>
      <c r="O138" s="14">
        <v>1.1299999999999899</v>
      </c>
      <c r="P138" s="14">
        <v>3.2</v>
      </c>
      <c r="Q138">
        <v>830</v>
      </c>
    </row>
    <row r="139" spans="3:17" x14ac:dyDescent="0.25">
      <c r="C139" s="15" t="s">
        <v>255</v>
      </c>
      <c r="D139" s="14" t="s">
        <v>13</v>
      </c>
      <c r="E139" s="14">
        <v>13.39</v>
      </c>
      <c r="F139" s="14">
        <v>1.77</v>
      </c>
      <c r="G139" s="14">
        <v>2.62</v>
      </c>
      <c r="H139" s="14">
        <v>16.100000000000001</v>
      </c>
      <c r="I139" s="14">
        <v>93</v>
      </c>
      <c r="J139" s="14">
        <v>2.85</v>
      </c>
      <c r="K139" s="14">
        <v>2.9399999999999902</v>
      </c>
      <c r="L139" s="14">
        <v>0.34</v>
      </c>
      <c r="M139" s="14">
        <v>1.45</v>
      </c>
      <c r="N139" s="14">
        <v>4.7999999999999901</v>
      </c>
      <c r="O139" s="14">
        <v>0.92</v>
      </c>
      <c r="P139" s="14">
        <v>3.22</v>
      </c>
      <c r="Q139">
        <v>1195</v>
      </c>
    </row>
    <row r="140" spans="3:17" x14ac:dyDescent="0.25">
      <c r="C140" s="15" t="s">
        <v>258</v>
      </c>
      <c r="D140" s="14" t="s">
        <v>13</v>
      </c>
      <c r="E140" s="14">
        <v>14.02</v>
      </c>
      <c r="F140" s="14">
        <v>1.6799999999999899</v>
      </c>
      <c r="G140" s="14">
        <v>2.21</v>
      </c>
      <c r="H140" s="14">
        <v>16</v>
      </c>
      <c r="I140" s="14">
        <v>96</v>
      </c>
      <c r="J140" s="14">
        <v>2.6499999999999901</v>
      </c>
      <c r="K140" s="14">
        <v>2.33</v>
      </c>
      <c r="L140" s="14">
        <v>0.26</v>
      </c>
      <c r="M140" s="14">
        <v>1.98</v>
      </c>
      <c r="N140" s="14">
        <v>4.7</v>
      </c>
      <c r="O140" s="14">
        <v>1.04</v>
      </c>
      <c r="P140" s="14">
        <v>3.5899999999999901</v>
      </c>
      <c r="Q140">
        <v>1035</v>
      </c>
    </row>
    <row r="141" spans="3:17" x14ac:dyDescent="0.25">
      <c r="C141" s="15" t="s">
        <v>259</v>
      </c>
      <c r="D141" s="14" t="s">
        <v>13</v>
      </c>
      <c r="E141" s="14">
        <v>13.73</v>
      </c>
      <c r="F141" s="14">
        <v>1.5</v>
      </c>
      <c r="G141" s="14">
        <v>2.7</v>
      </c>
      <c r="H141" s="14">
        <v>22.5</v>
      </c>
      <c r="I141" s="14">
        <v>101</v>
      </c>
      <c r="J141" s="14">
        <v>3</v>
      </c>
      <c r="K141" s="14">
        <v>3.25</v>
      </c>
      <c r="L141" s="14">
        <v>0.28999999999999898</v>
      </c>
      <c r="M141" s="14">
        <v>2.3799999999999901</v>
      </c>
      <c r="N141" s="14">
        <v>5.7</v>
      </c>
      <c r="O141" s="14">
        <v>1.18999999999999</v>
      </c>
      <c r="P141" s="14">
        <v>2.71</v>
      </c>
      <c r="Q141">
        <v>1285</v>
      </c>
    </row>
    <row r="142" spans="3:17" x14ac:dyDescent="0.25">
      <c r="C142" s="15" t="s">
        <v>260</v>
      </c>
      <c r="D142" s="14" t="s">
        <v>13</v>
      </c>
      <c r="E142" s="14">
        <v>13.58</v>
      </c>
      <c r="F142" s="14">
        <v>1.6599999999999899</v>
      </c>
      <c r="G142" s="14">
        <v>2.3599999999999901</v>
      </c>
      <c r="H142" s="14">
        <v>19.100000000000001</v>
      </c>
      <c r="I142" s="14">
        <v>106</v>
      </c>
      <c r="J142" s="14">
        <v>2.8599999999999901</v>
      </c>
      <c r="K142" s="14">
        <v>3.1899999999999902</v>
      </c>
      <c r="L142" s="14">
        <v>0.22</v>
      </c>
      <c r="M142" s="14">
        <v>1.95</v>
      </c>
      <c r="N142" s="14">
        <v>6.9</v>
      </c>
      <c r="O142" s="14">
        <v>1.0900000000000001</v>
      </c>
      <c r="P142" s="14">
        <v>2.8799999999999901</v>
      </c>
      <c r="Q142">
        <v>1515</v>
      </c>
    </row>
    <row r="143" spans="3:17" x14ac:dyDescent="0.25">
      <c r="C143" s="15" t="s">
        <v>261</v>
      </c>
      <c r="D143" s="14" t="s">
        <v>13</v>
      </c>
      <c r="E143" s="14">
        <v>13.68</v>
      </c>
      <c r="F143" s="14">
        <v>1.83</v>
      </c>
      <c r="G143" s="14">
        <v>2.3599999999999901</v>
      </c>
      <c r="H143" s="14">
        <v>17.1999999999999</v>
      </c>
      <c r="I143" s="14">
        <v>104</v>
      </c>
      <c r="J143" s="14">
        <v>2.4199999999999902</v>
      </c>
      <c r="K143" s="14">
        <v>2.6899999999999902</v>
      </c>
      <c r="L143" s="14">
        <v>0.41999999999999899</v>
      </c>
      <c r="M143" s="14">
        <v>1.97</v>
      </c>
      <c r="N143" s="14">
        <v>3.8399999999999901</v>
      </c>
      <c r="O143" s="14">
        <v>1.23</v>
      </c>
      <c r="P143" s="14">
        <v>2.87</v>
      </c>
      <c r="Q143">
        <v>990</v>
      </c>
    </row>
    <row r="144" spans="3:17" x14ac:dyDescent="0.25">
      <c r="C144" s="15" t="s">
        <v>262</v>
      </c>
      <c r="D144" s="14" t="s">
        <v>13</v>
      </c>
      <c r="E144" s="14">
        <v>13.76</v>
      </c>
      <c r="F144" s="14">
        <v>1.53</v>
      </c>
      <c r="G144" s="14">
        <v>2.7</v>
      </c>
      <c r="H144" s="14">
        <v>19.5</v>
      </c>
      <c r="I144" s="14">
        <v>132</v>
      </c>
      <c r="J144" s="14">
        <v>2.95</v>
      </c>
      <c r="K144" s="14">
        <v>2.74</v>
      </c>
      <c r="L144" s="14">
        <v>0.5</v>
      </c>
      <c r="M144" s="14">
        <v>1.35</v>
      </c>
      <c r="N144" s="14">
        <v>5.4</v>
      </c>
      <c r="O144" s="14">
        <v>1.25</v>
      </c>
      <c r="P144" s="14">
        <v>3</v>
      </c>
      <c r="Q144">
        <v>1235</v>
      </c>
    </row>
    <row r="145" spans="3:17" x14ac:dyDescent="0.25">
      <c r="C145" s="15" t="s">
        <v>263</v>
      </c>
      <c r="D145" s="14" t="s">
        <v>13</v>
      </c>
      <c r="E145" s="14">
        <v>13.51</v>
      </c>
      <c r="F145" s="14">
        <v>1.8</v>
      </c>
      <c r="G145" s="14">
        <v>2.6499999999999901</v>
      </c>
      <c r="H145" s="14">
        <v>19</v>
      </c>
      <c r="I145" s="14">
        <v>110</v>
      </c>
      <c r="J145" s="14">
        <v>2.35</v>
      </c>
      <c r="K145" s="14">
        <v>2.52999999999999</v>
      </c>
      <c r="L145" s="14">
        <v>0.28999999999999898</v>
      </c>
      <c r="M145" s="14">
        <v>1.54</v>
      </c>
      <c r="N145" s="14">
        <v>4.2</v>
      </c>
      <c r="O145" s="14">
        <v>1.1000000000000001</v>
      </c>
      <c r="P145" s="14">
        <v>2.87</v>
      </c>
      <c r="Q145">
        <v>1095</v>
      </c>
    </row>
    <row r="146" spans="3:17" x14ac:dyDescent="0.25">
      <c r="C146" s="15" t="s">
        <v>265</v>
      </c>
      <c r="D146" s="14" t="s">
        <v>13</v>
      </c>
      <c r="E146" s="14">
        <v>13.2799999999999</v>
      </c>
      <c r="F146" s="14">
        <v>1.6399999999999899</v>
      </c>
      <c r="G146" s="14">
        <v>2.8399999999999901</v>
      </c>
      <c r="H146" s="14">
        <v>15.5</v>
      </c>
      <c r="I146" s="14">
        <v>110</v>
      </c>
      <c r="J146" s="14">
        <v>2.6</v>
      </c>
      <c r="K146" s="14">
        <v>2.68</v>
      </c>
      <c r="L146" s="14">
        <v>0.34</v>
      </c>
      <c r="M146" s="14">
        <v>1.36</v>
      </c>
      <c r="N146" s="14">
        <v>4.5999999999999899</v>
      </c>
      <c r="O146" s="14">
        <v>1.0900000000000001</v>
      </c>
      <c r="P146" s="14">
        <v>2.77999999999999</v>
      </c>
      <c r="Q146">
        <v>880</v>
      </c>
    </row>
    <row r="147" spans="3:17" x14ac:dyDescent="0.25">
      <c r="C147" s="15" t="s">
        <v>266</v>
      </c>
      <c r="D147" s="14" t="s">
        <v>13</v>
      </c>
      <c r="E147" s="14">
        <v>13.05</v>
      </c>
      <c r="F147" s="14">
        <v>1.6499999999999899</v>
      </c>
      <c r="G147" s="14">
        <v>2.5499999999999901</v>
      </c>
      <c r="H147" s="14">
        <v>18</v>
      </c>
      <c r="I147" s="14">
        <v>98</v>
      </c>
      <c r="J147" s="14">
        <v>2.4500000000000002</v>
      </c>
      <c r="K147" s="14">
        <v>2.4300000000000002</v>
      </c>
      <c r="L147" s="14">
        <v>0.28999999999999898</v>
      </c>
      <c r="M147" s="14">
        <v>1.43999999999999</v>
      </c>
      <c r="N147" s="14">
        <v>4.25</v>
      </c>
      <c r="O147" s="14">
        <v>1.1200000000000001</v>
      </c>
      <c r="P147" s="14">
        <v>2.50999999999999</v>
      </c>
      <c r="Q147">
        <v>1105</v>
      </c>
    </row>
    <row r="148" spans="3:17" x14ac:dyDescent="0.25">
      <c r="C148" s="15" t="s">
        <v>268</v>
      </c>
      <c r="D148" s="14" t="s">
        <v>13</v>
      </c>
      <c r="E148" s="14">
        <v>14.22</v>
      </c>
      <c r="F148" s="14">
        <v>3.99</v>
      </c>
      <c r="G148" s="14">
        <v>2.50999999999999</v>
      </c>
      <c r="H148" s="14">
        <v>13.1999999999999</v>
      </c>
      <c r="I148" s="14">
        <v>128</v>
      </c>
      <c r="J148" s="14">
        <v>3</v>
      </c>
      <c r="K148" s="14">
        <v>3.04</v>
      </c>
      <c r="L148" s="14">
        <v>0.2</v>
      </c>
      <c r="M148" s="14">
        <v>2.08</v>
      </c>
      <c r="N148" s="14">
        <v>5.0999999999999899</v>
      </c>
      <c r="O148" s="14">
        <v>0.89</v>
      </c>
      <c r="P148" s="14">
        <v>3.52999999999999</v>
      </c>
      <c r="Q148">
        <v>760</v>
      </c>
    </row>
    <row r="149" spans="3:17" x14ac:dyDescent="0.25">
      <c r="C149" s="15" t="s">
        <v>269</v>
      </c>
      <c r="D149" s="14" t="s">
        <v>13</v>
      </c>
      <c r="E149" s="14">
        <v>13.56</v>
      </c>
      <c r="F149" s="14">
        <v>1.71</v>
      </c>
      <c r="G149" s="14">
        <v>2.31</v>
      </c>
      <c r="H149" s="14">
        <v>16.1999999999999</v>
      </c>
      <c r="I149" s="14">
        <v>117</v>
      </c>
      <c r="J149" s="14">
        <v>3.1499999999999901</v>
      </c>
      <c r="K149" s="14">
        <v>3.29</v>
      </c>
      <c r="L149" s="14">
        <v>0.34</v>
      </c>
      <c r="M149" s="14">
        <v>2.3399999999999901</v>
      </c>
      <c r="N149" s="14">
        <v>6.1299999999999901</v>
      </c>
      <c r="O149" s="14">
        <v>0.94999999999999896</v>
      </c>
      <c r="P149" s="14">
        <v>3.3799999999999901</v>
      </c>
      <c r="Q149">
        <v>795</v>
      </c>
    </row>
    <row r="150" spans="3:17" x14ac:dyDescent="0.25">
      <c r="C150" s="15" t="s">
        <v>273</v>
      </c>
      <c r="D150" s="14" t="s">
        <v>13</v>
      </c>
      <c r="E150" s="14">
        <v>13.05</v>
      </c>
      <c r="F150" s="14">
        <v>1.77</v>
      </c>
      <c r="G150" s="14">
        <v>2.1</v>
      </c>
      <c r="H150" s="14">
        <v>17</v>
      </c>
      <c r="I150" s="14">
        <v>107</v>
      </c>
      <c r="J150" s="14">
        <v>3</v>
      </c>
      <c r="K150" s="14">
        <v>3</v>
      </c>
      <c r="L150" s="14">
        <v>0.28000000000000003</v>
      </c>
      <c r="M150" s="14">
        <v>2.02999999999999</v>
      </c>
      <c r="N150" s="14">
        <v>5.04</v>
      </c>
      <c r="O150" s="14">
        <v>0.88</v>
      </c>
      <c r="P150" s="14">
        <v>3.35</v>
      </c>
      <c r="Q150">
        <v>885</v>
      </c>
    </row>
    <row r="151" spans="3:17" x14ac:dyDescent="0.25">
      <c r="C151" s="15" t="s">
        <v>274</v>
      </c>
      <c r="D151" s="14" t="s">
        <v>13</v>
      </c>
      <c r="E151" s="14">
        <v>14.21</v>
      </c>
      <c r="F151" s="14">
        <v>4.04</v>
      </c>
      <c r="G151" s="14">
        <v>2.4399999999999902</v>
      </c>
      <c r="H151" s="14">
        <v>18.899999999999899</v>
      </c>
      <c r="I151" s="14">
        <v>111</v>
      </c>
      <c r="J151" s="14">
        <v>2.85</v>
      </c>
      <c r="K151" s="14">
        <v>2.6499999999999901</v>
      </c>
      <c r="L151" s="14">
        <v>0.29999999999999899</v>
      </c>
      <c r="M151" s="14">
        <v>1.25</v>
      </c>
      <c r="N151" s="14">
        <v>5.24</v>
      </c>
      <c r="O151" s="14">
        <v>0.87</v>
      </c>
      <c r="P151" s="14">
        <v>3.33</v>
      </c>
      <c r="Q151">
        <v>1080</v>
      </c>
    </row>
    <row r="152" spans="3:17" x14ac:dyDescent="0.25">
      <c r="C152" s="15" t="s">
        <v>275</v>
      </c>
      <c r="D152" s="14" t="s">
        <v>13</v>
      </c>
      <c r="E152" s="14">
        <v>14.38</v>
      </c>
      <c r="F152" s="14">
        <v>3.5899999999999901</v>
      </c>
      <c r="G152" s="14">
        <v>2.27999999999999</v>
      </c>
      <c r="H152" s="14">
        <v>16</v>
      </c>
      <c r="I152" s="14">
        <v>102</v>
      </c>
      <c r="J152" s="14">
        <v>3.25</v>
      </c>
      <c r="K152" s="14">
        <v>3.1699999999999902</v>
      </c>
      <c r="L152" s="14">
        <v>0.27</v>
      </c>
      <c r="M152" s="14">
        <v>2.1899999999999902</v>
      </c>
      <c r="N152" s="14">
        <v>4.9000000000000004</v>
      </c>
      <c r="O152" s="14">
        <v>1.04</v>
      </c>
      <c r="P152" s="14">
        <v>3.4399999999999902</v>
      </c>
      <c r="Q152">
        <v>1065</v>
      </c>
    </row>
    <row r="153" spans="3:17" x14ac:dyDescent="0.25">
      <c r="C153" s="15" t="s">
        <v>278</v>
      </c>
      <c r="D153" s="14" t="s">
        <v>13</v>
      </c>
      <c r="E153" s="14">
        <v>13.94</v>
      </c>
      <c r="F153" s="14">
        <v>1.73</v>
      </c>
      <c r="G153" s="14">
        <v>2.27</v>
      </c>
      <c r="H153" s="14">
        <v>17.399999999999899</v>
      </c>
      <c r="I153" s="14">
        <v>108</v>
      </c>
      <c r="J153" s="14">
        <v>2.8799999999999901</v>
      </c>
      <c r="K153" s="14">
        <v>3.54</v>
      </c>
      <c r="L153" s="14">
        <v>0.32</v>
      </c>
      <c r="M153" s="14">
        <v>2.08</v>
      </c>
      <c r="N153" s="14">
        <v>8.9</v>
      </c>
      <c r="O153" s="14">
        <v>1.1200000000000001</v>
      </c>
      <c r="P153" s="14">
        <v>3.1</v>
      </c>
      <c r="Q153">
        <v>1260</v>
      </c>
    </row>
    <row r="154" spans="3:17" x14ac:dyDescent="0.25">
      <c r="C154" s="15" t="s">
        <v>282</v>
      </c>
      <c r="D154" s="14" t="s">
        <v>13</v>
      </c>
      <c r="E154" s="14">
        <v>13.77</v>
      </c>
      <c r="F154" s="14">
        <v>1.8999999999999899</v>
      </c>
      <c r="G154" s="14">
        <v>2.68</v>
      </c>
      <c r="H154" s="14">
        <v>17.100000000000001</v>
      </c>
      <c r="I154" s="14">
        <v>115</v>
      </c>
      <c r="J154" s="14">
        <v>3</v>
      </c>
      <c r="K154" s="14">
        <v>2.79</v>
      </c>
      <c r="L154" s="14">
        <v>0.39</v>
      </c>
      <c r="M154" s="14">
        <v>1.6799999999999899</v>
      </c>
      <c r="N154" s="14">
        <v>6.2999999999999901</v>
      </c>
      <c r="O154" s="14">
        <v>1.1299999999999899</v>
      </c>
      <c r="P154" s="14">
        <v>2.93</v>
      </c>
      <c r="Q154">
        <v>1375</v>
      </c>
    </row>
    <row r="155" spans="3:17" x14ac:dyDescent="0.25">
      <c r="C155" s="15" t="s">
        <v>283</v>
      </c>
      <c r="D155" s="14" t="s">
        <v>13</v>
      </c>
      <c r="E155" s="14">
        <v>13.74</v>
      </c>
      <c r="F155" s="14">
        <v>1.6699999999999899</v>
      </c>
      <c r="G155" s="14">
        <v>2.25</v>
      </c>
      <c r="H155" s="14">
        <v>16.399999999999899</v>
      </c>
      <c r="I155" s="14">
        <v>118</v>
      </c>
      <c r="J155" s="14">
        <v>2.6</v>
      </c>
      <c r="K155" s="14">
        <v>2.8999999999999901</v>
      </c>
      <c r="L155" s="14">
        <v>0.20999999999999899</v>
      </c>
      <c r="M155" s="14">
        <v>1.62</v>
      </c>
      <c r="N155" s="14">
        <v>5.8499999999999899</v>
      </c>
      <c r="O155" s="14">
        <v>0.92</v>
      </c>
      <c r="P155" s="14">
        <v>3.2</v>
      </c>
      <c r="Q155">
        <v>1060</v>
      </c>
    </row>
    <row r="156" spans="3:17" x14ac:dyDescent="0.25">
      <c r="C156" s="15" t="s">
        <v>284</v>
      </c>
      <c r="D156" s="14" t="s">
        <v>13</v>
      </c>
      <c r="E156" s="14">
        <v>13.56</v>
      </c>
      <c r="F156" s="14">
        <v>1.73</v>
      </c>
      <c r="G156" s="14">
        <v>2.46</v>
      </c>
      <c r="H156" s="14">
        <v>20.5</v>
      </c>
      <c r="I156" s="14">
        <v>116</v>
      </c>
      <c r="J156" s="14">
        <v>2.96</v>
      </c>
      <c r="K156" s="14">
        <v>2.77999999999999</v>
      </c>
      <c r="L156" s="14">
        <v>0.2</v>
      </c>
      <c r="M156" s="14">
        <v>2.4500000000000002</v>
      </c>
      <c r="N156" s="14">
        <v>6.25</v>
      </c>
      <c r="O156" s="14">
        <v>0.97999999999999898</v>
      </c>
      <c r="P156" s="14">
        <v>3.02999999999999</v>
      </c>
      <c r="Q156">
        <v>1120</v>
      </c>
    </row>
    <row r="157" spans="3:17" x14ac:dyDescent="0.25">
      <c r="C157" s="15" t="s">
        <v>285</v>
      </c>
      <c r="D157" s="14" t="s">
        <v>13</v>
      </c>
      <c r="E157" s="14">
        <v>14.22</v>
      </c>
      <c r="F157" s="14">
        <v>1.7</v>
      </c>
      <c r="G157" s="14">
        <v>2.2999999999999901</v>
      </c>
      <c r="H157" s="14">
        <v>16.3</v>
      </c>
      <c r="I157" s="14">
        <v>118</v>
      </c>
      <c r="J157" s="14">
        <v>3.2</v>
      </c>
      <c r="K157" s="14">
        <v>3</v>
      </c>
      <c r="L157" s="14">
        <v>0.26</v>
      </c>
      <c r="M157" s="14">
        <v>2.02999999999999</v>
      </c>
      <c r="N157" s="14">
        <v>6.3799999999999901</v>
      </c>
      <c r="O157" s="14">
        <v>0.93999999999999895</v>
      </c>
      <c r="P157" s="14">
        <v>3.31</v>
      </c>
      <c r="Q157">
        <v>970</v>
      </c>
    </row>
    <row r="158" spans="3:17" x14ac:dyDescent="0.25">
      <c r="C158" s="15" t="s">
        <v>287</v>
      </c>
      <c r="D158" s="14" t="s">
        <v>13</v>
      </c>
      <c r="E158" s="14">
        <v>13.72</v>
      </c>
      <c r="F158" s="14">
        <v>1.4299999999999899</v>
      </c>
      <c r="G158" s="14">
        <v>2.5</v>
      </c>
      <c r="H158" s="14">
        <v>16.6999999999999</v>
      </c>
      <c r="I158" s="14">
        <v>108</v>
      </c>
      <c r="J158" s="14">
        <v>3.3999999999999901</v>
      </c>
      <c r="K158" s="14">
        <v>3.6699999999999902</v>
      </c>
      <c r="L158" s="14">
        <v>0.19</v>
      </c>
      <c r="M158" s="14">
        <v>2.04</v>
      </c>
      <c r="N158" s="14">
        <v>6.7999999999999901</v>
      </c>
      <c r="O158" s="14">
        <v>0.89</v>
      </c>
      <c r="P158" s="14">
        <v>2.87</v>
      </c>
      <c r="Q158">
        <v>1285</v>
      </c>
    </row>
    <row r="159" spans="3:17" x14ac:dyDescent="0.25">
      <c r="C159" s="15" t="s">
        <v>288</v>
      </c>
      <c r="D159" s="14" t="s">
        <v>14</v>
      </c>
      <c r="E159" s="14">
        <v>12.3699999999999</v>
      </c>
      <c r="F159" s="14">
        <v>0.93999999999999895</v>
      </c>
      <c r="G159" s="14">
        <v>1.36</v>
      </c>
      <c r="H159" s="14">
        <v>10.6</v>
      </c>
      <c r="I159" s="14">
        <v>88</v>
      </c>
      <c r="J159" s="14">
        <v>1.98</v>
      </c>
      <c r="K159" s="14">
        <v>0.56999999999999895</v>
      </c>
      <c r="L159" s="14">
        <v>0.28000000000000003</v>
      </c>
      <c r="M159" s="14">
        <v>0.41999999999999899</v>
      </c>
      <c r="N159" s="14">
        <v>1.95</v>
      </c>
      <c r="O159" s="14">
        <v>1.05</v>
      </c>
      <c r="P159" s="14">
        <v>1.82</v>
      </c>
      <c r="Q159">
        <v>520</v>
      </c>
    </row>
    <row r="160" spans="3:17" x14ac:dyDescent="0.25">
      <c r="C160" s="15" t="s">
        <v>290</v>
      </c>
      <c r="D160" s="14" t="s">
        <v>14</v>
      </c>
      <c r="E160" s="14">
        <v>12.64</v>
      </c>
      <c r="F160" s="14">
        <v>1.36</v>
      </c>
      <c r="G160" s="14">
        <v>2.02</v>
      </c>
      <c r="H160" s="14">
        <v>16.8</v>
      </c>
      <c r="I160" s="14">
        <v>100</v>
      </c>
      <c r="J160" s="14">
        <v>2.02</v>
      </c>
      <c r="K160" s="14">
        <v>1.4099999999999899</v>
      </c>
      <c r="L160" s="14">
        <v>0.53</v>
      </c>
      <c r="M160" s="14">
        <v>0.62</v>
      </c>
      <c r="N160" s="14">
        <v>5.75</v>
      </c>
      <c r="O160" s="14">
        <v>0.97999999999999898</v>
      </c>
      <c r="P160" s="14">
        <v>1.59</v>
      </c>
      <c r="Q160">
        <v>450</v>
      </c>
    </row>
    <row r="161" spans="3:17" x14ac:dyDescent="0.25">
      <c r="C161" s="15" t="s">
        <v>291</v>
      </c>
      <c r="D161" s="14" t="s">
        <v>14</v>
      </c>
      <c r="E161" s="14">
        <v>13.67</v>
      </c>
      <c r="F161" s="14">
        <v>1.25</v>
      </c>
      <c r="G161" s="14">
        <v>1.9199999999999899</v>
      </c>
      <c r="H161" s="14">
        <v>18</v>
      </c>
      <c r="I161" s="14">
        <v>94</v>
      </c>
      <c r="J161" s="14">
        <v>2.1</v>
      </c>
      <c r="K161" s="14">
        <v>1.79</v>
      </c>
      <c r="L161" s="14">
        <v>0.32</v>
      </c>
      <c r="M161" s="14">
        <v>0.72999999999999898</v>
      </c>
      <c r="N161" s="14">
        <v>3.7999999999999901</v>
      </c>
      <c r="O161" s="14">
        <v>1.23</v>
      </c>
      <c r="P161" s="14">
        <v>2.46</v>
      </c>
      <c r="Q161">
        <v>630</v>
      </c>
    </row>
    <row r="162" spans="3:17" x14ac:dyDescent="0.25">
      <c r="C162" s="15" t="s">
        <v>292</v>
      </c>
      <c r="D162" s="14" t="s">
        <v>14</v>
      </c>
      <c r="E162" s="14">
        <v>12.3699999999999</v>
      </c>
      <c r="F162" s="14">
        <v>1.1299999999999899</v>
      </c>
      <c r="G162" s="14">
        <v>2.16</v>
      </c>
      <c r="H162" s="14">
        <v>19</v>
      </c>
      <c r="I162" s="14">
        <v>87</v>
      </c>
      <c r="J162" s="14">
        <v>3.5</v>
      </c>
      <c r="K162" s="14">
        <v>3.1</v>
      </c>
      <c r="L162" s="14">
        <v>0.19</v>
      </c>
      <c r="M162" s="14">
        <v>1.87</v>
      </c>
      <c r="N162" s="14">
        <v>4.45</v>
      </c>
      <c r="O162" s="14">
        <v>1.22</v>
      </c>
      <c r="P162" s="14">
        <v>2.87</v>
      </c>
      <c r="Q162">
        <v>420</v>
      </c>
    </row>
    <row r="163" spans="3:17" x14ac:dyDescent="0.25">
      <c r="C163" s="15" t="s">
        <v>293</v>
      </c>
      <c r="D163" s="14" t="s">
        <v>14</v>
      </c>
      <c r="E163" s="14">
        <v>12.17</v>
      </c>
      <c r="F163" s="14">
        <v>1.45</v>
      </c>
      <c r="G163" s="14">
        <v>2.52999999999999</v>
      </c>
      <c r="H163" s="14">
        <v>19</v>
      </c>
      <c r="I163" s="14">
        <v>104</v>
      </c>
      <c r="J163" s="14">
        <v>1.8899999999999899</v>
      </c>
      <c r="K163" s="14">
        <v>1.75</v>
      </c>
      <c r="L163" s="14">
        <v>0.45</v>
      </c>
      <c r="M163" s="14">
        <v>1.03</v>
      </c>
      <c r="N163" s="14">
        <v>2.95</v>
      </c>
      <c r="O163" s="14">
        <v>1.45</v>
      </c>
      <c r="P163" s="14">
        <v>2.23</v>
      </c>
      <c r="Q163">
        <v>355</v>
      </c>
    </row>
    <row r="164" spans="3:17" x14ac:dyDescent="0.25">
      <c r="C164" s="15" t="s">
        <v>294</v>
      </c>
      <c r="D164" s="14" t="s">
        <v>14</v>
      </c>
      <c r="E164" s="14">
        <v>12.3699999999999</v>
      </c>
      <c r="F164" s="14">
        <v>1.21</v>
      </c>
      <c r="G164" s="14">
        <v>2.56</v>
      </c>
      <c r="H164" s="14">
        <v>18.100000000000001</v>
      </c>
      <c r="I164" s="14">
        <v>98</v>
      </c>
      <c r="J164" s="14">
        <v>2.4199999999999902</v>
      </c>
      <c r="K164" s="14">
        <v>2.6499999999999901</v>
      </c>
      <c r="L164" s="14">
        <v>0.37</v>
      </c>
      <c r="M164" s="14">
        <v>2.08</v>
      </c>
      <c r="N164" s="14">
        <v>4.5999999999999899</v>
      </c>
      <c r="O164" s="14">
        <v>1.18999999999999</v>
      </c>
      <c r="P164" s="14">
        <v>2.2999999999999901</v>
      </c>
      <c r="Q164">
        <v>678</v>
      </c>
    </row>
    <row r="165" spans="3:17" x14ac:dyDescent="0.25">
      <c r="C165" s="15" t="s">
        <v>297</v>
      </c>
      <c r="D165" s="14" t="s">
        <v>14</v>
      </c>
      <c r="E165" s="14">
        <v>13.34</v>
      </c>
      <c r="F165" s="14">
        <v>0.93999999999999895</v>
      </c>
      <c r="G165" s="14">
        <v>2.3599999999999901</v>
      </c>
      <c r="H165" s="14">
        <v>17</v>
      </c>
      <c r="I165" s="14">
        <v>110</v>
      </c>
      <c r="J165" s="14">
        <v>2.52999999999999</v>
      </c>
      <c r="K165" s="14">
        <v>1.3</v>
      </c>
      <c r="L165" s="14">
        <v>0.55000000000000004</v>
      </c>
      <c r="M165" s="14">
        <v>0.41999999999999899</v>
      </c>
      <c r="N165" s="14">
        <v>3.1699999999999902</v>
      </c>
      <c r="O165" s="14">
        <v>1.02</v>
      </c>
      <c r="P165" s="14">
        <v>1.9299999999999899</v>
      </c>
      <c r="Q165">
        <v>750</v>
      </c>
    </row>
    <row r="166" spans="3:17" x14ac:dyDescent="0.25">
      <c r="C166" s="15" t="s">
        <v>303</v>
      </c>
      <c r="D166" s="14" t="s">
        <v>14</v>
      </c>
      <c r="E166" s="14">
        <v>11.96</v>
      </c>
      <c r="F166" s="14">
        <v>1.0900000000000001</v>
      </c>
      <c r="G166" s="14">
        <v>2.2999999999999901</v>
      </c>
      <c r="H166" s="14">
        <v>21</v>
      </c>
      <c r="I166" s="14">
        <v>101</v>
      </c>
      <c r="J166" s="14">
        <v>3.3799999999999901</v>
      </c>
      <c r="K166" s="14">
        <v>2.14</v>
      </c>
      <c r="L166" s="14">
        <v>0.13</v>
      </c>
      <c r="M166" s="14">
        <v>1.6499999999999899</v>
      </c>
      <c r="N166" s="14">
        <v>3.21</v>
      </c>
      <c r="O166" s="14">
        <v>0.98999999999999899</v>
      </c>
      <c r="P166" s="14">
        <v>3.1299999999999901</v>
      </c>
      <c r="Q166">
        <v>886</v>
      </c>
    </row>
    <row r="167" spans="3:17" x14ac:dyDescent="0.25">
      <c r="C167" s="15" t="s">
        <v>305</v>
      </c>
      <c r="D167" s="14" t="s">
        <v>14</v>
      </c>
      <c r="E167" s="14">
        <v>13.0299999999999</v>
      </c>
      <c r="F167" s="14">
        <v>0.9</v>
      </c>
      <c r="G167" s="14">
        <v>1.71</v>
      </c>
      <c r="H167" s="14">
        <v>16</v>
      </c>
      <c r="I167" s="14">
        <v>86</v>
      </c>
      <c r="J167" s="14">
        <v>1.95</v>
      </c>
      <c r="K167" s="14">
        <v>2.02999999999999</v>
      </c>
      <c r="L167" s="14">
        <v>0.23999999999999899</v>
      </c>
      <c r="M167" s="14">
        <v>1.46</v>
      </c>
      <c r="N167" s="14">
        <v>4.5999999999999899</v>
      </c>
      <c r="O167" s="14">
        <v>1.18999999999999</v>
      </c>
      <c r="P167" s="14">
        <v>2.48</v>
      </c>
      <c r="Q167">
        <v>392</v>
      </c>
    </row>
    <row r="168" spans="3:17" x14ac:dyDescent="0.25">
      <c r="C168" s="15" t="s">
        <v>307</v>
      </c>
      <c r="D168" s="14" t="s">
        <v>14</v>
      </c>
      <c r="E168" s="14">
        <v>12.33</v>
      </c>
      <c r="F168" s="14">
        <v>0.98999999999999899</v>
      </c>
      <c r="G168" s="14">
        <v>1.95</v>
      </c>
      <c r="H168" s="14">
        <v>14.8</v>
      </c>
      <c r="I168" s="14">
        <v>136</v>
      </c>
      <c r="J168" s="14">
        <v>1.8999999999999899</v>
      </c>
      <c r="K168" s="14">
        <v>1.85</v>
      </c>
      <c r="L168" s="14">
        <v>0.34999999999999898</v>
      </c>
      <c r="M168" s="14">
        <v>2.75999999999999</v>
      </c>
      <c r="N168" s="14">
        <v>3.3999999999999901</v>
      </c>
      <c r="O168" s="14">
        <v>1.06</v>
      </c>
      <c r="P168" s="14">
        <v>2.31</v>
      </c>
      <c r="Q168">
        <v>750</v>
      </c>
    </row>
    <row r="169" spans="3:17" x14ac:dyDescent="0.25">
      <c r="C169" s="15" t="s">
        <v>312</v>
      </c>
      <c r="D169" s="14" t="s">
        <v>14</v>
      </c>
      <c r="E169" s="14">
        <v>13.05</v>
      </c>
      <c r="F169" s="14">
        <v>3.8599999999999901</v>
      </c>
      <c r="G169" s="14">
        <v>2.3199999999999901</v>
      </c>
      <c r="H169" s="14">
        <v>22.5</v>
      </c>
      <c r="I169" s="14">
        <v>85</v>
      </c>
      <c r="J169" s="14">
        <v>1.6499999999999899</v>
      </c>
      <c r="K169" s="14">
        <v>1.59</v>
      </c>
      <c r="L169" s="14">
        <v>0.60999999999999899</v>
      </c>
      <c r="M169" s="14">
        <v>1.62</v>
      </c>
      <c r="N169" s="14">
        <v>4.7999999999999901</v>
      </c>
      <c r="O169" s="14">
        <v>0.83999999999999897</v>
      </c>
      <c r="P169" s="14">
        <v>2.00999999999999</v>
      </c>
      <c r="Q169">
        <v>515</v>
      </c>
    </row>
    <row r="170" spans="3:17" x14ac:dyDescent="0.25">
      <c r="C170" s="15" t="s">
        <v>313</v>
      </c>
      <c r="D170" s="14" t="s">
        <v>14</v>
      </c>
      <c r="E170" s="14">
        <v>11.84</v>
      </c>
      <c r="F170" s="14">
        <v>0.89</v>
      </c>
      <c r="G170" s="14">
        <v>2.58</v>
      </c>
      <c r="H170" s="14">
        <v>18</v>
      </c>
      <c r="I170" s="14">
        <v>94</v>
      </c>
      <c r="J170" s="14">
        <v>2.2000000000000002</v>
      </c>
      <c r="K170" s="14">
        <v>2.21</v>
      </c>
      <c r="L170" s="14">
        <v>0.22</v>
      </c>
      <c r="M170" s="14">
        <v>2.35</v>
      </c>
      <c r="N170" s="14">
        <v>3.0499999999999901</v>
      </c>
      <c r="O170" s="14">
        <v>0.79</v>
      </c>
      <c r="P170" s="14">
        <v>3.08</v>
      </c>
      <c r="Q170">
        <v>520</v>
      </c>
    </row>
    <row r="171" spans="3:17" x14ac:dyDescent="0.25">
      <c r="C171" s="15" t="s">
        <v>314</v>
      </c>
      <c r="D171" s="14" t="s">
        <v>14</v>
      </c>
      <c r="E171" s="14">
        <v>12.67</v>
      </c>
      <c r="F171" s="14">
        <v>0.97999999999999898</v>
      </c>
      <c r="G171" s="14">
        <v>2.2400000000000002</v>
      </c>
      <c r="H171" s="14">
        <v>18</v>
      </c>
      <c r="I171" s="14">
        <v>99</v>
      </c>
      <c r="J171" s="14">
        <v>2.2000000000000002</v>
      </c>
      <c r="K171" s="14">
        <v>1.93999999999999</v>
      </c>
      <c r="L171" s="14">
        <v>0.29999999999999899</v>
      </c>
      <c r="M171" s="14">
        <v>1.46</v>
      </c>
      <c r="N171" s="14">
        <v>2.62</v>
      </c>
      <c r="O171" s="14">
        <v>1.23</v>
      </c>
      <c r="P171" s="14">
        <v>3.16</v>
      </c>
      <c r="Q171">
        <v>450</v>
      </c>
    </row>
    <row r="172" spans="3:17" x14ac:dyDescent="0.25">
      <c r="C172" s="15" t="s">
        <v>315</v>
      </c>
      <c r="D172" s="14" t="s">
        <v>14</v>
      </c>
      <c r="E172" s="14">
        <v>12.16</v>
      </c>
      <c r="F172" s="14">
        <v>1.61</v>
      </c>
      <c r="G172" s="14">
        <v>2.31</v>
      </c>
      <c r="H172" s="14">
        <v>22.8</v>
      </c>
      <c r="I172" s="14">
        <v>90</v>
      </c>
      <c r="J172" s="14">
        <v>1.78</v>
      </c>
      <c r="K172" s="14">
        <v>1.68999999999999</v>
      </c>
      <c r="L172" s="14">
        <v>0.42999999999999899</v>
      </c>
      <c r="M172" s="14">
        <v>1.56</v>
      </c>
      <c r="N172" s="14">
        <v>2.4500000000000002</v>
      </c>
      <c r="O172" s="14">
        <v>1.33</v>
      </c>
      <c r="P172" s="14">
        <v>2.25999999999999</v>
      </c>
      <c r="Q172">
        <v>495</v>
      </c>
    </row>
    <row r="173" spans="3:17" x14ac:dyDescent="0.25">
      <c r="C173" s="15" t="s">
        <v>317</v>
      </c>
      <c r="D173" s="14" t="s">
        <v>14</v>
      </c>
      <c r="E173" s="14">
        <v>11.64</v>
      </c>
      <c r="F173" s="14">
        <v>2.06</v>
      </c>
      <c r="G173" s="14">
        <v>2.46</v>
      </c>
      <c r="H173" s="14">
        <v>21.6</v>
      </c>
      <c r="I173" s="14">
        <v>84</v>
      </c>
      <c r="J173" s="14">
        <v>1.95</v>
      </c>
      <c r="K173" s="14">
        <v>1.68999999999999</v>
      </c>
      <c r="L173" s="14">
        <v>0.47999999999999898</v>
      </c>
      <c r="M173" s="14">
        <v>1.35</v>
      </c>
      <c r="N173" s="14">
        <v>2.7999999999999901</v>
      </c>
      <c r="O173" s="14">
        <v>1</v>
      </c>
      <c r="P173" s="14">
        <v>2.75</v>
      </c>
      <c r="Q173">
        <v>680</v>
      </c>
    </row>
    <row r="174" spans="3:17" x14ac:dyDescent="0.25">
      <c r="C174" s="15" t="s">
        <v>318</v>
      </c>
      <c r="D174" s="14" t="s">
        <v>14</v>
      </c>
      <c r="E174" s="14">
        <v>12.08</v>
      </c>
      <c r="F174" s="14">
        <v>1.33</v>
      </c>
      <c r="G174" s="14">
        <v>2.2999999999999901</v>
      </c>
      <c r="H174" s="14">
        <v>23.6</v>
      </c>
      <c r="I174" s="14">
        <v>70</v>
      </c>
      <c r="J174" s="14">
        <v>2.2000000000000002</v>
      </c>
      <c r="K174" s="14">
        <v>1.59</v>
      </c>
      <c r="L174" s="14">
        <v>0.41999999999999899</v>
      </c>
      <c r="M174" s="14">
        <v>1.3799999999999899</v>
      </c>
      <c r="N174" s="14">
        <v>1.74</v>
      </c>
      <c r="O174" s="14">
        <v>1.07</v>
      </c>
      <c r="P174" s="14">
        <v>3.21</v>
      </c>
      <c r="Q174">
        <v>625</v>
      </c>
    </row>
    <row r="175" spans="3:17" x14ac:dyDescent="0.25">
      <c r="C175" s="15" t="s">
        <v>319</v>
      </c>
      <c r="D175" s="14" t="s">
        <v>14</v>
      </c>
      <c r="E175" s="14">
        <v>12.08</v>
      </c>
      <c r="F175" s="14">
        <v>1.83</v>
      </c>
      <c r="G175" s="14">
        <v>2.3199999999999901</v>
      </c>
      <c r="H175" s="14">
        <v>18.5</v>
      </c>
      <c r="I175" s="14">
        <v>81</v>
      </c>
      <c r="J175" s="14">
        <v>1.6</v>
      </c>
      <c r="K175" s="14">
        <v>1.5</v>
      </c>
      <c r="L175" s="14">
        <v>0.52</v>
      </c>
      <c r="M175" s="14">
        <v>1.6399999999999899</v>
      </c>
      <c r="N175" s="14">
        <v>2.3999999999999901</v>
      </c>
      <c r="O175" s="14">
        <v>1.08</v>
      </c>
      <c r="P175" s="14">
        <v>2.27</v>
      </c>
      <c r="Q175">
        <v>480</v>
      </c>
    </row>
    <row r="176" spans="3:17" x14ac:dyDescent="0.25">
      <c r="C176" s="15" t="s">
        <v>322</v>
      </c>
      <c r="D176" s="14" t="s">
        <v>14</v>
      </c>
      <c r="E176" s="14">
        <v>12.2899999999999</v>
      </c>
      <c r="F176" s="14">
        <v>2.83</v>
      </c>
      <c r="G176" s="14">
        <v>2.2200000000000002</v>
      </c>
      <c r="H176" s="14">
        <v>18</v>
      </c>
      <c r="I176" s="14">
        <v>88</v>
      </c>
      <c r="J176" s="14">
        <v>2.4500000000000002</v>
      </c>
      <c r="K176" s="14">
        <v>2.25</v>
      </c>
      <c r="L176" s="14">
        <v>0.25</v>
      </c>
      <c r="M176" s="14">
        <v>1.99</v>
      </c>
      <c r="N176" s="14">
        <v>2.1499999999999901</v>
      </c>
      <c r="O176" s="14">
        <v>1.1499999999999899</v>
      </c>
      <c r="P176" s="14">
        <v>3.2999999999999901</v>
      </c>
      <c r="Q176">
        <v>290</v>
      </c>
    </row>
    <row r="177" spans="3:17" x14ac:dyDescent="0.25">
      <c r="C177" s="15" t="s">
        <v>323</v>
      </c>
      <c r="D177" s="14" t="s">
        <v>14</v>
      </c>
      <c r="E177" s="14">
        <v>11.6199999999999</v>
      </c>
      <c r="F177" s="14">
        <v>1.99</v>
      </c>
      <c r="G177" s="14">
        <v>2.27999999999999</v>
      </c>
      <c r="H177" s="14">
        <v>18</v>
      </c>
      <c r="I177" s="14">
        <v>98</v>
      </c>
      <c r="J177" s="14">
        <v>3.02</v>
      </c>
      <c r="K177" s="14">
        <v>2.25999999999999</v>
      </c>
      <c r="L177" s="14">
        <v>0.17</v>
      </c>
      <c r="M177" s="14">
        <v>1.35</v>
      </c>
      <c r="N177" s="14">
        <v>3.25</v>
      </c>
      <c r="O177" s="14">
        <v>1.1599999999999899</v>
      </c>
      <c r="P177" s="14">
        <v>2.96</v>
      </c>
      <c r="Q177">
        <v>345</v>
      </c>
    </row>
    <row r="178" spans="3:17" x14ac:dyDescent="0.25">
      <c r="C178" s="15" t="s">
        <v>325</v>
      </c>
      <c r="D178" s="14" t="s">
        <v>14</v>
      </c>
      <c r="E178" s="14">
        <v>11.81</v>
      </c>
      <c r="F178" s="14">
        <v>2.12</v>
      </c>
      <c r="G178" s="14">
        <v>2.74</v>
      </c>
      <c r="H178" s="14">
        <v>21.5</v>
      </c>
      <c r="I178" s="14">
        <v>134</v>
      </c>
      <c r="J178" s="14">
        <v>1.6</v>
      </c>
      <c r="K178" s="14">
        <v>0.98999999999999899</v>
      </c>
      <c r="L178" s="14">
        <v>0.14000000000000001</v>
      </c>
      <c r="M178" s="14">
        <v>1.56</v>
      </c>
      <c r="N178" s="14">
        <v>2.5</v>
      </c>
      <c r="O178" s="14">
        <v>0.94999999999999896</v>
      </c>
      <c r="P178" s="14">
        <v>2.25999999999999</v>
      </c>
      <c r="Q178">
        <v>625</v>
      </c>
    </row>
    <row r="179" spans="3:17" x14ac:dyDescent="0.25">
      <c r="C179" s="15" t="s">
        <v>327</v>
      </c>
      <c r="D179" s="14" t="s">
        <v>14</v>
      </c>
      <c r="E179" s="14">
        <v>12.3699999999999</v>
      </c>
      <c r="F179" s="14">
        <v>1.07</v>
      </c>
      <c r="G179" s="14">
        <v>2.1</v>
      </c>
      <c r="H179" s="14">
        <v>18.5</v>
      </c>
      <c r="I179" s="14">
        <v>88</v>
      </c>
      <c r="J179" s="14">
        <v>3.52</v>
      </c>
      <c r="K179" s="14">
        <v>3.75</v>
      </c>
      <c r="L179" s="14">
        <v>0.23999999999999899</v>
      </c>
      <c r="M179" s="14">
        <v>1.95</v>
      </c>
      <c r="N179" s="14">
        <v>4.5</v>
      </c>
      <c r="O179" s="14">
        <v>1.04</v>
      </c>
      <c r="P179" s="14">
        <v>2.77</v>
      </c>
      <c r="Q179">
        <v>660</v>
      </c>
    </row>
    <row r="180" spans="3:17" x14ac:dyDescent="0.25">
      <c r="C180" s="15" t="s">
        <v>329</v>
      </c>
      <c r="D180" s="14" t="s">
        <v>14</v>
      </c>
      <c r="E180" s="14">
        <v>12.08</v>
      </c>
      <c r="F180" s="14">
        <v>2.08</v>
      </c>
      <c r="G180" s="14">
        <v>1.7</v>
      </c>
      <c r="H180" s="14">
        <v>17.5</v>
      </c>
      <c r="I180" s="14">
        <v>97</v>
      </c>
      <c r="J180" s="14">
        <v>2.23</v>
      </c>
      <c r="K180" s="14">
        <v>2.1699999999999902</v>
      </c>
      <c r="L180" s="14">
        <v>0.26</v>
      </c>
      <c r="M180" s="14">
        <v>1.3999999999999899</v>
      </c>
      <c r="N180" s="14">
        <v>3.2999999999999901</v>
      </c>
      <c r="O180" s="14">
        <v>1.27</v>
      </c>
      <c r="P180" s="14">
        <v>2.96</v>
      </c>
      <c r="Q180">
        <v>710</v>
      </c>
    </row>
    <row r="181" spans="3:17" x14ac:dyDescent="0.25">
      <c r="C181" s="15" t="s">
        <v>334</v>
      </c>
      <c r="D181" s="14" t="s">
        <v>14</v>
      </c>
      <c r="E181" s="14">
        <v>12.42</v>
      </c>
      <c r="F181" s="14">
        <v>2.5499999999999901</v>
      </c>
      <c r="G181" s="14">
        <v>2.27</v>
      </c>
      <c r="H181" s="14">
        <v>22</v>
      </c>
      <c r="I181" s="14">
        <v>90</v>
      </c>
      <c r="J181" s="14">
        <v>1.6799999999999899</v>
      </c>
      <c r="K181" s="14">
        <v>1.84</v>
      </c>
      <c r="L181" s="14">
        <v>0.66</v>
      </c>
      <c r="M181" s="14">
        <v>1.4199999999999899</v>
      </c>
      <c r="N181" s="14">
        <v>2.7</v>
      </c>
      <c r="O181" s="14">
        <v>0.85999999999999899</v>
      </c>
      <c r="P181" s="14">
        <v>3.2999999999999901</v>
      </c>
      <c r="Q181">
        <v>315</v>
      </c>
    </row>
    <row r="182" spans="3:17" x14ac:dyDescent="0.25">
      <c r="C182" s="15" t="s">
        <v>335</v>
      </c>
      <c r="D182" s="14" t="s">
        <v>14</v>
      </c>
      <c r="E182" s="14">
        <v>12.25</v>
      </c>
      <c r="F182" s="14">
        <v>1.73</v>
      </c>
      <c r="G182" s="14">
        <v>2.12</v>
      </c>
      <c r="H182" s="14">
        <v>19</v>
      </c>
      <c r="I182" s="14">
        <v>80</v>
      </c>
      <c r="J182" s="14">
        <v>1.6499999999999899</v>
      </c>
      <c r="K182" s="14">
        <v>2.02999999999999</v>
      </c>
      <c r="L182" s="14">
        <v>0.37</v>
      </c>
      <c r="M182" s="14">
        <v>1.6299999999999899</v>
      </c>
      <c r="N182" s="14">
        <v>3.3999999999999901</v>
      </c>
      <c r="O182" s="14">
        <v>1</v>
      </c>
      <c r="P182" s="14">
        <v>3.1699999999999902</v>
      </c>
      <c r="Q182">
        <v>510</v>
      </c>
    </row>
    <row r="183" spans="3:17" x14ac:dyDescent="0.25">
      <c r="C183" s="15" t="s">
        <v>336</v>
      </c>
      <c r="D183" s="14" t="s">
        <v>14</v>
      </c>
      <c r="E183" s="14">
        <v>12.72</v>
      </c>
      <c r="F183" s="14">
        <v>1.75</v>
      </c>
      <c r="G183" s="14">
        <v>2.27999999999999</v>
      </c>
      <c r="H183" s="14">
        <v>22.5</v>
      </c>
      <c r="I183" s="14">
        <v>84</v>
      </c>
      <c r="J183" s="14">
        <v>1.3799999999999899</v>
      </c>
      <c r="K183" s="14">
        <v>1.76</v>
      </c>
      <c r="L183" s="14">
        <v>0.47999999999999898</v>
      </c>
      <c r="M183" s="14">
        <v>1.6299999999999899</v>
      </c>
      <c r="N183" s="14">
        <v>3.2999999999999901</v>
      </c>
      <c r="O183" s="14">
        <v>0.88</v>
      </c>
      <c r="P183" s="14">
        <v>2.4199999999999902</v>
      </c>
      <c r="Q183">
        <v>488</v>
      </c>
    </row>
    <row r="184" spans="3:17" x14ac:dyDescent="0.25">
      <c r="C184" s="15" t="s">
        <v>337</v>
      </c>
      <c r="D184" s="14" t="s">
        <v>14</v>
      </c>
      <c r="E184" s="14">
        <v>12.22</v>
      </c>
      <c r="F184" s="14">
        <v>1.29</v>
      </c>
      <c r="G184" s="14">
        <v>1.93999999999999</v>
      </c>
      <c r="H184" s="14">
        <v>19</v>
      </c>
      <c r="I184" s="14">
        <v>92</v>
      </c>
      <c r="J184" s="14">
        <v>2.3599999999999901</v>
      </c>
      <c r="K184" s="14">
        <v>2.04</v>
      </c>
      <c r="L184" s="14">
        <v>0.39</v>
      </c>
      <c r="M184" s="14">
        <v>2.08</v>
      </c>
      <c r="N184" s="14">
        <v>2.7</v>
      </c>
      <c r="O184" s="14">
        <v>0.85999999999999899</v>
      </c>
      <c r="P184" s="14">
        <v>3.02</v>
      </c>
      <c r="Q184">
        <v>312</v>
      </c>
    </row>
    <row r="185" spans="3:17" x14ac:dyDescent="0.25">
      <c r="C185" s="15" t="s">
        <v>339</v>
      </c>
      <c r="D185" s="14" t="s">
        <v>14</v>
      </c>
      <c r="E185" s="14">
        <v>11.46</v>
      </c>
      <c r="F185" s="14">
        <v>3.74</v>
      </c>
      <c r="G185" s="14">
        <v>1.82</v>
      </c>
      <c r="H185" s="14">
        <v>19.5</v>
      </c>
      <c r="I185" s="14">
        <v>107</v>
      </c>
      <c r="J185" s="14">
        <v>3.18</v>
      </c>
      <c r="K185" s="14">
        <v>2.58</v>
      </c>
      <c r="L185" s="14">
        <v>0.23999999999999899</v>
      </c>
      <c r="M185" s="14">
        <v>3.58</v>
      </c>
      <c r="N185" s="14">
        <v>2.8999999999999901</v>
      </c>
      <c r="O185" s="14">
        <v>0.75</v>
      </c>
      <c r="P185" s="14">
        <v>2.81</v>
      </c>
      <c r="Q185">
        <v>562</v>
      </c>
    </row>
    <row r="186" spans="3:17" x14ac:dyDescent="0.25">
      <c r="C186" s="15" t="s">
        <v>340</v>
      </c>
      <c r="D186" s="14" t="s">
        <v>14</v>
      </c>
      <c r="E186" s="14">
        <v>12.52</v>
      </c>
      <c r="F186" s="14">
        <v>2.4300000000000002</v>
      </c>
      <c r="G186" s="14">
        <v>2.1699999999999902</v>
      </c>
      <c r="H186" s="14">
        <v>21</v>
      </c>
      <c r="I186" s="14">
        <v>88</v>
      </c>
      <c r="J186" s="14">
        <v>2.5499999999999901</v>
      </c>
      <c r="K186" s="14">
        <v>2.27</v>
      </c>
      <c r="L186" s="14">
        <v>0.26</v>
      </c>
      <c r="M186" s="14">
        <v>1.22</v>
      </c>
      <c r="N186" s="14">
        <v>2</v>
      </c>
      <c r="O186" s="14">
        <v>0.9</v>
      </c>
      <c r="P186" s="14">
        <v>2.77999999999999</v>
      </c>
      <c r="Q186">
        <v>325</v>
      </c>
    </row>
    <row r="187" spans="3:17" x14ac:dyDescent="0.25">
      <c r="C187" s="15" t="s">
        <v>342</v>
      </c>
      <c r="D187" s="14" t="s">
        <v>14</v>
      </c>
      <c r="E187" s="14">
        <v>11.41</v>
      </c>
      <c r="F187" s="14">
        <v>0.73999999999999899</v>
      </c>
      <c r="G187" s="14">
        <v>2.5</v>
      </c>
      <c r="H187" s="14">
        <v>21</v>
      </c>
      <c r="I187" s="14">
        <v>88</v>
      </c>
      <c r="J187" s="14">
        <v>2.48</v>
      </c>
      <c r="K187" s="14">
        <v>2.00999999999999</v>
      </c>
      <c r="L187" s="14">
        <v>0.41999999999999899</v>
      </c>
      <c r="M187" s="14">
        <v>1.43999999999999</v>
      </c>
      <c r="N187" s="14">
        <v>3.08</v>
      </c>
      <c r="O187" s="14">
        <v>1.1000000000000001</v>
      </c>
      <c r="P187" s="14">
        <v>2.31</v>
      </c>
      <c r="Q187">
        <v>434</v>
      </c>
    </row>
    <row r="188" spans="3:17" x14ac:dyDescent="0.25">
      <c r="C188" s="15" t="s">
        <v>343</v>
      </c>
      <c r="D188" s="14" t="s">
        <v>14</v>
      </c>
      <c r="E188" s="14">
        <v>12.08</v>
      </c>
      <c r="F188" s="14">
        <v>1.3899999999999899</v>
      </c>
      <c r="G188" s="14">
        <v>2.5</v>
      </c>
      <c r="H188" s="14">
        <v>22.5</v>
      </c>
      <c r="I188" s="14">
        <v>84</v>
      </c>
      <c r="J188" s="14">
        <v>2.56</v>
      </c>
      <c r="K188" s="14">
        <v>2.29</v>
      </c>
      <c r="L188" s="14">
        <v>0.42999999999999899</v>
      </c>
      <c r="M188" s="14">
        <v>1.04</v>
      </c>
      <c r="N188" s="14">
        <v>2.8999999999999901</v>
      </c>
      <c r="O188" s="14">
        <v>0.93</v>
      </c>
      <c r="P188" s="14">
        <v>3.1899999999999902</v>
      </c>
      <c r="Q188">
        <v>385</v>
      </c>
    </row>
    <row r="189" spans="3:17" x14ac:dyDescent="0.25">
      <c r="C189" s="15" t="s">
        <v>345</v>
      </c>
      <c r="D189" s="14" t="s">
        <v>14</v>
      </c>
      <c r="E189" s="14">
        <v>11.82</v>
      </c>
      <c r="F189" s="14">
        <v>1.47</v>
      </c>
      <c r="G189" s="14">
        <v>1.99</v>
      </c>
      <c r="H189" s="14">
        <v>20.8</v>
      </c>
      <c r="I189" s="14">
        <v>86</v>
      </c>
      <c r="J189" s="14">
        <v>1.98</v>
      </c>
      <c r="K189" s="14">
        <v>1.6</v>
      </c>
      <c r="L189" s="14">
        <v>0.29999999999999899</v>
      </c>
      <c r="M189" s="14">
        <v>1.53</v>
      </c>
      <c r="N189" s="14">
        <v>1.95</v>
      </c>
      <c r="O189" s="14">
        <v>0.94999999999999896</v>
      </c>
      <c r="P189" s="14">
        <v>3.33</v>
      </c>
      <c r="Q189">
        <v>495</v>
      </c>
    </row>
    <row r="190" spans="3:17" x14ac:dyDescent="0.25">
      <c r="C190" s="15" t="s">
        <v>347</v>
      </c>
      <c r="D190" s="14" t="s">
        <v>14</v>
      </c>
      <c r="E190" s="14">
        <v>12.77</v>
      </c>
      <c r="F190" s="14">
        <v>3.43</v>
      </c>
      <c r="G190" s="14">
        <v>1.98</v>
      </c>
      <c r="H190" s="14">
        <v>16</v>
      </c>
      <c r="I190" s="14">
        <v>80</v>
      </c>
      <c r="J190" s="14">
        <v>1.6299999999999899</v>
      </c>
      <c r="K190" s="14">
        <v>1.25</v>
      </c>
      <c r="L190" s="14">
        <v>0.42999999999999899</v>
      </c>
      <c r="M190" s="14">
        <v>0.82999999999999896</v>
      </c>
      <c r="N190" s="14">
        <v>3.3999999999999901</v>
      </c>
      <c r="O190" s="14">
        <v>0.69999999999999896</v>
      </c>
      <c r="P190" s="14">
        <v>2.12</v>
      </c>
      <c r="Q190">
        <v>372</v>
      </c>
    </row>
    <row r="191" spans="3:17" x14ac:dyDescent="0.25">
      <c r="C191" s="15" t="s">
        <v>350</v>
      </c>
      <c r="D191" s="14" t="s">
        <v>14</v>
      </c>
      <c r="E191" s="14">
        <v>11.56</v>
      </c>
      <c r="F191" s="14">
        <v>2.0499999999999901</v>
      </c>
      <c r="G191" s="14">
        <v>3.23</v>
      </c>
      <c r="H191" s="14">
        <v>28.5</v>
      </c>
      <c r="I191" s="14">
        <v>119</v>
      </c>
      <c r="J191" s="14">
        <v>3.18</v>
      </c>
      <c r="K191" s="14">
        <v>5.08</v>
      </c>
      <c r="L191" s="14">
        <v>0.46999999999999897</v>
      </c>
      <c r="M191" s="14">
        <v>1.87</v>
      </c>
      <c r="N191" s="14">
        <v>6</v>
      </c>
      <c r="O191" s="14">
        <v>0.93</v>
      </c>
      <c r="P191" s="14">
        <v>3.6899999999999902</v>
      </c>
      <c r="Q191">
        <v>465</v>
      </c>
    </row>
    <row r="192" spans="3:17" x14ac:dyDescent="0.25">
      <c r="C192" s="15" t="s">
        <v>351</v>
      </c>
      <c r="D192" s="14" t="s">
        <v>14</v>
      </c>
      <c r="E192" s="14">
        <v>12.42</v>
      </c>
      <c r="F192" s="14">
        <v>4.4299999999999899</v>
      </c>
      <c r="G192" s="14">
        <v>2.73</v>
      </c>
      <c r="H192" s="14">
        <v>26.5</v>
      </c>
      <c r="I192" s="14">
        <v>102</v>
      </c>
      <c r="J192" s="14">
        <v>2.2000000000000002</v>
      </c>
      <c r="K192" s="14">
        <v>2.1299999999999901</v>
      </c>
      <c r="L192" s="14">
        <v>0.42999999999999899</v>
      </c>
      <c r="M192" s="14">
        <v>1.71</v>
      </c>
      <c r="N192" s="14">
        <v>2.08</v>
      </c>
      <c r="O192" s="14">
        <v>0.92</v>
      </c>
      <c r="P192" s="14">
        <v>3.12</v>
      </c>
      <c r="Q192">
        <v>365</v>
      </c>
    </row>
    <row r="193" spans="3:17" x14ac:dyDescent="0.25">
      <c r="C193" s="15" t="s">
        <v>353</v>
      </c>
      <c r="D193" s="14" t="s">
        <v>14</v>
      </c>
      <c r="E193" s="14">
        <v>11.8699999999999</v>
      </c>
      <c r="F193" s="14">
        <v>4.3099999999999898</v>
      </c>
      <c r="G193" s="14">
        <v>2.39</v>
      </c>
      <c r="H193" s="14">
        <v>21</v>
      </c>
      <c r="I193" s="14">
        <v>82</v>
      </c>
      <c r="J193" s="14">
        <v>2.8599999999999901</v>
      </c>
      <c r="K193" s="14">
        <v>3.02999999999999</v>
      </c>
      <c r="L193" s="14">
        <v>0.20999999999999899</v>
      </c>
      <c r="M193" s="14">
        <v>2.91</v>
      </c>
      <c r="N193" s="14">
        <v>2.7999999999999901</v>
      </c>
      <c r="O193" s="14">
        <v>0.75</v>
      </c>
      <c r="P193" s="14">
        <v>3.64</v>
      </c>
      <c r="Q193">
        <v>380</v>
      </c>
    </row>
    <row r="194" spans="3:17" x14ac:dyDescent="0.25">
      <c r="C194" s="15" t="s">
        <v>355</v>
      </c>
      <c r="D194" s="14" t="s">
        <v>14</v>
      </c>
      <c r="E194" s="14">
        <v>12.43</v>
      </c>
      <c r="F194" s="14">
        <v>1.53</v>
      </c>
      <c r="G194" s="14">
        <v>2.29</v>
      </c>
      <c r="H194" s="14">
        <v>21.5</v>
      </c>
      <c r="I194" s="14">
        <v>86</v>
      </c>
      <c r="J194" s="14">
        <v>2.74</v>
      </c>
      <c r="K194" s="14">
        <v>3.1499999999999901</v>
      </c>
      <c r="L194" s="14">
        <v>0.39</v>
      </c>
      <c r="M194" s="14">
        <v>1.77</v>
      </c>
      <c r="N194" s="14">
        <v>3.9399999999999902</v>
      </c>
      <c r="O194" s="14">
        <v>0.68999999999999895</v>
      </c>
      <c r="P194" s="14">
        <v>2.8399999999999901</v>
      </c>
      <c r="Q194">
        <v>352</v>
      </c>
    </row>
    <row r="195" spans="3:17" x14ac:dyDescent="0.25">
      <c r="C195" s="15" t="s">
        <v>359</v>
      </c>
      <c r="D195" s="14" t="s">
        <v>15</v>
      </c>
      <c r="E195" s="14">
        <v>12.8599999999999</v>
      </c>
      <c r="F195" s="14">
        <v>1.35</v>
      </c>
      <c r="G195" s="14">
        <v>2.3199999999999901</v>
      </c>
      <c r="H195" s="14">
        <v>18</v>
      </c>
      <c r="I195" s="14">
        <v>122</v>
      </c>
      <c r="J195" s="14">
        <v>1.51</v>
      </c>
      <c r="K195" s="14">
        <v>1.25</v>
      </c>
      <c r="L195" s="14">
        <v>0.20999999999999899</v>
      </c>
      <c r="M195" s="14">
        <v>0.93999999999999895</v>
      </c>
      <c r="N195" s="14">
        <v>4.0999999999999899</v>
      </c>
      <c r="O195" s="14">
        <v>0.76</v>
      </c>
      <c r="P195" s="14">
        <v>1.29</v>
      </c>
      <c r="Q195">
        <v>630</v>
      </c>
    </row>
    <row r="196" spans="3:17" x14ac:dyDescent="0.25">
      <c r="C196" s="15" t="s">
        <v>360</v>
      </c>
      <c r="D196" s="14" t="s">
        <v>15</v>
      </c>
      <c r="E196" s="14">
        <v>12.88</v>
      </c>
      <c r="F196" s="14">
        <v>2.99</v>
      </c>
      <c r="G196" s="14">
        <v>2.3999999999999901</v>
      </c>
      <c r="H196" s="14">
        <v>20</v>
      </c>
      <c r="I196" s="14">
        <v>104</v>
      </c>
      <c r="J196" s="14">
        <v>1.3</v>
      </c>
      <c r="K196" s="14">
        <v>1.22</v>
      </c>
      <c r="L196" s="14">
        <v>0.23999999999999899</v>
      </c>
      <c r="M196" s="14">
        <v>0.82999999999999896</v>
      </c>
      <c r="N196" s="14">
        <v>5.4</v>
      </c>
      <c r="O196" s="14">
        <v>0.73999999999999899</v>
      </c>
      <c r="P196" s="14">
        <v>1.4199999999999899</v>
      </c>
      <c r="Q196">
        <v>530</v>
      </c>
    </row>
    <row r="197" spans="3:17" x14ac:dyDescent="0.25">
      <c r="C197" s="15" t="s">
        <v>362</v>
      </c>
      <c r="D197" s="14" t="s">
        <v>15</v>
      </c>
      <c r="E197" s="14">
        <v>12.6999999999999</v>
      </c>
      <c r="F197" s="14">
        <v>3.5499999999999901</v>
      </c>
      <c r="G197" s="14">
        <v>2.3599999999999901</v>
      </c>
      <c r="H197" s="14">
        <v>21.5</v>
      </c>
      <c r="I197" s="14">
        <v>106</v>
      </c>
      <c r="J197" s="14">
        <v>1.7</v>
      </c>
      <c r="K197" s="14">
        <v>1.2</v>
      </c>
      <c r="L197" s="14">
        <v>0.17</v>
      </c>
      <c r="M197" s="14">
        <v>0.83999999999999897</v>
      </c>
      <c r="N197" s="14">
        <v>5</v>
      </c>
      <c r="O197" s="14">
        <v>0.78</v>
      </c>
      <c r="P197" s="14">
        <v>1.29</v>
      </c>
      <c r="Q197">
        <v>600</v>
      </c>
    </row>
    <row r="198" spans="3:17" x14ac:dyDescent="0.25">
      <c r="C198" s="15" t="s">
        <v>365</v>
      </c>
      <c r="D198" s="14" t="s">
        <v>15</v>
      </c>
      <c r="E198" s="14">
        <v>12.25</v>
      </c>
      <c r="F198" s="14">
        <v>4.71999999999999</v>
      </c>
      <c r="G198" s="14">
        <v>2.54</v>
      </c>
      <c r="H198" s="14">
        <v>21</v>
      </c>
      <c r="I198" s="14">
        <v>89</v>
      </c>
      <c r="J198" s="14">
        <v>1.3799999999999899</v>
      </c>
      <c r="K198" s="14">
        <v>0.46999999999999897</v>
      </c>
      <c r="L198" s="14">
        <v>0.53</v>
      </c>
      <c r="M198" s="14">
        <v>0.8</v>
      </c>
      <c r="N198" s="14">
        <v>3.85</v>
      </c>
      <c r="O198" s="14">
        <v>0.75</v>
      </c>
      <c r="P198" s="14">
        <v>1.27</v>
      </c>
      <c r="Q198">
        <v>720</v>
      </c>
    </row>
    <row r="199" spans="3:17" x14ac:dyDescent="0.25">
      <c r="C199" s="15" t="s">
        <v>367</v>
      </c>
      <c r="D199" s="14" t="s">
        <v>15</v>
      </c>
      <c r="E199" s="14">
        <v>13.49</v>
      </c>
      <c r="F199" s="14">
        <v>3.5899999999999901</v>
      </c>
      <c r="G199" s="14">
        <v>2.1899999999999902</v>
      </c>
      <c r="H199" s="14">
        <v>19.5</v>
      </c>
      <c r="I199" s="14">
        <v>88</v>
      </c>
      <c r="J199" s="14">
        <v>1.62</v>
      </c>
      <c r="K199" s="14">
        <v>0.47999999999999898</v>
      </c>
      <c r="L199" s="14">
        <v>0.57999999999999896</v>
      </c>
      <c r="M199" s="14">
        <v>0.88</v>
      </c>
      <c r="N199" s="14">
        <v>5.7</v>
      </c>
      <c r="O199" s="14">
        <v>0.81</v>
      </c>
      <c r="P199" s="14">
        <v>1.82</v>
      </c>
      <c r="Q199">
        <v>580</v>
      </c>
    </row>
    <row r="200" spans="3:17" x14ac:dyDescent="0.25">
      <c r="C200" s="15" t="s">
        <v>368</v>
      </c>
      <c r="D200" s="14" t="s">
        <v>15</v>
      </c>
      <c r="E200" s="14">
        <v>12.84</v>
      </c>
      <c r="F200" s="14">
        <v>2.96</v>
      </c>
      <c r="G200" s="14">
        <v>2.6099999999999901</v>
      </c>
      <c r="H200" s="14">
        <v>24</v>
      </c>
      <c r="I200" s="14">
        <v>101</v>
      </c>
      <c r="J200" s="14">
        <v>2.3199999999999901</v>
      </c>
      <c r="K200" s="14">
        <v>0.59999999999999898</v>
      </c>
      <c r="L200" s="14">
        <v>0.53</v>
      </c>
      <c r="M200" s="14">
        <v>0.81</v>
      </c>
      <c r="N200" s="14">
        <v>4.9199999999999902</v>
      </c>
      <c r="O200" s="14">
        <v>0.89</v>
      </c>
      <c r="P200" s="14">
        <v>2.1499999999999901</v>
      </c>
      <c r="Q200">
        <v>590</v>
      </c>
    </row>
    <row r="201" spans="3:17" x14ac:dyDescent="0.25">
      <c r="C201" s="15" t="s">
        <v>370</v>
      </c>
      <c r="D201" s="14" t="s">
        <v>15</v>
      </c>
      <c r="E201" s="14">
        <v>13.3599999999999</v>
      </c>
      <c r="F201" s="14">
        <v>2.56</v>
      </c>
      <c r="G201" s="14">
        <v>2.35</v>
      </c>
      <c r="H201" s="14">
        <v>20</v>
      </c>
      <c r="I201" s="14">
        <v>89</v>
      </c>
      <c r="J201" s="14">
        <v>1.3999999999999899</v>
      </c>
      <c r="K201" s="14">
        <v>0.5</v>
      </c>
      <c r="L201" s="14">
        <v>0.37</v>
      </c>
      <c r="M201" s="14">
        <v>0.64</v>
      </c>
      <c r="N201" s="14">
        <v>5.5999999999999899</v>
      </c>
      <c r="O201" s="14">
        <v>0.69999999999999896</v>
      </c>
      <c r="P201" s="14">
        <v>2.4700000000000002</v>
      </c>
      <c r="Q201">
        <v>780</v>
      </c>
    </row>
    <row r="202" spans="3:17" x14ac:dyDescent="0.25">
      <c r="C202" s="15" t="s">
        <v>371</v>
      </c>
      <c r="D202" s="14" t="s">
        <v>15</v>
      </c>
      <c r="E202" s="14">
        <v>13.52</v>
      </c>
      <c r="F202" s="14">
        <v>3.1699999999999902</v>
      </c>
      <c r="G202" s="14">
        <v>2.72</v>
      </c>
      <c r="H202" s="14">
        <v>23.5</v>
      </c>
      <c r="I202" s="14">
        <v>97</v>
      </c>
      <c r="J202" s="14">
        <v>1.55</v>
      </c>
      <c r="K202" s="14">
        <v>0.52</v>
      </c>
      <c r="L202" s="14">
        <v>0.5</v>
      </c>
      <c r="M202" s="14">
        <v>0.55000000000000004</v>
      </c>
      <c r="N202" s="14">
        <v>4.3499999999999899</v>
      </c>
      <c r="O202" s="14">
        <v>0.89</v>
      </c>
      <c r="P202" s="14">
        <v>2.06</v>
      </c>
      <c r="Q202">
        <v>520</v>
      </c>
    </row>
    <row r="203" spans="3:17" x14ac:dyDescent="0.25">
      <c r="C203" s="15" t="s">
        <v>373</v>
      </c>
      <c r="D203" s="14" t="s">
        <v>15</v>
      </c>
      <c r="E203" s="14">
        <v>12.25</v>
      </c>
      <c r="F203" s="14">
        <v>3.8799999999999901</v>
      </c>
      <c r="G203" s="14">
        <v>2.2000000000000002</v>
      </c>
      <c r="H203" s="14">
        <v>18.5</v>
      </c>
      <c r="I203" s="14">
        <v>112</v>
      </c>
      <c r="J203" s="14">
        <v>1.3799999999999899</v>
      </c>
      <c r="K203" s="14">
        <v>0.78</v>
      </c>
      <c r="L203" s="14">
        <v>0.28999999999999898</v>
      </c>
      <c r="M203" s="14">
        <v>1.1399999999999899</v>
      </c>
      <c r="N203" s="14">
        <v>8.2100000000000009</v>
      </c>
      <c r="O203" s="14">
        <v>0.65</v>
      </c>
      <c r="P203" s="14">
        <v>2</v>
      </c>
      <c r="Q203">
        <v>855</v>
      </c>
    </row>
    <row r="204" spans="3:17" x14ac:dyDescent="0.25">
      <c r="C204" s="15" t="s">
        <v>375</v>
      </c>
      <c r="D204" s="14" t="s">
        <v>15</v>
      </c>
      <c r="E204" s="14">
        <v>13.88</v>
      </c>
      <c r="F204" s="14">
        <v>5.04</v>
      </c>
      <c r="G204" s="14">
        <v>2.23</v>
      </c>
      <c r="H204" s="14">
        <v>20</v>
      </c>
      <c r="I204" s="14">
        <v>80</v>
      </c>
      <c r="J204" s="14">
        <v>0.97999999999999898</v>
      </c>
      <c r="K204" s="14">
        <v>0.34</v>
      </c>
      <c r="L204" s="14">
        <v>0.4</v>
      </c>
      <c r="M204" s="14">
        <v>0.68</v>
      </c>
      <c r="N204" s="14">
        <v>4.9000000000000004</v>
      </c>
      <c r="O204" s="14">
        <v>0.57999999999999896</v>
      </c>
      <c r="P204" s="14">
        <v>1.33</v>
      </c>
      <c r="Q204">
        <v>415</v>
      </c>
    </row>
    <row r="205" spans="3:17" x14ac:dyDescent="0.25">
      <c r="C205" s="15" t="s">
        <v>376</v>
      </c>
      <c r="D205" s="14" t="s">
        <v>15</v>
      </c>
      <c r="E205" s="14">
        <v>12.8699999999999</v>
      </c>
      <c r="F205" s="14">
        <v>4.6100000000000003</v>
      </c>
      <c r="G205" s="14">
        <v>2.48</v>
      </c>
      <c r="H205" s="14">
        <v>21.5</v>
      </c>
      <c r="I205" s="14">
        <v>86</v>
      </c>
      <c r="J205" s="14">
        <v>1.7</v>
      </c>
      <c r="K205" s="14">
        <v>0.65</v>
      </c>
      <c r="L205" s="14">
        <v>0.46999999999999897</v>
      </c>
      <c r="M205" s="14">
        <v>0.85999999999999899</v>
      </c>
      <c r="N205" s="14">
        <v>7.65</v>
      </c>
      <c r="O205" s="14">
        <v>0.54</v>
      </c>
      <c r="P205" s="14">
        <v>1.86</v>
      </c>
      <c r="Q205">
        <v>625</v>
      </c>
    </row>
    <row r="206" spans="3:17" x14ac:dyDescent="0.25">
      <c r="C206" s="15" t="s">
        <v>377</v>
      </c>
      <c r="D206" s="14" t="s">
        <v>15</v>
      </c>
      <c r="E206" s="14">
        <v>13.32</v>
      </c>
      <c r="F206" s="14">
        <v>3.24</v>
      </c>
      <c r="G206" s="14">
        <v>2.3799999999999901</v>
      </c>
      <c r="H206" s="14">
        <v>21.5</v>
      </c>
      <c r="I206" s="14">
        <v>92</v>
      </c>
      <c r="J206" s="14">
        <v>1.9299999999999899</v>
      </c>
      <c r="K206" s="14">
        <v>0.76</v>
      </c>
      <c r="L206" s="14">
        <v>0.45</v>
      </c>
      <c r="M206" s="14">
        <v>1.25</v>
      </c>
      <c r="N206" s="14">
        <v>8.4199999999999893</v>
      </c>
      <c r="O206" s="14">
        <v>0.55000000000000004</v>
      </c>
      <c r="P206" s="14">
        <v>1.62</v>
      </c>
      <c r="Q206">
        <v>650</v>
      </c>
    </row>
    <row r="207" spans="3:17" x14ac:dyDescent="0.25">
      <c r="C207" s="15" t="s">
        <v>381</v>
      </c>
      <c r="D207" s="14" t="s">
        <v>15</v>
      </c>
      <c r="E207" s="14">
        <v>13.1099999999999</v>
      </c>
      <c r="F207" s="14">
        <v>1.8999999999999899</v>
      </c>
      <c r="G207" s="14">
        <v>2.75</v>
      </c>
      <c r="H207" s="14">
        <v>25.5</v>
      </c>
      <c r="I207" s="14">
        <v>116</v>
      </c>
      <c r="J207" s="14">
        <v>2.2000000000000002</v>
      </c>
      <c r="K207" s="14">
        <v>1.28</v>
      </c>
      <c r="L207" s="14">
        <v>0.26</v>
      </c>
      <c r="M207" s="14">
        <v>1.56</v>
      </c>
      <c r="N207" s="14">
        <v>7.0999999999999899</v>
      </c>
      <c r="O207" s="14">
        <v>0.60999999999999899</v>
      </c>
      <c r="P207" s="14">
        <v>1.33</v>
      </c>
      <c r="Q207">
        <v>425</v>
      </c>
    </row>
    <row r="208" spans="3:17" x14ac:dyDescent="0.25">
      <c r="C208" s="15" t="s">
        <v>384</v>
      </c>
      <c r="D208" s="14" t="s">
        <v>15</v>
      </c>
      <c r="E208" s="14">
        <v>13.17</v>
      </c>
      <c r="F208" s="14">
        <v>5.19</v>
      </c>
      <c r="G208" s="14">
        <v>2.3199999999999901</v>
      </c>
      <c r="H208" s="14">
        <v>22</v>
      </c>
      <c r="I208" s="14">
        <v>93</v>
      </c>
      <c r="J208" s="14">
        <v>1.74</v>
      </c>
      <c r="K208" s="14">
        <v>0.63</v>
      </c>
      <c r="L208" s="14">
        <v>0.60999999999999899</v>
      </c>
      <c r="M208" s="14">
        <v>1.55</v>
      </c>
      <c r="N208" s="14">
        <v>7.9</v>
      </c>
      <c r="O208" s="14">
        <v>0.59999999999999898</v>
      </c>
      <c r="P208" s="14">
        <v>1.48</v>
      </c>
      <c r="Q208">
        <v>725</v>
      </c>
    </row>
    <row r="209" spans="3:17" x14ac:dyDescent="0.25">
      <c r="C209" s="15" t="s">
        <v>388</v>
      </c>
      <c r="D209" s="14" t="s">
        <v>15</v>
      </c>
      <c r="E209" s="14">
        <v>13.48</v>
      </c>
      <c r="F209" s="14">
        <v>1.6699999999999899</v>
      </c>
      <c r="G209" s="14">
        <v>2.64</v>
      </c>
      <c r="H209" s="14">
        <v>22.5</v>
      </c>
      <c r="I209" s="14">
        <v>89</v>
      </c>
      <c r="J209" s="14">
        <v>2.6</v>
      </c>
      <c r="K209" s="14">
        <v>1.1000000000000001</v>
      </c>
      <c r="L209" s="14">
        <v>0.52</v>
      </c>
      <c r="M209" s="14">
        <v>2.29</v>
      </c>
      <c r="N209" s="14">
        <v>11.75</v>
      </c>
      <c r="O209" s="14">
        <v>0.56999999999999895</v>
      </c>
      <c r="P209" s="14">
        <v>1.78</v>
      </c>
      <c r="Q209">
        <v>620</v>
      </c>
    </row>
    <row r="210" spans="3:17" x14ac:dyDescent="0.25">
      <c r="C210" s="15" t="s">
        <v>389</v>
      </c>
      <c r="D210" s="14" t="s">
        <v>15</v>
      </c>
      <c r="E210" s="14">
        <v>12.3599999999999</v>
      </c>
      <c r="F210" s="14">
        <v>3.83</v>
      </c>
      <c r="G210" s="14">
        <v>2.3799999999999901</v>
      </c>
      <c r="H210" s="14">
        <v>21</v>
      </c>
      <c r="I210" s="14">
        <v>88</v>
      </c>
      <c r="J210" s="14">
        <v>2.2999999999999901</v>
      </c>
      <c r="K210" s="14">
        <v>0.92</v>
      </c>
      <c r="L210" s="14">
        <v>0.5</v>
      </c>
      <c r="M210" s="14">
        <v>1.04</v>
      </c>
      <c r="N210" s="14">
        <v>7.65</v>
      </c>
      <c r="O210" s="14">
        <v>0.56000000000000005</v>
      </c>
      <c r="P210" s="14">
        <v>1.58</v>
      </c>
      <c r="Q210">
        <v>520</v>
      </c>
    </row>
    <row r="211" spans="3:17" x14ac:dyDescent="0.25">
      <c r="C211" s="15" t="s">
        <v>390</v>
      </c>
      <c r="D211" s="14" t="s">
        <v>15</v>
      </c>
      <c r="E211" s="14">
        <v>13.69</v>
      </c>
      <c r="F211" s="14">
        <v>3.25999999999999</v>
      </c>
      <c r="G211" s="14">
        <v>2.54</v>
      </c>
      <c r="H211" s="14">
        <v>20</v>
      </c>
      <c r="I211" s="14">
        <v>107</v>
      </c>
      <c r="J211" s="14">
        <v>1.83</v>
      </c>
      <c r="K211" s="14">
        <v>0.56000000000000005</v>
      </c>
      <c r="L211" s="14">
        <v>0.5</v>
      </c>
      <c r="M211" s="14">
        <v>0.8</v>
      </c>
      <c r="N211" s="14">
        <v>5.8799999999999901</v>
      </c>
      <c r="O211" s="14">
        <v>0.95999999999999897</v>
      </c>
      <c r="P211" s="14">
        <v>1.82</v>
      </c>
      <c r="Q211">
        <v>680</v>
      </c>
    </row>
    <row r="212" spans="3:17" x14ac:dyDescent="0.25">
      <c r="C212" s="15" t="s">
        <v>393</v>
      </c>
      <c r="D212" s="14" t="s">
        <v>15</v>
      </c>
      <c r="E212" s="14">
        <v>13.7799999999999</v>
      </c>
      <c r="F212" s="14">
        <v>2.75999999999999</v>
      </c>
      <c r="G212" s="14">
        <v>2.2999999999999901</v>
      </c>
      <c r="H212" s="14">
        <v>19.682317073170701</v>
      </c>
      <c r="I212" s="14">
        <v>90</v>
      </c>
      <c r="J212" s="14">
        <v>1.35</v>
      </c>
      <c r="K212" s="14">
        <v>0.68</v>
      </c>
      <c r="L212" s="14">
        <v>0.40999999999999898</v>
      </c>
      <c r="M212" s="14">
        <v>1.03</v>
      </c>
      <c r="N212" s="14">
        <v>9.58</v>
      </c>
      <c r="O212" s="14">
        <v>0.69999999999999896</v>
      </c>
      <c r="P212" s="14">
        <v>1.6799999999999899</v>
      </c>
      <c r="Q212">
        <v>615</v>
      </c>
    </row>
    <row r="213" spans="3:17" x14ac:dyDescent="0.25">
      <c r="C213" s="15" t="s">
        <v>394</v>
      </c>
      <c r="D213" s="14" t="s">
        <v>15</v>
      </c>
      <c r="E213" s="14">
        <v>13.73</v>
      </c>
      <c r="F213" s="14">
        <v>4.3600000000000003</v>
      </c>
      <c r="G213" s="14">
        <v>2.25999999999999</v>
      </c>
      <c r="H213" s="14">
        <v>22.5</v>
      </c>
      <c r="I213" s="14">
        <v>88</v>
      </c>
      <c r="J213" s="14">
        <v>1.28</v>
      </c>
      <c r="K213" s="14">
        <v>0.46999999999999897</v>
      </c>
      <c r="L213" s="14">
        <v>0.52</v>
      </c>
      <c r="M213" s="14">
        <v>1.1499999999999899</v>
      </c>
      <c r="N213" s="14">
        <v>6.62</v>
      </c>
      <c r="O213" s="14">
        <v>0.78</v>
      </c>
      <c r="P213" s="14">
        <v>1.75</v>
      </c>
      <c r="Q213">
        <v>520</v>
      </c>
    </row>
    <row r="214" spans="3:17" x14ac:dyDescent="0.25">
      <c r="C214" s="15" t="s">
        <v>395</v>
      </c>
      <c r="D214" s="14" t="s">
        <v>15</v>
      </c>
      <c r="E214" s="14">
        <v>13.4499999999999</v>
      </c>
      <c r="F214" s="14">
        <v>3.7</v>
      </c>
      <c r="G214" s="14">
        <v>2.6</v>
      </c>
      <c r="H214" s="14">
        <v>23</v>
      </c>
      <c r="I214" s="14">
        <v>111</v>
      </c>
      <c r="J214" s="14">
        <v>1.7</v>
      </c>
      <c r="K214" s="14">
        <v>0.92</v>
      </c>
      <c r="L214" s="14">
        <v>0.42999999999999899</v>
      </c>
      <c r="M214" s="14">
        <v>1.46</v>
      </c>
      <c r="N214" s="14">
        <v>10.68</v>
      </c>
      <c r="O214" s="14">
        <v>0.84999999999999898</v>
      </c>
      <c r="P214" s="14">
        <v>1.56</v>
      </c>
      <c r="Q214">
        <v>695</v>
      </c>
    </row>
    <row r="215" spans="3:17" x14ac:dyDescent="0.25">
      <c r="C215" s="15" t="s">
        <v>396</v>
      </c>
      <c r="D215" s="14" t="s">
        <v>15</v>
      </c>
      <c r="E215" s="14">
        <v>12.82</v>
      </c>
      <c r="F215" s="14">
        <v>3.37</v>
      </c>
      <c r="G215" s="14">
        <v>2.2999999999999901</v>
      </c>
      <c r="H215" s="14">
        <v>19.5</v>
      </c>
      <c r="I215" s="14">
        <v>88</v>
      </c>
      <c r="J215" s="14">
        <v>1.48</v>
      </c>
      <c r="K215" s="14">
        <v>0.66</v>
      </c>
      <c r="L215" s="14">
        <v>0.4</v>
      </c>
      <c r="M215" s="14">
        <v>0.96999999999999897</v>
      </c>
      <c r="N215" s="14">
        <v>10.26</v>
      </c>
      <c r="O215" s="14">
        <v>0.71999999999999897</v>
      </c>
      <c r="P215" s="14">
        <v>1.75</v>
      </c>
      <c r="Q215">
        <v>685</v>
      </c>
    </row>
    <row r="216" spans="3:17" x14ac:dyDescent="0.25">
      <c r="C216" s="15" t="s">
        <v>397</v>
      </c>
      <c r="D216" s="14" t="s">
        <v>15</v>
      </c>
      <c r="E216" s="14">
        <v>13.58</v>
      </c>
      <c r="F216" s="14">
        <v>2.58</v>
      </c>
      <c r="G216" s="14">
        <v>2.6899999999999902</v>
      </c>
      <c r="H216" s="14">
        <v>24.5</v>
      </c>
      <c r="I216" s="14">
        <v>105</v>
      </c>
      <c r="J216" s="14">
        <v>1.55</v>
      </c>
      <c r="K216" s="14">
        <v>0.83999999999999897</v>
      </c>
      <c r="L216" s="14">
        <v>0.36538226299694199</v>
      </c>
      <c r="M216" s="14">
        <v>1.54</v>
      </c>
      <c r="N216" s="14">
        <v>8.66</v>
      </c>
      <c r="O216" s="14">
        <v>0.73999999999999899</v>
      </c>
      <c r="P216" s="14">
        <v>1.8</v>
      </c>
      <c r="Q216">
        <v>750</v>
      </c>
    </row>
    <row r="217" spans="3:17" x14ac:dyDescent="0.25">
      <c r="C217" s="15" t="s">
        <v>398</v>
      </c>
      <c r="D217" s="14" t="s">
        <v>15</v>
      </c>
      <c r="E217" s="14">
        <v>13.4</v>
      </c>
      <c r="F217" s="14">
        <v>4.5999999999999899</v>
      </c>
      <c r="G217" s="14">
        <v>2.8599999999999901</v>
      </c>
      <c r="H217" s="14">
        <v>25</v>
      </c>
      <c r="I217" s="14">
        <v>112</v>
      </c>
      <c r="J217" s="14">
        <v>1.98</v>
      </c>
      <c r="K217" s="14">
        <v>0.95999999999999897</v>
      </c>
      <c r="L217" s="14">
        <v>0.27</v>
      </c>
      <c r="M217" s="14">
        <v>1.1100000000000001</v>
      </c>
      <c r="N217" s="14">
        <v>8.5</v>
      </c>
      <c r="O217" s="14">
        <v>0.67</v>
      </c>
      <c r="P217" s="14">
        <v>1.9199999999999899</v>
      </c>
      <c r="Q217">
        <v>630</v>
      </c>
    </row>
    <row r="218" spans="3:17" x14ac:dyDescent="0.25">
      <c r="C218" s="15" t="s">
        <v>400</v>
      </c>
      <c r="D218" s="14" t="s">
        <v>15</v>
      </c>
      <c r="E218" s="14">
        <v>12.77</v>
      </c>
      <c r="F218" s="14">
        <v>2.39</v>
      </c>
      <c r="G218" s="14">
        <v>2.27999999999999</v>
      </c>
      <c r="H218" s="14">
        <v>19.5</v>
      </c>
      <c r="I218" s="14">
        <v>86</v>
      </c>
      <c r="J218" s="14">
        <v>1.3899999999999899</v>
      </c>
      <c r="K218" s="14">
        <v>0.51</v>
      </c>
      <c r="L218" s="14">
        <v>0.47999999999999898</v>
      </c>
      <c r="M218" s="14">
        <v>0.64</v>
      </c>
      <c r="N218" s="14">
        <v>9.8999989999999904</v>
      </c>
      <c r="O218" s="14">
        <v>0.56999999999999895</v>
      </c>
      <c r="P218" s="14">
        <v>1.6299999999999899</v>
      </c>
      <c r="Q218">
        <v>470</v>
      </c>
    </row>
    <row r="219" spans="3:17" x14ac:dyDescent="0.25">
      <c r="C219" s="15" t="s">
        <v>402</v>
      </c>
      <c r="D219" s="14" t="s">
        <v>15</v>
      </c>
      <c r="E219" s="14">
        <v>13.71</v>
      </c>
      <c r="F219" s="14">
        <v>5.65</v>
      </c>
      <c r="G219" s="14">
        <v>2.4500000000000002</v>
      </c>
      <c r="H219" s="14">
        <v>20.5</v>
      </c>
      <c r="I219" s="14">
        <v>95</v>
      </c>
      <c r="J219" s="14">
        <v>1.6799999999999899</v>
      </c>
      <c r="K219" s="14">
        <v>0.60999999999999899</v>
      </c>
      <c r="L219" s="14">
        <v>0.52</v>
      </c>
      <c r="M219" s="14">
        <v>1.06</v>
      </c>
      <c r="N219" s="14">
        <v>7.7</v>
      </c>
      <c r="O219" s="14">
        <v>0.64</v>
      </c>
      <c r="P219" s="14">
        <v>1.74</v>
      </c>
      <c r="Q219">
        <v>740</v>
      </c>
    </row>
    <row r="220" spans="3:17" x14ac:dyDescent="0.25">
      <c r="C220" s="15" t="s">
        <v>128</v>
      </c>
      <c r="D220" s="14" t="s">
        <v>13</v>
      </c>
      <c r="E220" s="14">
        <v>13.74</v>
      </c>
      <c r="F220" s="14">
        <v>1.6699999999999899</v>
      </c>
      <c r="G220" s="14">
        <v>2.25</v>
      </c>
      <c r="H220" s="14">
        <v>16.399999999999899</v>
      </c>
      <c r="I220" s="14">
        <v>118</v>
      </c>
      <c r="J220" s="14">
        <v>2.6</v>
      </c>
      <c r="K220" s="14">
        <v>2.8999999999999901</v>
      </c>
      <c r="L220" s="14">
        <v>0.20999999999999899</v>
      </c>
      <c r="M220" s="14">
        <v>1.62</v>
      </c>
      <c r="N220" s="14">
        <v>5.8499999999999899</v>
      </c>
      <c r="O220" s="14">
        <v>0.92</v>
      </c>
      <c r="P220" s="14">
        <v>3.2</v>
      </c>
      <c r="Q220">
        <v>1060</v>
      </c>
    </row>
    <row r="221" spans="3:17" x14ac:dyDescent="0.25">
      <c r="C221" s="15" t="s">
        <v>330</v>
      </c>
      <c r="D221" s="14" t="s">
        <v>14</v>
      </c>
      <c r="E221" s="14">
        <v>12.6</v>
      </c>
      <c r="F221" s="14">
        <v>1.34</v>
      </c>
      <c r="G221" s="14">
        <v>1.8999999999999899</v>
      </c>
      <c r="H221" s="14">
        <v>18.5</v>
      </c>
      <c r="I221" s="14">
        <v>88</v>
      </c>
      <c r="J221" s="14">
        <v>1.45</v>
      </c>
      <c r="K221" s="14">
        <v>1.36</v>
      </c>
      <c r="L221" s="14">
        <v>0.28999999999999898</v>
      </c>
      <c r="M221" s="14">
        <v>1.35</v>
      </c>
      <c r="N221" s="14">
        <v>2.4500000000000002</v>
      </c>
      <c r="O221" s="14">
        <v>1.04</v>
      </c>
      <c r="P221" s="14">
        <v>2.77</v>
      </c>
      <c r="Q221">
        <v>562</v>
      </c>
    </row>
    <row r="222" spans="3:17" x14ac:dyDescent="0.25">
      <c r="C222" s="15" t="s">
        <v>333</v>
      </c>
      <c r="D222" s="14" t="s">
        <v>14</v>
      </c>
      <c r="E222" s="14">
        <v>12.51</v>
      </c>
      <c r="F222" s="14">
        <v>1.73</v>
      </c>
      <c r="G222" s="14">
        <v>1.98</v>
      </c>
      <c r="H222" s="14">
        <v>20.5</v>
      </c>
      <c r="I222" s="14">
        <v>85</v>
      </c>
      <c r="J222" s="14">
        <v>2.2000000000000002</v>
      </c>
      <c r="K222" s="14">
        <v>1.9199999999999899</v>
      </c>
      <c r="L222" s="14">
        <v>0.32</v>
      </c>
      <c r="M222" s="14">
        <v>1.48</v>
      </c>
      <c r="N222" s="14">
        <v>2.9399999999999902</v>
      </c>
      <c r="O222" s="14">
        <v>1.04</v>
      </c>
      <c r="P222" s="14">
        <v>3.5699999999999901</v>
      </c>
      <c r="Q222">
        <v>672</v>
      </c>
    </row>
    <row r="223" spans="3:17" x14ac:dyDescent="0.25">
      <c r="C223" s="15" t="s">
        <v>150</v>
      </c>
      <c r="D223" s="14" t="s">
        <v>14</v>
      </c>
      <c r="E223" s="14">
        <v>13.0299999999999</v>
      </c>
      <c r="F223" s="14">
        <v>0.9</v>
      </c>
      <c r="G223" s="14">
        <v>1.71</v>
      </c>
      <c r="H223" s="14">
        <v>16</v>
      </c>
      <c r="I223" s="14">
        <v>86</v>
      </c>
      <c r="J223" s="14">
        <v>1.95</v>
      </c>
      <c r="K223" s="14">
        <v>2.02999999999999</v>
      </c>
      <c r="L223" s="14">
        <v>0.23999999999999899</v>
      </c>
      <c r="M223" s="14">
        <v>1.46</v>
      </c>
      <c r="N223" s="14">
        <v>4.5999999999999899</v>
      </c>
      <c r="O223" s="14">
        <v>1.18999999999999</v>
      </c>
      <c r="P223" s="14">
        <v>2.48</v>
      </c>
      <c r="Q223">
        <v>392</v>
      </c>
    </row>
    <row r="224" spans="3:17" x14ac:dyDescent="0.25">
      <c r="C224" s="15" t="s">
        <v>126</v>
      </c>
      <c r="D224" s="14" t="s">
        <v>13</v>
      </c>
      <c r="E224" s="14">
        <v>13.82</v>
      </c>
      <c r="F224" s="14">
        <v>1.75</v>
      </c>
      <c r="G224" s="14">
        <v>2.4199999999999902</v>
      </c>
      <c r="H224" s="14">
        <v>14</v>
      </c>
      <c r="I224" s="14">
        <v>111</v>
      </c>
      <c r="J224" s="14">
        <v>3.8799999999999901</v>
      </c>
      <c r="K224" s="14">
        <v>3.74</v>
      </c>
      <c r="L224" s="14">
        <v>0.32</v>
      </c>
      <c r="M224" s="14">
        <v>1.87</v>
      </c>
      <c r="N224" s="14">
        <v>7.0499999999999901</v>
      </c>
      <c r="O224" s="14">
        <v>1.01</v>
      </c>
      <c r="P224" s="14">
        <v>3.25999999999999</v>
      </c>
      <c r="Q224">
        <v>1190</v>
      </c>
    </row>
    <row r="225" spans="3:17" x14ac:dyDescent="0.25">
      <c r="C225" s="15" t="s">
        <v>198</v>
      </c>
      <c r="D225" s="14" t="s">
        <v>14</v>
      </c>
      <c r="E225" s="14">
        <v>11.8699999999999</v>
      </c>
      <c r="F225" s="14">
        <v>4.3099999999999898</v>
      </c>
      <c r="G225" s="14">
        <v>2.39</v>
      </c>
      <c r="H225" s="14">
        <v>21</v>
      </c>
      <c r="I225" s="14">
        <v>82</v>
      </c>
      <c r="J225" s="14">
        <v>2.8599999999999901</v>
      </c>
      <c r="K225" s="14">
        <v>3.02999999999999</v>
      </c>
      <c r="L225" s="14">
        <v>0.20999999999999899</v>
      </c>
      <c r="M225" s="14">
        <v>2.91</v>
      </c>
      <c r="N225" s="14">
        <v>2.7999999999999901</v>
      </c>
      <c r="O225" s="14">
        <v>0.75</v>
      </c>
      <c r="P225" s="14">
        <v>3.64</v>
      </c>
      <c r="Q225">
        <v>380</v>
      </c>
    </row>
    <row r="226" spans="3:17" x14ac:dyDescent="0.25">
      <c r="C226" s="15" t="s">
        <v>281</v>
      </c>
      <c r="D226" s="14" t="s">
        <v>13</v>
      </c>
      <c r="E226" s="14">
        <v>13.82</v>
      </c>
      <c r="F226" s="14">
        <v>1.75</v>
      </c>
      <c r="G226" s="14">
        <v>2.4199999999999902</v>
      </c>
      <c r="H226" s="14">
        <v>14</v>
      </c>
      <c r="I226" s="14">
        <v>111</v>
      </c>
      <c r="J226" s="14">
        <v>3.8799999999999901</v>
      </c>
      <c r="K226" s="14">
        <v>3.74</v>
      </c>
      <c r="L226" s="14">
        <v>0.32</v>
      </c>
      <c r="M226" s="14">
        <v>1.87</v>
      </c>
      <c r="N226" s="14">
        <v>7.0499999999999901</v>
      </c>
      <c r="O226" s="14">
        <v>1.01</v>
      </c>
      <c r="P226" s="14">
        <v>3.25999999999999</v>
      </c>
      <c r="Q226">
        <v>1190</v>
      </c>
    </row>
    <row r="227" spans="3:17" x14ac:dyDescent="0.25">
      <c r="C227" s="15" t="s">
        <v>227</v>
      </c>
      <c r="D227" s="14" t="s">
        <v>15</v>
      </c>
      <c r="E227" s="14">
        <v>13.23</v>
      </c>
      <c r="F227" s="14">
        <v>3.2999999999999901</v>
      </c>
      <c r="G227" s="14">
        <v>2.27999999999999</v>
      </c>
      <c r="H227" s="14">
        <v>18.5</v>
      </c>
      <c r="I227" s="14">
        <v>98</v>
      </c>
      <c r="J227" s="14">
        <v>1.8</v>
      </c>
      <c r="K227" s="14">
        <v>0.82999999999999896</v>
      </c>
      <c r="L227" s="14">
        <v>0.60999999999999899</v>
      </c>
      <c r="M227" s="14">
        <v>1.87</v>
      </c>
      <c r="N227" s="14">
        <v>10.52</v>
      </c>
      <c r="O227" s="14">
        <v>0.56000000000000005</v>
      </c>
      <c r="P227" s="14">
        <v>1.51</v>
      </c>
      <c r="Q227">
        <v>675</v>
      </c>
    </row>
    <row r="228" spans="3:17" x14ac:dyDescent="0.25">
      <c r="C228" s="15" t="s">
        <v>295</v>
      </c>
      <c r="D228" s="14" t="s">
        <v>14</v>
      </c>
      <c r="E228" s="14">
        <v>13.1099999999999</v>
      </c>
      <c r="F228" s="14">
        <v>1.01</v>
      </c>
      <c r="G228" s="14">
        <v>1.7</v>
      </c>
      <c r="H228" s="14">
        <v>15</v>
      </c>
      <c r="I228" s="14">
        <v>78</v>
      </c>
      <c r="J228" s="14">
        <v>2.98</v>
      </c>
      <c r="K228" s="14">
        <v>3.18</v>
      </c>
      <c r="L228" s="14">
        <v>0.26</v>
      </c>
      <c r="M228" s="14">
        <v>2.27999999999999</v>
      </c>
      <c r="N228" s="14">
        <v>5.2999999999999901</v>
      </c>
      <c r="O228" s="14">
        <v>1.1200000000000001</v>
      </c>
      <c r="P228" s="14">
        <v>3.18</v>
      </c>
      <c r="Q228">
        <v>502</v>
      </c>
    </row>
    <row r="229" spans="3:17" x14ac:dyDescent="0.25">
      <c r="C229" s="15" t="s">
        <v>75</v>
      </c>
      <c r="D229" s="14" t="s">
        <v>13</v>
      </c>
      <c r="E229" s="14">
        <v>13.1999999999999</v>
      </c>
      <c r="F229" s="14">
        <v>1.78</v>
      </c>
      <c r="G229" s="14">
        <v>2.14</v>
      </c>
      <c r="H229" s="14">
        <v>11.1999999999999</v>
      </c>
      <c r="I229" s="14">
        <v>100</v>
      </c>
      <c r="J229" s="14">
        <v>2.6499999999999901</v>
      </c>
      <c r="K229" s="14">
        <v>2.75999999999999</v>
      </c>
      <c r="L229" s="14">
        <v>0.26</v>
      </c>
      <c r="M229" s="14">
        <v>1.28</v>
      </c>
      <c r="N229" s="14">
        <v>4.3799999999999901</v>
      </c>
      <c r="O229" s="14">
        <v>1.05</v>
      </c>
      <c r="P229" s="14">
        <v>3.3999999999999901</v>
      </c>
      <c r="Q229">
        <v>1050</v>
      </c>
    </row>
    <row r="230" spans="3:17" x14ac:dyDescent="0.25">
      <c r="C230" s="15" t="s">
        <v>257</v>
      </c>
      <c r="D230" s="14" t="s">
        <v>13</v>
      </c>
      <c r="E230" s="14">
        <v>13.8699999999999</v>
      </c>
      <c r="F230" s="14">
        <v>1.8999999999999899</v>
      </c>
      <c r="G230" s="14">
        <v>2.7999999999999901</v>
      </c>
      <c r="H230" s="14">
        <v>19.399999999999899</v>
      </c>
      <c r="I230" s="14">
        <v>107</v>
      </c>
      <c r="J230" s="14">
        <v>2.95</v>
      </c>
      <c r="K230" s="14">
        <v>2.97</v>
      </c>
      <c r="L230" s="14">
        <v>0.37</v>
      </c>
      <c r="M230" s="14">
        <v>1.76</v>
      </c>
      <c r="N230" s="14">
        <v>4.5</v>
      </c>
      <c r="O230" s="14">
        <v>1.25</v>
      </c>
      <c r="P230" s="14">
        <v>3.3999999999999901</v>
      </c>
      <c r="Q230">
        <v>915</v>
      </c>
    </row>
    <row r="231" spans="3:17" x14ac:dyDescent="0.25">
      <c r="C231" s="15" t="s">
        <v>309</v>
      </c>
      <c r="D231" s="14" t="s">
        <v>14</v>
      </c>
      <c r="E231" s="14">
        <v>12</v>
      </c>
      <c r="F231" s="14">
        <v>0.92</v>
      </c>
      <c r="G231" s="14">
        <v>2</v>
      </c>
      <c r="H231" s="14">
        <v>19</v>
      </c>
      <c r="I231" s="14">
        <v>86</v>
      </c>
      <c r="J231" s="14">
        <v>2.4199999999999902</v>
      </c>
      <c r="K231" s="14">
        <v>2.25999999999999</v>
      </c>
      <c r="L231" s="14">
        <v>0.29999999999999899</v>
      </c>
      <c r="M231" s="14">
        <v>1.4299999999999899</v>
      </c>
      <c r="N231" s="14">
        <v>2.5</v>
      </c>
      <c r="O231" s="14">
        <v>1.3799999999999899</v>
      </c>
      <c r="P231" s="14">
        <v>3.12</v>
      </c>
      <c r="Q231">
        <v>278</v>
      </c>
    </row>
    <row r="232" spans="3:17" x14ac:dyDescent="0.25">
      <c r="C232" s="15" t="s">
        <v>302</v>
      </c>
      <c r="D232" s="14" t="s">
        <v>14</v>
      </c>
      <c r="E232" s="14">
        <v>12.99</v>
      </c>
      <c r="F232" s="14">
        <v>1.6699999999999899</v>
      </c>
      <c r="G232" s="14">
        <v>2.6</v>
      </c>
      <c r="H232" s="14">
        <v>30</v>
      </c>
      <c r="I232" s="14">
        <v>139</v>
      </c>
      <c r="J232" s="14">
        <v>3.2999999999999901</v>
      </c>
      <c r="K232" s="14">
        <v>2.89</v>
      </c>
      <c r="L232" s="14">
        <v>0.20999999999999899</v>
      </c>
      <c r="M232" s="14">
        <v>1.96</v>
      </c>
      <c r="N232" s="14">
        <v>3.35</v>
      </c>
      <c r="O232" s="14">
        <v>1.31</v>
      </c>
      <c r="P232" s="14">
        <v>3.5</v>
      </c>
      <c r="Q232">
        <v>985</v>
      </c>
    </row>
    <row r="233" spans="3:17" x14ac:dyDescent="0.25">
      <c r="C233" s="15" t="s">
        <v>177</v>
      </c>
      <c r="D233" s="14" t="s">
        <v>14</v>
      </c>
      <c r="E233" s="14">
        <v>11.82</v>
      </c>
      <c r="F233" s="14">
        <v>1.72</v>
      </c>
      <c r="G233" s="14">
        <v>1.8799999999999899</v>
      </c>
      <c r="H233" s="14">
        <v>19.5</v>
      </c>
      <c r="I233" s="14">
        <v>86</v>
      </c>
      <c r="J233" s="14">
        <v>2.5</v>
      </c>
      <c r="K233" s="14">
        <v>1.6399999999999899</v>
      </c>
      <c r="L233" s="14">
        <v>0.37</v>
      </c>
      <c r="M233" s="14">
        <v>1.4199999999999899</v>
      </c>
      <c r="N233" s="14">
        <v>2.06</v>
      </c>
      <c r="O233" s="14">
        <v>0.93999999999999895</v>
      </c>
      <c r="P233" s="14">
        <v>2.4399999999999902</v>
      </c>
      <c r="Q233">
        <v>415</v>
      </c>
    </row>
    <row r="234" spans="3:17" x14ac:dyDescent="0.25">
      <c r="C234" s="15" t="s">
        <v>236</v>
      </c>
      <c r="D234" s="14" t="s">
        <v>15</v>
      </c>
      <c r="E234" s="14">
        <v>12.85</v>
      </c>
      <c r="F234" s="14">
        <v>3.27</v>
      </c>
      <c r="G234" s="14">
        <v>2.58</v>
      </c>
      <c r="H234" s="14">
        <v>22</v>
      </c>
      <c r="I234" s="14">
        <v>106</v>
      </c>
      <c r="J234" s="14">
        <v>1.6499999999999899</v>
      </c>
      <c r="K234" s="14">
        <v>0.59999999999999898</v>
      </c>
      <c r="L234" s="14">
        <v>0.59999999999999898</v>
      </c>
      <c r="M234" s="14">
        <v>0.95999999999999897</v>
      </c>
      <c r="N234" s="14">
        <v>5.58</v>
      </c>
      <c r="O234" s="14">
        <v>0.87</v>
      </c>
      <c r="P234" s="14">
        <v>2.1099999999999901</v>
      </c>
      <c r="Q234">
        <v>570</v>
      </c>
    </row>
    <row r="235" spans="3:17" x14ac:dyDescent="0.25">
      <c r="C235" s="15" t="s">
        <v>363</v>
      </c>
      <c r="D235" s="14" t="s">
        <v>15</v>
      </c>
      <c r="E235" s="14">
        <v>12.51</v>
      </c>
      <c r="F235" s="14">
        <v>1.24</v>
      </c>
      <c r="G235" s="14">
        <v>2.25</v>
      </c>
      <c r="H235" s="14">
        <v>17.5</v>
      </c>
      <c r="I235" s="14">
        <v>85</v>
      </c>
      <c r="J235" s="14">
        <v>2</v>
      </c>
      <c r="K235" s="14">
        <v>0.57999999999999896</v>
      </c>
      <c r="L235" s="14">
        <v>0.59999999999999898</v>
      </c>
      <c r="M235" s="14">
        <v>1.25</v>
      </c>
      <c r="N235" s="14">
        <v>5.45</v>
      </c>
      <c r="O235" s="14">
        <v>0.75</v>
      </c>
      <c r="P235" s="14">
        <v>1.51</v>
      </c>
      <c r="Q235">
        <v>650</v>
      </c>
    </row>
    <row r="236" spans="3:17" x14ac:dyDescent="0.25">
      <c r="C236" s="15" t="s">
        <v>280</v>
      </c>
      <c r="D236" s="14" t="s">
        <v>13</v>
      </c>
      <c r="E236" s="14">
        <v>13.83</v>
      </c>
      <c r="F236" s="14">
        <v>1.6499999999999899</v>
      </c>
      <c r="G236" s="14">
        <v>2.6</v>
      </c>
      <c r="H236" s="14">
        <v>17.1999999999999</v>
      </c>
      <c r="I236" s="14">
        <v>94</v>
      </c>
      <c r="J236" s="14">
        <v>2.4500000000000002</v>
      </c>
      <c r="K236" s="14">
        <v>2.99</v>
      </c>
      <c r="L236" s="14">
        <v>0.22</v>
      </c>
      <c r="M236" s="14">
        <v>2.29</v>
      </c>
      <c r="N236" s="14">
        <v>5.5999999999999899</v>
      </c>
      <c r="O236" s="14">
        <v>1.24</v>
      </c>
      <c r="P236" s="14">
        <v>3.37</v>
      </c>
      <c r="Q236">
        <v>1265</v>
      </c>
    </row>
    <row r="237" spans="3:17" x14ac:dyDescent="0.25">
      <c r="C237" s="15" t="s">
        <v>401</v>
      </c>
      <c r="D237" s="14" t="s">
        <v>15</v>
      </c>
      <c r="E237" s="14">
        <v>14.16</v>
      </c>
      <c r="F237" s="14">
        <v>2.50999999999999</v>
      </c>
      <c r="G237" s="14">
        <v>2.48</v>
      </c>
      <c r="H237" s="14">
        <v>20</v>
      </c>
      <c r="I237" s="14">
        <v>91</v>
      </c>
      <c r="J237" s="14">
        <v>1.6799999999999899</v>
      </c>
      <c r="K237" s="14">
        <v>0.69999999999999896</v>
      </c>
      <c r="L237" s="14">
        <v>0.44</v>
      </c>
      <c r="M237" s="14">
        <v>1.24</v>
      </c>
      <c r="N237" s="14">
        <v>9.6999999999999904</v>
      </c>
      <c r="O237" s="14">
        <v>0.62</v>
      </c>
      <c r="P237" s="14">
        <v>1.71</v>
      </c>
      <c r="Q237">
        <v>660</v>
      </c>
    </row>
    <row r="238" spans="3:17" x14ac:dyDescent="0.25">
      <c r="C238" s="15" t="s">
        <v>199</v>
      </c>
      <c r="D238" s="14" t="s">
        <v>14</v>
      </c>
      <c r="E238" s="14">
        <v>12.07</v>
      </c>
      <c r="F238" s="14">
        <v>2.16</v>
      </c>
      <c r="G238" s="14">
        <v>2.1699999999999902</v>
      </c>
      <c r="H238" s="14">
        <v>21</v>
      </c>
      <c r="I238" s="14">
        <v>85</v>
      </c>
      <c r="J238" s="14">
        <v>2.6</v>
      </c>
      <c r="K238" s="14">
        <v>2.6499999999999901</v>
      </c>
      <c r="L238" s="14">
        <v>0.37</v>
      </c>
      <c r="M238" s="14">
        <v>1.35</v>
      </c>
      <c r="N238" s="14">
        <v>2.75999999999999</v>
      </c>
      <c r="O238" s="14">
        <v>0.85999999999999899</v>
      </c>
      <c r="P238" s="14">
        <v>3.27999999999999</v>
      </c>
      <c r="Q238">
        <v>378</v>
      </c>
    </row>
    <row r="239" spans="3:17" x14ac:dyDescent="0.25">
      <c r="C239" s="15" t="s">
        <v>301</v>
      </c>
      <c r="D239" s="14" t="s">
        <v>14</v>
      </c>
      <c r="E239" s="14">
        <v>13.49</v>
      </c>
      <c r="F239" s="14">
        <v>1.6599999999999899</v>
      </c>
      <c r="G239" s="14">
        <v>2.2400000000000002</v>
      </c>
      <c r="H239" s="14">
        <v>24</v>
      </c>
      <c r="I239" s="14">
        <v>87</v>
      </c>
      <c r="J239" s="14">
        <v>1.8799999999999899</v>
      </c>
      <c r="K239" s="14">
        <v>1.84</v>
      </c>
      <c r="L239" s="14">
        <v>0.27</v>
      </c>
      <c r="M239" s="14">
        <v>1.03</v>
      </c>
      <c r="N239" s="14">
        <v>3.74</v>
      </c>
      <c r="O239" s="14">
        <v>0.97999999999999898</v>
      </c>
      <c r="P239" s="14">
        <v>2.77999999999999</v>
      </c>
      <c r="Q239">
        <v>472</v>
      </c>
    </row>
    <row r="240" spans="3:17" x14ac:dyDescent="0.25">
      <c r="C240" s="15" t="s">
        <v>277</v>
      </c>
      <c r="D240" s="14" t="s">
        <v>13</v>
      </c>
      <c r="E240" s="14">
        <v>14.1</v>
      </c>
      <c r="F240" s="14">
        <v>2.02</v>
      </c>
      <c r="G240" s="14">
        <v>2.3999999999999901</v>
      </c>
      <c r="H240" s="14">
        <v>18.8</v>
      </c>
      <c r="I240" s="14">
        <v>103</v>
      </c>
      <c r="J240" s="14">
        <v>2.75</v>
      </c>
      <c r="K240" s="14">
        <v>2.9199999999999902</v>
      </c>
      <c r="L240" s="14">
        <v>0.32</v>
      </c>
      <c r="M240" s="14">
        <v>2.3799999999999901</v>
      </c>
      <c r="N240" s="14">
        <v>6.2</v>
      </c>
      <c r="O240" s="14">
        <v>1.07</v>
      </c>
      <c r="P240" s="14">
        <v>2.75</v>
      </c>
      <c r="Q240">
        <v>1060</v>
      </c>
    </row>
    <row r="241" spans="3:17" x14ac:dyDescent="0.25">
      <c r="C241" s="15" t="s">
        <v>308</v>
      </c>
      <c r="D241" s="14" t="s">
        <v>14</v>
      </c>
      <c r="E241" s="14">
        <v>12.6999999999999</v>
      </c>
      <c r="F241" s="14">
        <v>3.87</v>
      </c>
      <c r="G241" s="14">
        <v>2.3999999999999901</v>
      </c>
      <c r="H241" s="14">
        <v>23</v>
      </c>
      <c r="I241" s="14">
        <v>101</v>
      </c>
      <c r="J241" s="14">
        <v>2.83</v>
      </c>
      <c r="K241" s="14">
        <v>2.5499999999999901</v>
      </c>
      <c r="L241" s="14">
        <v>0.42999999999999899</v>
      </c>
      <c r="M241" s="14">
        <v>1.95</v>
      </c>
      <c r="N241" s="14">
        <v>2.5699999999999901</v>
      </c>
      <c r="O241" s="14">
        <v>1.18999999999999</v>
      </c>
      <c r="P241" s="14">
        <v>3.1299999999999901</v>
      </c>
      <c r="Q241">
        <v>463</v>
      </c>
    </row>
    <row r="242" spans="3:17" x14ac:dyDescent="0.25">
      <c r="C242" s="15" t="s">
        <v>243</v>
      </c>
      <c r="D242" s="14" t="s">
        <v>15</v>
      </c>
      <c r="E242" s="14">
        <v>13.4</v>
      </c>
      <c r="F242" s="14">
        <v>4.5999999999999899</v>
      </c>
      <c r="G242" s="14">
        <v>2.8599999999999901</v>
      </c>
      <c r="H242" s="14">
        <v>25</v>
      </c>
      <c r="I242" s="14">
        <v>112</v>
      </c>
      <c r="J242" s="14">
        <v>1.98</v>
      </c>
      <c r="K242" s="14">
        <v>0.95999999999999897</v>
      </c>
      <c r="L242" s="14">
        <v>0.27</v>
      </c>
      <c r="M242" s="14">
        <v>1.1100000000000001</v>
      </c>
      <c r="N242" s="14">
        <v>8.5</v>
      </c>
      <c r="O242" s="14">
        <v>0.67</v>
      </c>
      <c r="P242" s="14">
        <v>1.9199999999999899</v>
      </c>
      <c r="Q242">
        <v>630</v>
      </c>
    </row>
    <row r="243" spans="3:17" x14ac:dyDescent="0.25">
      <c r="C243" s="15" t="s">
        <v>86</v>
      </c>
      <c r="D243" s="14" t="s">
        <v>13</v>
      </c>
      <c r="E243" s="14">
        <v>13.75</v>
      </c>
      <c r="F243" s="14">
        <v>1.73</v>
      </c>
      <c r="G243" s="14">
        <v>2.41</v>
      </c>
      <c r="H243" s="14">
        <v>16</v>
      </c>
      <c r="I243" s="14">
        <v>89</v>
      </c>
      <c r="J243" s="14">
        <v>2.6</v>
      </c>
      <c r="K243" s="14">
        <v>2.75999999999999</v>
      </c>
      <c r="L243" s="14">
        <v>0.28999999999999898</v>
      </c>
      <c r="M243" s="14">
        <v>1.81</v>
      </c>
      <c r="N243" s="14">
        <v>5.5999999999999899</v>
      </c>
      <c r="O243" s="14">
        <v>1.1499999999999899</v>
      </c>
      <c r="P243" s="14">
        <v>2.8999999999999901</v>
      </c>
      <c r="Q243">
        <v>1320</v>
      </c>
    </row>
    <row r="244" spans="3:17" x14ac:dyDescent="0.25">
      <c r="C244" s="15" t="s">
        <v>296</v>
      </c>
      <c r="D244" s="14" t="s">
        <v>14</v>
      </c>
      <c r="E244" s="14">
        <v>12.3699999999999</v>
      </c>
      <c r="F244" s="14">
        <v>1.1699999999999899</v>
      </c>
      <c r="G244" s="14">
        <v>1.9199999999999899</v>
      </c>
      <c r="H244" s="14">
        <v>19.600000000000001</v>
      </c>
      <c r="I244" s="14">
        <v>78</v>
      </c>
      <c r="J244" s="14">
        <v>2.1099999999999901</v>
      </c>
      <c r="K244" s="14">
        <v>2</v>
      </c>
      <c r="L244" s="14">
        <v>0.27</v>
      </c>
      <c r="M244" s="14">
        <v>1.04</v>
      </c>
      <c r="N244" s="14">
        <v>4.6799999999999899</v>
      </c>
      <c r="O244" s="14">
        <v>1.1200000000000001</v>
      </c>
      <c r="P244" s="14">
        <v>3.48</v>
      </c>
      <c r="Q244">
        <v>510</v>
      </c>
    </row>
    <row r="245" spans="3:17" x14ac:dyDescent="0.25">
      <c r="C245" s="15" t="s">
        <v>316</v>
      </c>
      <c r="D245" s="14" t="s">
        <v>14</v>
      </c>
      <c r="E245" s="14">
        <v>11.65</v>
      </c>
      <c r="F245" s="14">
        <v>1.6699999999999899</v>
      </c>
      <c r="G245" s="14">
        <v>2.62</v>
      </c>
      <c r="H245" s="14">
        <v>26</v>
      </c>
      <c r="I245" s="14">
        <v>88</v>
      </c>
      <c r="J245" s="14">
        <v>1.9199999999999899</v>
      </c>
      <c r="K245" s="14">
        <v>1.61</v>
      </c>
      <c r="L245" s="14">
        <v>0.4</v>
      </c>
      <c r="M245" s="14">
        <v>1.34</v>
      </c>
      <c r="N245" s="14">
        <v>2.6</v>
      </c>
      <c r="O245" s="14">
        <v>1.36</v>
      </c>
      <c r="P245" s="14">
        <v>3.21</v>
      </c>
      <c r="Q245">
        <v>562</v>
      </c>
    </row>
    <row r="246" spans="3:17" x14ac:dyDescent="0.25">
      <c r="C246" s="15" t="s">
        <v>358</v>
      </c>
      <c r="D246" s="14" t="s">
        <v>14</v>
      </c>
      <c r="E246" s="14">
        <v>12.0399999999999</v>
      </c>
      <c r="F246" s="14">
        <v>4.2999999999999901</v>
      </c>
      <c r="G246" s="14">
        <v>2.3799999999999901</v>
      </c>
      <c r="H246" s="14">
        <v>22</v>
      </c>
      <c r="I246" s="14">
        <v>80</v>
      </c>
      <c r="J246" s="14">
        <v>2.1</v>
      </c>
      <c r="K246" s="14">
        <v>1.75</v>
      </c>
      <c r="L246" s="14">
        <v>0.41999999999999899</v>
      </c>
      <c r="M246" s="14">
        <v>1.35</v>
      </c>
      <c r="N246" s="14">
        <v>2.6</v>
      </c>
      <c r="O246" s="14">
        <v>0.79</v>
      </c>
      <c r="P246" s="14">
        <v>2.5699999999999901</v>
      </c>
      <c r="Q246">
        <v>580</v>
      </c>
    </row>
    <row r="247" spans="3:17" x14ac:dyDescent="0.25">
      <c r="C247" s="15" t="s">
        <v>391</v>
      </c>
      <c r="D247" s="14" t="s">
        <v>15</v>
      </c>
      <c r="E247" s="14">
        <v>12.85</v>
      </c>
      <c r="F247" s="14">
        <v>3.27</v>
      </c>
      <c r="G247" s="14">
        <v>2.58</v>
      </c>
      <c r="H247" s="14">
        <v>22</v>
      </c>
      <c r="I247" s="14">
        <v>106</v>
      </c>
      <c r="J247" s="14">
        <v>1.6499999999999899</v>
      </c>
      <c r="K247" s="14">
        <v>0.59999999999999898</v>
      </c>
      <c r="L247" s="14">
        <v>0.59999999999999898</v>
      </c>
      <c r="M247" s="14">
        <v>0.95999999999999897</v>
      </c>
      <c r="N247" s="14">
        <v>5.58</v>
      </c>
      <c r="O247" s="14">
        <v>0.87</v>
      </c>
      <c r="P247" s="14">
        <v>2.1099999999999901</v>
      </c>
      <c r="Q247">
        <v>570</v>
      </c>
    </row>
    <row r="248" spans="3:17" x14ac:dyDescent="0.25">
      <c r="C248" s="15" t="s">
        <v>387</v>
      </c>
      <c r="D248" s="14" t="s">
        <v>15</v>
      </c>
      <c r="E248" s="14">
        <v>14.34</v>
      </c>
      <c r="F248" s="14">
        <v>1.6799999999999899</v>
      </c>
      <c r="G248" s="14">
        <v>2.7</v>
      </c>
      <c r="H248" s="14">
        <v>25</v>
      </c>
      <c r="I248" s="14">
        <v>98</v>
      </c>
      <c r="J248" s="14">
        <v>2.7999999999999901</v>
      </c>
      <c r="K248" s="14">
        <v>1.31</v>
      </c>
      <c r="L248" s="14">
        <v>0.53</v>
      </c>
      <c r="M248" s="14">
        <v>2.7</v>
      </c>
      <c r="N248" s="14">
        <v>13</v>
      </c>
      <c r="O248" s="14">
        <v>0.56999999999999895</v>
      </c>
      <c r="P248" s="14">
        <v>1.96</v>
      </c>
      <c r="Q248">
        <v>660</v>
      </c>
    </row>
    <row r="249" spans="3:17" x14ac:dyDescent="0.25">
      <c r="C249" s="15" t="s">
        <v>111</v>
      </c>
      <c r="D249" s="14" t="s">
        <v>13</v>
      </c>
      <c r="E249" s="14">
        <v>13.05</v>
      </c>
      <c r="F249" s="14">
        <v>1.6499999999999899</v>
      </c>
      <c r="G249" s="14">
        <v>2.5499999999999901</v>
      </c>
      <c r="H249" s="14">
        <v>18</v>
      </c>
      <c r="I249" s="14">
        <v>98</v>
      </c>
      <c r="J249" s="14">
        <v>2.4500000000000002</v>
      </c>
      <c r="K249" s="14">
        <v>2.4300000000000002</v>
      </c>
      <c r="L249" s="14">
        <v>0.28999999999999898</v>
      </c>
      <c r="M249" s="14">
        <v>1.43999999999999</v>
      </c>
      <c r="N249" s="14">
        <v>4.25</v>
      </c>
      <c r="O249" s="14">
        <v>1.1200000000000001</v>
      </c>
      <c r="P249" s="14">
        <v>2.50999999999999</v>
      </c>
      <c r="Q249">
        <v>1105</v>
      </c>
    </row>
    <row r="250" spans="3:17" x14ac:dyDescent="0.25">
      <c r="C250" s="15" t="s">
        <v>172</v>
      </c>
      <c r="D250" s="14" t="s">
        <v>14</v>
      </c>
      <c r="E250" s="14">
        <v>12.3699999999999</v>
      </c>
      <c r="F250" s="14">
        <v>1.07</v>
      </c>
      <c r="G250" s="14">
        <v>2.1</v>
      </c>
      <c r="H250" s="14">
        <v>18.5</v>
      </c>
      <c r="I250" s="14">
        <v>88</v>
      </c>
      <c r="J250" s="14">
        <v>3.52</v>
      </c>
      <c r="K250" s="14">
        <v>3.75</v>
      </c>
      <c r="L250" s="14">
        <v>0.23999999999999899</v>
      </c>
      <c r="M250" s="14">
        <v>1.95</v>
      </c>
      <c r="N250" s="14">
        <v>4.5</v>
      </c>
      <c r="O250" s="14">
        <v>1.04</v>
      </c>
      <c r="P250" s="14">
        <v>2.77</v>
      </c>
      <c r="Q250">
        <v>660</v>
      </c>
    </row>
    <row r="251" spans="3:17" x14ac:dyDescent="0.25">
      <c r="C251" s="15" t="s">
        <v>321</v>
      </c>
      <c r="D251" s="14" t="s">
        <v>14</v>
      </c>
      <c r="E251" s="14">
        <v>12.69</v>
      </c>
      <c r="F251" s="14">
        <v>1.53</v>
      </c>
      <c r="G251" s="14">
        <v>2.25999999999999</v>
      </c>
      <c r="H251" s="14">
        <v>20.6999999999999</v>
      </c>
      <c r="I251" s="14">
        <v>80</v>
      </c>
      <c r="J251" s="14">
        <v>1.3799999999999899</v>
      </c>
      <c r="K251" s="14">
        <v>1.46</v>
      </c>
      <c r="L251" s="14">
        <v>0.57999999999999896</v>
      </c>
      <c r="M251" s="14">
        <v>1.62</v>
      </c>
      <c r="N251" s="14">
        <v>3.0499999999999901</v>
      </c>
      <c r="O251" s="14">
        <v>0.95999999999999897</v>
      </c>
      <c r="P251" s="14">
        <v>2.06</v>
      </c>
      <c r="Q251">
        <v>495</v>
      </c>
    </row>
    <row r="252" spans="3:17" x14ac:dyDescent="0.25">
      <c r="C252" s="15" t="s">
        <v>211</v>
      </c>
      <c r="D252" s="14" t="s">
        <v>15</v>
      </c>
      <c r="E252" s="14">
        <v>12.5299999999999</v>
      </c>
      <c r="F252" s="14">
        <v>5.50999999999999</v>
      </c>
      <c r="G252" s="14">
        <v>2.64</v>
      </c>
      <c r="H252" s="14">
        <v>25</v>
      </c>
      <c r="I252" s="14">
        <v>96</v>
      </c>
      <c r="J252" s="14">
        <v>1.79</v>
      </c>
      <c r="K252" s="14">
        <v>0.59999999999999898</v>
      </c>
      <c r="L252" s="14">
        <v>0.63</v>
      </c>
      <c r="M252" s="14">
        <v>1.1000000000000001</v>
      </c>
      <c r="N252" s="14">
        <v>5</v>
      </c>
      <c r="O252" s="14">
        <v>0.81999999999999895</v>
      </c>
      <c r="P252" s="14">
        <v>1.68999999999999</v>
      </c>
      <c r="Q252">
        <v>515</v>
      </c>
    </row>
    <row r="253" spans="3:17" x14ac:dyDescent="0.25">
      <c r="C253" s="15" t="s">
        <v>217</v>
      </c>
      <c r="D253" s="14" t="s">
        <v>15</v>
      </c>
      <c r="E253" s="14">
        <v>13.6199999999999</v>
      </c>
      <c r="F253" s="14">
        <v>4.95</v>
      </c>
      <c r="G253" s="14">
        <v>2.35</v>
      </c>
      <c r="H253" s="14">
        <v>20</v>
      </c>
      <c r="I253" s="14">
        <v>92</v>
      </c>
      <c r="J253" s="14">
        <v>2</v>
      </c>
      <c r="K253" s="14">
        <v>0.8</v>
      </c>
      <c r="L253" s="14">
        <v>0.46999999999999897</v>
      </c>
      <c r="M253" s="14">
        <v>1.02</v>
      </c>
      <c r="N253" s="14">
        <v>4.4000000000000004</v>
      </c>
      <c r="O253" s="14">
        <v>0.91</v>
      </c>
      <c r="P253" s="14">
        <v>2.0499999999999901</v>
      </c>
      <c r="Q253">
        <v>550</v>
      </c>
    </row>
    <row r="254" spans="3:17" x14ac:dyDescent="0.25">
      <c r="C254" s="15" t="s">
        <v>324</v>
      </c>
      <c r="D254" s="14" t="s">
        <v>14</v>
      </c>
      <c r="E254" s="14">
        <v>12.47</v>
      </c>
      <c r="F254" s="14">
        <v>1.52</v>
      </c>
      <c r="G254" s="14">
        <v>2.2000000000000002</v>
      </c>
      <c r="H254" s="14">
        <v>19</v>
      </c>
      <c r="I254" s="14">
        <v>162</v>
      </c>
      <c r="J254" s="14">
        <v>2.5</v>
      </c>
      <c r="K254" s="14">
        <v>2.27</v>
      </c>
      <c r="L254" s="14">
        <v>0.32</v>
      </c>
      <c r="M254" s="14">
        <v>3.27999999999999</v>
      </c>
      <c r="N254" s="14">
        <v>2.6</v>
      </c>
      <c r="O254" s="14">
        <v>1.1599999999999899</v>
      </c>
      <c r="P254" s="14">
        <v>2.6299999999999901</v>
      </c>
      <c r="Q254">
        <v>937</v>
      </c>
    </row>
    <row r="255" spans="3:17" x14ac:dyDescent="0.25">
      <c r="C255" s="15" t="s">
        <v>104</v>
      </c>
      <c r="D255" s="14" t="s">
        <v>13</v>
      </c>
      <c r="E255" s="14">
        <v>13.73</v>
      </c>
      <c r="F255" s="14">
        <v>1.5</v>
      </c>
      <c r="G255" s="14">
        <v>2.7</v>
      </c>
      <c r="H255" s="14">
        <v>22.5</v>
      </c>
      <c r="I255" s="14">
        <v>101</v>
      </c>
      <c r="J255" s="14">
        <v>3</v>
      </c>
      <c r="K255" s="14">
        <v>3.25</v>
      </c>
      <c r="L255" s="14">
        <v>0.28999999999999898</v>
      </c>
      <c r="M255" s="14">
        <v>2.3799999999999901</v>
      </c>
      <c r="N255" s="14">
        <v>5.7</v>
      </c>
      <c r="O255" s="14">
        <v>1.18999999999999</v>
      </c>
      <c r="P255" s="14">
        <v>2.71</v>
      </c>
      <c r="Q255">
        <v>1285</v>
      </c>
    </row>
    <row r="256" spans="3:17" x14ac:dyDescent="0.25">
      <c r="C256" s="15" t="s">
        <v>100</v>
      </c>
      <c r="D256" s="14" t="s">
        <v>13</v>
      </c>
      <c r="E256" s="14">
        <v>13.39</v>
      </c>
      <c r="F256" s="14">
        <v>1.77</v>
      </c>
      <c r="G256" s="14">
        <v>2.62</v>
      </c>
      <c r="H256" s="14">
        <v>16.100000000000001</v>
      </c>
      <c r="I256" s="14">
        <v>93</v>
      </c>
      <c r="J256" s="14">
        <v>2.85</v>
      </c>
      <c r="K256" s="14">
        <v>2.9399999999999902</v>
      </c>
      <c r="L256" s="14">
        <v>0.34</v>
      </c>
      <c r="M256" s="14">
        <v>1.45</v>
      </c>
      <c r="N256" s="14">
        <v>4.7999999999999901</v>
      </c>
      <c r="O256" s="14">
        <v>0.92</v>
      </c>
      <c r="P256" s="14">
        <v>3.22</v>
      </c>
      <c r="Q256">
        <v>1195</v>
      </c>
    </row>
    <row r="257" spans="3:17" x14ac:dyDescent="0.25">
      <c r="C257" s="15" t="s">
        <v>167</v>
      </c>
      <c r="D257" s="14" t="s">
        <v>14</v>
      </c>
      <c r="E257" s="14">
        <v>12.2899999999999</v>
      </c>
      <c r="F257" s="14">
        <v>2.83</v>
      </c>
      <c r="G257" s="14">
        <v>2.2200000000000002</v>
      </c>
      <c r="H257" s="14">
        <v>18</v>
      </c>
      <c r="I257" s="14">
        <v>88</v>
      </c>
      <c r="J257" s="14">
        <v>2.4500000000000002</v>
      </c>
      <c r="K257" s="14">
        <v>2.25</v>
      </c>
      <c r="L257" s="14">
        <v>0.25</v>
      </c>
      <c r="M257" s="14">
        <v>1.99</v>
      </c>
      <c r="N257" s="14">
        <v>2.1499999999999901</v>
      </c>
      <c r="O257" s="14">
        <v>1.1499999999999899</v>
      </c>
      <c r="P257" s="14">
        <v>3.2999999999999901</v>
      </c>
      <c r="Q257">
        <v>290</v>
      </c>
    </row>
    <row r="258" spans="3:17" x14ac:dyDescent="0.25">
      <c r="C258" s="15" t="s">
        <v>267</v>
      </c>
      <c r="D258" s="14" t="s">
        <v>13</v>
      </c>
      <c r="E258" s="14">
        <v>13.07</v>
      </c>
      <c r="F258" s="14">
        <v>1.5</v>
      </c>
      <c r="G258" s="14">
        <v>2.1</v>
      </c>
      <c r="H258" s="14">
        <v>15.5</v>
      </c>
      <c r="I258" s="14">
        <v>98</v>
      </c>
      <c r="J258" s="14">
        <v>2.3999999999999901</v>
      </c>
      <c r="K258" s="14">
        <v>2.64</v>
      </c>
      <c r="L258" s="14">
        <v>0.28000000000000003</v>
      </c>
      <c r="M258" s="14">
        <v>1.37</v>
      </c>
      <c r="N258" s="14">
        <v>3.7</v>
      </c>
      <c r="O258" s="14">
        <v>1.1799999999999899</v>
      </c>
      <c r="P258" s="14">
        <v>2.6899999999999902</v>
      </c>
      <c r="Q258">
        <v>1020</v>
      </c>
    </row>
    <row r="259" spans="3:17" x14ac:dyDescent="0.25">
      <c r="C259" s="15" t="s">
        <v>87</v>
      </c>
      <c r="D259" s="14" t="s">
        <v>13</v>
      </c>
      <c r="E259" s="14">
        <v>14.75</v>
      </c>
      <c r="F259" s="14">
        <v>1.73</v>
      </c>
      <c r="G259" s="14">
        <v>2.39</v>
      </c>
      <c r="H259" s="14">
        <v>11.4</v>
      </c>
      <c r="I259" s="14">
        <v>91</v>
      </c>
      <c r="J259" s="14">
        <v>3.1</v>
      </c>
      <c r="K259" s="14">
        <v>3.6899999999999902</v>
      </c>
      <c r="L259" s="14">
        <v>0.42999999999999899</v>
      </c>
      <c r="M259" s="14">
        <v>2.81</v>
      </c>
      <c r="N259" s="14">
        <v>5.4</v>
      </c>
      <c r="O259" s="14">
        <v>1.25</v>
      </c>
      <c r="P259" s="14">
        <v>2.73</v>
      </c>
      <c r="Q259">
        <v>1150</v>
      </c>
    </row>
    <row r="260" spans="3:17" x14ac:dyDescent="0.25">
      <c r="C260" s="15" t="s">
        <v>90</v>
      </c>
      <c r="D260" s="14" t="s">
        <v>13</v>
      </c>
      <c r="E260" s="14">
        <v>14.3</v>
      </c>
      <c r="F260" s="14">
        <v>1.9199999999999899</v>
      </c>
      <c r="G260" s="14">
        <v>2.72</v>
      </c>
      <c r="H260" s="14">
        <v>20</v>
      </c>
      <c r="I260" s="14">
        <v>120</v>
      </c>
      <c r="J260" s="14">
        <v>2.7999999999999901</v>
      </c>
      <c r="K260" s="14">
        <v>3.14</v>
      </c>
      <c r="L260" s="14">
        <v>0.33</v>
      </c>
      <c r="M260" s="14">
        <v>1.97</v>
      </c>
      <c r="N260" s="14">
        <v>6.2</v>
      </c>
      <c r="O260" s="14">
        <v>1.07</v>
      </c>
      <c r="P260" s="14">
        <v>2.6499999999999901</v>
      </c>
      <c r="Q260">
        <v>1280</v>
      </c>
    </row>
    <row r="261" spans="3:17" x14ac:dyDescent="0.25">
      <c r="C261" s="15" t="s">
        <v>145</v>
      </c>
      <c r="D261" s="14" t="s">
        <v>14</v>
      </c>
      <c r="E261" s="14">
        <v>13.8599999999999</v>
      </c>
      <c r="F261" s="14">
        <v>1.51</v>
      </c>
      <c r="G261" s="14">
        <v>2.6699999999999902</v>
      </c>
      <c r="H261" s="14">
        <v>25</v>
      </c>
      <c r="I261" s="14">
        <v>86</v>
      </c>
      <c r="J261" s="14">
        <v>2.95</v>
      </c>
      <c r="K261" s="14">
        <v>2.8599999999999901</v>
      </c>
      <c r="L261" s="14">
        <v>0.20999999999999899</v>
      </c>
      <c r="M261" s="14">
        <v>1.87</v>
      </c>
      <c r="N261" s="14">
        <v>3.3799999999999901</v>
      </c>
      <c r="O261" s="14">
        <v>1.36</v>
      </c>
      <c r="P261" s="14">
        <v>3.16</v>
      </c>
      <c r="Q261">
        <v>410</v>
      </c>
    </row>
    <row r="262" spans="3:17" x14ac:dyDescent="0.25">
      <c r="C262" s="15" t="s">
        <v>77</v>
      </c>
      <c r="D262" s="14" t="s">
        <v>13</v>
      </c>
      <c r="E262" s="14">
        <v>14.3699999999999</v>
      </c>
      <c r="F262" s="14">
        <v>1.95</v>
      </c>
      <c r="G262" s="14">
        <v>2.5</v>
      </c>
      <c r="H262" s="14">
        <v>16.8</v>
      </c>
      <c r="I262" s="14">
        <v>113</v>
      </c>
      <c r="J262" s="14">
        <v>3.85</v>
      </c>
      <c r="K262" s="14">
        <v>3.49</v>
      </c>
      <c r="L262" s="14">
        <v>0.23999999999999899</v>
      </c>
      <c r="M262" s="14">
        <v>2.1800000000000002</v>
      </c>
      <c r="N262" s="14">
        <v>7.7999999999999901</v>
      </c>
      <c r="O262" s="14">
        <v>0.85999999999999899</v>
      </c>
      <c r="P262" s="14">
        <v>3.45</v>
      </c>
      <c r="Q262">
        <v>1480</v>
      </c>
    </row>
    <row r="263" spans="3:17" x14ac:dyDescent="0.25">
      <c r="C263" s="15" t="s">
        <v>238</v>
      </c>
      <c r="D263" s="14" t="s">
        <v>15</v>
      </c>
      <c r="E263" s="14">
        <v>13.7799999999999</v>
      </c>
      <c r="F263" s="14">
        <v>2.75999999999999</v>
      </c>
      <c r="G263" s="14">
        <v>2.2999999999999901</v>
      </c>
      <c r="H263" s="14">
        <v>22</v>
      </c>
      <c r="I263" s="14">
        <v>90</v>
      </c>
      <c r="J263" s="14">
        <v>1.35</v>
      </c>
      <c r="K263" s="14">
        <v>0.68</v>
      </c>
      <c r="L263" s="14">
        <v>0.40999999999999898</v>
      </c>
      <c r="M263" s="14">
        <v>1.03</v>
      </c>
      <c r="N263" s="14">
        <v>9.58</v>
      </c>
      <c r="O263" s="14">
        <v>0.69999999999999896</v>
      </c>
      <c r="P263" s="14">
        <v>1.6799999999999899</v>
      </c>
      <c r="Q263">
        <v>615</v>
      </c>
    </row>
    <row r="264" spans="3:17" x14ac:dyDescent="0.25">
      <c r="C264" s="15" t="s">
        <v>382</v>
      </c>
      <c r="D264" s="14" t="s">
        <v>15</v>
      </c>
      <c r="E264" s="14">
        <v>13.23</v>
      </c>
      <c r="F264" s="14">
        <v>3.2999999999999901</v>
      </c>
      <c r="G264" s="14">
        <v>2.27999999999999</v>
      </c>
      <c r="H264" s="14">
        <v>18.5</v>
      </c>
      <c r="I264" s="14">
        <v>98</v>
      </c>
      <c r="J264" s="14">
        <v>1.8</v>
      </c>
      <c r="K264" s="14">
        <v>0.82999999999999896</v>
      </c>
      <c r="L264" s="14">
        <v>0.60999999999999899</v>
      </c>
      <c r="M264" s="14">
        <v>1.87</v>
      </c>
      <c r="N264" s="14">
        <v>10.52</v>
      </c>
      <c r="O264" s="14">
        <v>0.56000000000000005</v>
      </c>
      <c r="P264" s="14">
        <v>1.51</v>
      </c>
      <c r="Q264">
        <v>675</v>
      </c>
    </row>
    <row r="265" spans="3:17" x14ac:dyDescent="0.25">
      <c r="C265" s="15" t="s">
        <v>116</v>
      </c>
      <c r="D265" s="14" t="s">
        <v>13</v>
      </c>
      <c r="E265" s="14">
        <v>13.88</v>
      </c>
      <c r="F265" s="14">
        <v>1.8899999999999899</v>
      </c>
      <c r="G265" s="14">
        <v>2.5899999999999901</v>
      </c>
      <c r="H265" s="14">
        <v>15</v>
      </c>
      <c r="I265" s="14">
        <v>101</v>
      </c>
      <c r="J265" s="14">
        <v>3.25</v>
      </c>
      <c r="K265" s="14">
        <v>3.56</v>
      </c>
      <c r="L265" s="14">
        <v>0.17</v>
      </c>
      <c r="M265" s="14">
        <v>1.7</v>
      </c>
      <c r="N265" s="14">
        <v>5.4299999999999899</v>
      </c>
      <c r="O265" s="14">
        <v>0.88</v>
      </c>
      <c r="P265" s="14">
        <v>3.56</v>
      </c>
      <c r="Q265">
        <v>1095</v>
      </c>
    </row>
    <row r="266" spans="3:17" x14ac:dyDescent="0.25">
      <c r="C266" s="15" t="s">
        <v>310</v>
      </c>
      <c r="D266" s="14" t="s">
        <v>14</v>
      </c>
      <c r="E266" s="14">
        <v>12.72</v>
      </c>
      <c r="F266" s="14">
        <v>1.81</v>
      </c>
      <c r="G266" s="14">
        <v>2.2000000000000002</v>
      </c>
      <c r="H266" s="14">
        <v>18.8</v>
      </c>
      <c r="I266" s="14">
        <v>86</v>
      </c>
      <c r="J266" s="14">
        <v>2.2000000000000002</v>
      </c>
      <c r="K266" s="14">
        <v>2.52999999999999</v>
      </c>
      <c r="L266" s="14">
        <v>0.26</v>
      </c>
      <c r="M266" s="14">
        <v>1.77</v>
      </c>
      <c r="N266" s="14">
        <v>3.8999999999999901</v>
      </c>
      <c r="O266" s="14">
        <v>1.1599999999999899</v>
      </c>
      <c r="P266" s="14">
        <v>3.14</v>
      </c>
      <c r="Q266">
        <v>714</v>
      </c>
    </row>
    <row r="267" spans="3:17" x14ac:dyDescent="0.25">
      <c r="C267" s="15" t="s">
        <v>109</v>
      </c>
      <c r="D267" s="14" t="s">
        <v>13</v>
      </c>
      <c r="E267" s="14">
        <v>13.48</v>
      </c>
      <c r="F267" s="14">
        <v>1.81</v>
      </c>
      <c r="G267" s="14">
        <v>2.41</v>
      </c>
      <c r="H267" s="14">
        <v>20.5</v>
      </c>
      <c r="I267" s="14">
        <v>100</v>
      </c>
      <c r="J267" s="14">
        <v>2.7</v>
      </c>
      <c r="K267" s="14">
        <v>2.98</v>
      </c>
      <c r="L267" s="14">
        <v>0.26</v>
      </c>
      <c r="M267" s="14">
        <v>1.86</v>
      </c>
      <c r="N267" s="14">
        <v>5.0999999999999899</v>
      </c>
      <c r="O267" s="14">
        <v>1.04</v>
      </c>
      <c r="P267" s="14">
        <v>3.47</v>
      </c>
      <c r="Q267">
        <v>920</v>
      </c>
    </row>
    <row r="268" spans="3:17" x14ac:dyDescent="0.25">
      <c r="C268" s="15" t="s">
        <v>348</v>
      </c>
      <c r="D268" s="14" t="s">
        <v>14</v>
      </c>
      <c r="E268" s="14">
        <v>12</v>
      </c>
      <c r="F268" s="14">
        <v>3.43</v>
      </c>
      <c r="G268" s="14">
        <v>2</v>
      </c>
      <c r="H268" s="14">
        <v>19</v>
      </c>
      <c r="I268" s="14">
        <v>87</v>
      </c>
      <c r="J268" s="14">
        <v>2</v>
      </c>
      <c r="K268" s="14">
        <v>1.6399999999999899</v>
      </c>
      <c r="L268" s="14">
        <v>0.37</v>
      </c>
      <c r="M268" s="14">
        <v>1.87</v>
      </c>
      <c r="N268" s="14">
        <v>1.28</v>
      </c>
      <c r="O268" s="14">
        <v>0.93</v>
      </c>
      <c r="P268" s="14">
        <v>3.0499999999999901</v>
      </c>
      <c r="Q268">
        <v>564</v>
      </c>
    </row>
    <row r="269" spans="3:17" x14ac:dyDescent="0.25">
      <c r="C269" s="15" t="s">
        <v>189</v>
      </c>
      <c r="D269" s="14" t="s">
        <v>14</v>
      </c>
      <c r="E269" s="14">
        <v>11.0299999999999</v>
      </c>
      <c r="F269" s="14">
        <v>1.51</v>
      </c>
      <c r="G269" s="14">
        <v>2.2000000000000002</v>
      </c>
      <c r="H269" s="14">
        <v>21.5</v>
      </c>
      <c r="I269" s="14">
        <v>85</v>
      </c>
      <c r="J269" s="14">
        <v>2.46</v>
      </c>
      <c r="K269" s="14">
        <v>2.1699999999999902</v>
      </c>
      <c r="L269" s="14">
        <v>0.52</v>
      </c>
      <c r="M269" s="14">
        <v>2.00999999999999</v>
      </c>
      <c r="N269" s="14">
        <v>1.8999999999999899</v>
      </c>
      <c r="O269" s="14">
        <v>1.71</v>
      </c>
      <c r="P269" s="14">
        <v>2.87</v>
      </c>
      <c r="Q269">
        <v>407</v>
      </c>
    </row>
    <row r="270" spans="3:17" x14ac:dyDescent="0.25">
      <c r="C270" s="15" t="s">
        <v>352</v>
      </c>
      <c r="D270" s="14" t="s">
        <v>14</v>
      </c>
      <c r="E270" s="14">
        <v>13.05</v>
      </c>
      <c r="F270" s="14">
        <v>5.7999999999999901</v>
      </c>
      <c r="G270" s="14">
        <v>2.1299999999999901</v>
      </c>
      <c r="H270" s="14">
        <v>21.5</v>
      </c>
      <c r="I270" s="14">
        <v>86</v>
      </c>
      <c r="J270" s="14">
        <v>2.62</v>
      </c>
      <c r="K270" s="14">
        <v>2.6499999999999901</v>
      </c>
      <c r="L270" s="14">
        <v>0.36538226299694199</v>
      </c>
      <c r="M270" s="14">
        <v>2.00999999999999</v>
      </c>
      <c r="N270" s="14">
        <v>2.6</v>
      </c>
      <c r="O270" s="14">
        <v>0.72999999999999898</v>
      </c>
      <c r="P270" s="14">
        <v>3.1</v>
      </c>
      <c r="Q270">
        <v>380</v>
      </c>
    </row>
    <row r="271" spans="3:17" x14ac:dyDescent="0.25">
      <c r="C271" s="15" t="s">
        <v>83</v>
      </c>
      <c r="D271" s="14" t="s">
        <v>13</v>
      </c>
      <c r="E271" s="14">
        <v>13.8599999999999</v>
      </c>
      <c r="F271" s="14">
        <v>1.35</v>
      </c>
      <c r="G271" s="14">
        <v>2.27</v>
      </c>
      <c r="H271" s="14">
        <v>16</v>
      </c>
      <c r="I271" s="14">
        <v>98</v>
      </c>
      <c r="J271" s="14">
        <v>2.98</v>
      </c>
      <c r="K271" s="14">
        <v>3.1499999999999901</v>
      </c>
      <c r="L271" s="14">
        <v>0.22</v>
      </c>
      <c r="M271" s="14">
        <v>1.85</v>
      </c>
      <c r="N271" s="14">
        <v>7.21999999999999</v>
      </c>
      <c r="O271" s="14">
        <v>1.01</v>
      </c>
      <c r="P271" s="14">
        <v>3.5499999999999901</v>
      </c>
      <c r="Q271">
        <v>1045</v>
      </c>
    </row>
    <row r="272" spans="3:17" x14ac:dyDescent="0.25">
      <c r="C272" s="15" t="s">
        <v>79</v>
      </c>
      <c r="D272" s="14" t="s">
        <v>13</v>
      </c>
      <c r="E272" s="14">
        <v>14.1999999999999</v>
      </c>
      <c r="F272" s="14">
        <v>1.76</v>
      </c>
      <c r="G272" s="14">
        <v>2.4500000000000002</v>
      </c>
      <c r="H272" s="14">
        <v>15.1999999999999</v>
      </c>
      <c r="I272" s="14">
        <v>112</v>
      </c>
      <c r="J272" s="14">
        <v>3.27</v>
      </c>
      <c r="K272" s="14">
        <v>3.39</v>
      </c>
      <c r="L272" s="14">
        <v>0.34</v>
      </c>
      <c r="M272" s="14">
        <v>1.97</v>
      </c>
      <c r="N272" s="14">
        <v>6.75</v>
      </c>
      <c r="O272" s="14">
        <v>1.05</v>
      </c>
      <c r="P272" s="14">
        <v>2.85</v>
      </c>
      <c r="Q272">
        <v>1450</v>
      </c>
    </row>
    <row r="273" spans="3:17" x14ac:dyDescent="0.25">
      <c r="C273" s="15" t="s">
        <v>137</v>
      </c>
      <c r="D273" s="14" t="s">
        <v>14</v>
      </c>
      <c r="E273" s="14">
        <v>12.3699999999999</v>
      </c>
      <c r="F273" s="14">
        <v>1.1299999999999899</v>
      </c>
      <c r="G273" s="14">
        <v>2.16</v>
      </c>
      <c r="H273" s="14">
        <v>19</v>
      </c>
      <c r="I273" s="14">
        <v>87</v>
      </c>
      <c r="J273" s="14">
        <v>3.5</v>
      </c>
      <c r="K273" s="14">
        <v>3.1</v>
      </c>
      <c r="L273" s="14">
        <v>0.19</v>
      </c>
      <c r="M273" s="14">
        <v>1.87</v>
      </c>
      <c r="N273" s="14">
        <v>4.45</v>
      </c>
      <c r="O273" s="14">
        <v>1.22</v>
      </c>
      <c r="P273" s="14">
        <v>2.87</v>
      </c>
      <c r="Q273">
        <v>420</v>
      </c>
    </row>
    <row r="274" spans="3:17" x14ac:dyDescent="0.25">
      <c r="C274" s="15" t="s">
        <v>256</v>
      </c>
      <c r="D274" s="14" t="s">
        <v>13</v>
      </c>
      <c r="E274" s="14">
        <v>13.3</v>
      </c>
      <c r="F274" s="14">
        <v>1.72</v>
      </c>
      <c r="G274" s="14">
        <v>2.14</v>
      </c>
      <c r="H274" s="14">
        <v>17</v>
      </c>
      <c r="I274" s="14">
        <v>94</v>
      </c>
      <c r="J274" s="14">
        <v>2.3999999999999901</v>
      </c>
      <c r="K274" s="14">
        <v>2.1899999999999902</v>
      </c>
      <c r="L274" s="14">
        <v>0.27</v>
      </c>
      <c r="M274" s="14">
        <v>1.35</v>
      </c>
      <c r="N274" s="14">
        <v>3.95</v>
      </c>
      <c r="O274" s="14">
        <v>1.02</v>
      </c>
      <c r="P274" s="14">
        <v>2.77</v>
      </c>
      <c r="Q274">
        <v>1285</v>
      </c>
    </row>
    <row r="275" spans="3:17" x14ac:dyDescent="0.25">
      <c r="C275" s="15" t="s">
        <v>212</v>
      </c>
      <c r="D275" s="14" t="s">
        <v>15</v>
      </c>
      <c r="E275" s="14">
        <v>13.49</v>
      </c>
      <c r="F275" s="14">
        <v>3.5899999999999901</v>
      </c>
      <c r="G275" s="14">
        <v>2.1899999999999902</v>
      </c>
      <c r="H275" s="14">
        <v>19.5</v>
      </c>
      <c r="I275" s="14">
        <v>88</v>
      </c>
      <c r="J275" s="14">
        <v>1.62</v>
      </c>
      <c r="K275" s="14">
        <v>0.47999999999999898</v>
      </c>
      <c r="L275" s="14">
        <v>0.57999999999999896</v>
      </c>
      <c r="M275" s="14">
        <v>0.88</v>
      </c>
      <c r="N275" s="14">
        <v>5.7</v>
      </c>
      <c r="O275" s="14">
        <v>0.81</v>
      </c>
      <c r="P275" s="14">
        <v>1.82</v>
      </c>
      <c r="Q275">
        <v>580</v>
      </c>
    </row>
    <row r="276" spans="3:17" x14ac:dyDescent="0.25">
      <c r="C276" s="15" t="s">
        <v>354</v>
      </c>
      <c r="D276" s="14" t="s">
        <v>14</v>
      </c>
      <c r="E276" s="14">
        <v>12.07</v>
      </c>
      <c r="F276" s="14">
        <v>2.16</v>
      </c>
      <c r="G276" s="14">
        <v>2.1699999999999902</v>
      </c>
      <c r="H276" s="14">
        <v>21</v>
      </c>
      <c r="I276" s="14">
        <v>85</v>
      </c>
      <c r="J276" s="14">
        <v>2.6</v>
      </c>
      <c r="K276" s="14">
        <v>2.6499999999999901</v>
      </c>
      <c r="L276" s="14">
        <v>0.37</v>
      </c>
      <c r="M276" s="14">
        <v>1.35</v>
      </c>
      <c r="N276" s="14">
        <v>2.75999999999999</v>
      </c>
      <c r="O276" s="14">
        <v>0.85999999999999899</v>
      </c>
      <c r="P276" s="14">
        <v>3.27999999999999</v>
      </c>
      <c r="Q276">
        <v>378</v>
      </c>
    </row>
    <row r="277" spans="3:17" x14ac:dyDescent="0.25">
      <c r="C277" s="15" t="s">
        <v>306</v>
      </c>
      <c r="D277" s="14" t="s">
        <v>14</v>
      </c>
      <c r="E277" s="14">
        <v>11.84</v>
      </c>
      <c r="F277" s="14">
        <v>2.89</v>
      </c>
      <c r="G277" s="14">
        <v>2.23</v>
      </c>
      <c r="H277" s="14">
        <v>18</v>
      </c>
      <c r="I277" s="14">
        <v>112</v>
      </c>
      <c r="J277" s="14">
        <v>1.72</v>
      </c>
      <c r="K277" s="14">
        <v>1.32</v>
      </c>
      <c r="L277" s="14">
        <v>0.42999999999999899</v>
      </c>
      <c r="M277" s="14">
        <v>0.94999999999999896</v>
      </c>
      <c r="N277" s="14">
        <v>2.6499999999999901</v>
      </c>
      <c r="O277" s="14">
        <v>0.95999999999999897</v>
      </c>
      <c r="P277" s="14">
        <v>2.52</v>
      </c>
      <c r="Q277">
        <v>500</v>
      </c>
    </row>
    <row r="278" spans="3:17" x14ac:dyDescent="0.25">
      <c r="C278" s="15" t="s">
        <v>320</v>
      </c>
      <c r="D278" s="14" t="s">
        <v>14</v>
      </c>
      <c r="E278" s="14">
        <v>12</v>
      </c>
      <c r="F278" s="14">
        <v>1.51</v>
      </c>
      <c r="G278" s="14">
        <v>2.4199999999999902</v>
      </c>
      <c r="H278" s="14">
        <v>22</v>
      </c>
      <c r="I278" s="14">
        <v>86</v>
      </c>
      <c r="J278" s="14">
        <v>1.45</v>
      </c>
      <c r="K278" s="14">
        <v>1.25</v>
      </c>
      <c r="L278" s="14">
        <v>0.5</v>
      </c>
      <c r="M278" s="14">
        <v>1.6299999999999899</v>
      </c>
      <c r="N278" s="14">
        <v>3.6</v>
      </c>
      <c r="O278" s="14">
        <v>1.05</v>
      </c>
      <c r="P278" s="14">
        <v>2.6499999999999901</v>
      </c>
      <c r="Q278">
        <v>450</v>
      </c>
    </row>
    <row r="279" spans="3:17" x14ac:dyDescent="0.25">
      <c r="C279" s="15" t="s">
        <v>235</v>
      </c>
      <c r="D279" s="14" t="s">
        <v>15</v>
      </c>
      <c r="E279" s="14">
        <v>13.69</v>
      </c>
      <c r="F279" s="14">
        <v>3.25999999999999</v>
      </c>
      <c r="G279" s="14">
        <v>2.54</v>
      </c>
      <c r="H279" s="14">
        <v>20</v>
      </c>
      <c r="I279" s="14">
        <v>107</v>
      </c>
      <c r="J279" s="14">
        <v>1.83</v>
      </c>
      <c r="K279" s="14">
        <v>0.56000000000000005</v>
      </c>
      <c r="L279" s="14">
        <v>0.5</v>
      </c>
      <c r="M279" s="14">
        <v>0.8</v>
      </c>
      <c r="N279" s="14">
        <v>5.8799999999999901</v>
      </c>
      <c r="O279" s="14">
        <v>0.95999999999999897</v>
      </c>
      <c r="P279" s="14">
        <v>1.82</v>
      </c>
      <c r="Q279">
        <v>680</v>
      </c>
    </row>
    <row r="280" spans="3:17" x14ac:dyDescent="0.25">
      <c r="C280" s="15" t="s">
        <v>124</v>
      </c>
      <c r="D280" s="14" t="s">
        <v>13</v>
      </c>
      <c r="E280" s="14">
        <v>13.05</v>
      </c>
      <c r="F280" s="14">
        <v>1.73</v>
      </c>
      <c r="G280" s="14">
        <v>2.04</v>
      </c>
      <c r="H280" s="14">
        <v>12.4</v>
      </c>
      <c r="I280" s="14">
        <v>92</v>
      </c>
      <c r="J280" s="14">
        <v>2.72</v>
      </c>
      <c r="K280" s="14">
        <v>3.27</v>
      </c>
      <c r="L280" s="14">
        <v>0.17</v>
      </c>
      <c r="M280" s="14">
        <v>2.91</v>
      </c>
      <c r="N280" s="14">
        <v>7.2</v>
      </c>
      <c r="O280" s="14">
        <v>1.1200000000000001</v>
      </c>
      <c r="P280" s="14">
        <v>2.91</v>
      </c>
      <c r="Q280">
        <v>1150</v>
      </c>
    </row>
    <row r="281" spans="3:17" x14ac:dyDescent="0.25">
      <c r="C281" s="15" t="s">
        <v>341</v>
      </c>
      <c r="D281" s="14" t="s">
        <v>14</v>
      </c>
      <c r="E281" s="14">
        <v>11.76</v>
      </c>
      <c r="F281" s="14">
        <v>2.68</v>
      </c>
      <c r="G281" s="14">
        <v>2.9199999999999902</v>
      </c>
      <c r="H281" s="14">
        <v>20</v>
      </c>
      <c r="I281" s="14">
        <v>103</v>
      </c>
      <c r="J281" s="14">
        <v>1.75</v>
      </c>
      <c r="K281" s="14">
        <v>2.02999999999999</v>
      </c>
      <c r="L281" s="14">
        <v>0.59999999999999898</v>
      </c>
      <c r="M281" s="14">
        <v>1.05</v>
      </c>
      <c r="N281" s="14">
        <v>3.7999999999999901</v>
      </c>
      <c r="O281" s="14">
        <v>1.23</v>
      </c>
      <c r="P281" s="14">
        <v>2.5</v>
      </c>
      <c r="Q281">
        <v>607</v>
      </c>
    </row>
    <row r="282" spans="3:17" x14ac:dyDescent="0.25">
      <c r="C282" s="15" t="s">
        <v>142</v>
      </c>
      <c r="D282" s="14" t="s">
        <v>14</v>
      </c>
      <c r="E282" s="14">
        <v>13.34</v>
      </c>
      <c r="F282" s="14">
        <v>0.93999999999999895</v>
      </c>
      <c r="G282" s="14">
        <v>2.3599999999999901</v>
      </c>
      <c r="H282" s="14">
        <v>17</v>
      </c>
      <c r="I282" s="14">
        <v>110</v>
      </c>
      <c r="J282" s="14">
        <v>2.52999999999999</v>
      </c>
      <c r="K282" s="14">
        <v>1.3</v>
      </c>
      <c r="L282" s="14">
        <v>0.55000000000000004</v>
      </c>
      <c r="M282" s="14">
        <v>0.41999999999999899</v>
      </c>
      <c r="N282" s="14">
        <v>3.1699999999999902</v>
      </c>
      <c r="O282" s="14">
        <v>1.02</v>
      </c>
      <c r="P282" s="14">
        <v>1.9299999999999899</v>
      </c>
      <c r="Q282">
        <v>750</v>
      </c>
    </row>
    <row r="283" spans="3:17" x14ac:dyDescent="0.25">
      <c r="C283" s="15" t="s">
        <v>220</v>
      </c>
      <c r="D283" s="14" t="s">
        <v>15</v>
      </c>
      <c r="E283" s="14">
        <v>13.88</v>
      </c>
      <c r="F283" s="14">
        <v>5.04</v>
      </c>
      <c r="G283" s="14">
        <v>2.23</v>
      </c>
      <c r="H283" s="14">
        <v>20</v>
      </c>
      <c r="I283" s="14">
        <v>80</v>
      </c>
      <c r="J283" s="14">
        <v>0.97999999999999898</v>
      </c>
      <c r="K283" s="14">
        <v>0.34</v>
      </c>
      <c r="L283" s="14">
        <v>0.4</v>
      </c>
      <c r="M283" s="14">
        <v>0.68</v>
      </c>
      <c r="N283" s="14">
        <v>4.9000000000000004</v>
      </c>
      <c r="O283" s="14">
        <v>0.57999999999999896</v>
      </c>
      <c r="P283" s="14">
        <v>1.33</v>
      </c>
      <c r="Q283">
        <v>415</v>
      </c>
    </row>
    <row r="284" spans="3:17" x14ac:dyDescent="0.25">
      <c r="C284" s="15" t="s">
        <v>213</v>
      </c>
      <c r="D284" s="14" t="s">
        <v>15</v>
      </c>
      <c r="E284" s="14">
        <v>12.84</v>
      </c>
      <c r="F284" s="14">
        <v>2.96</v>
      </c>
      <c r="G284" s="14">
        <v>2.6099999999999901</v>
      </c>
      <c r="H284" s="14">
        <v>24</v>
      </c>
      <c r="I284" s="14">
        <v>101</v>
      </c>
      <c r="J284" s="14">
        <v>2.3199999999999901</v>
      </c>
      <c r="K284" s="14">
        <v>0.59999999999999898</v>
      </c>
      <c r="L284" s="14">
        <v>0.53</v>
      </c>
      <c r="M284" s="14">
        <v>0.81</v>
      </c>
      <c r="N284" s="14">
        <v>4.9199999999999902</v>
      </c>
      <c r="O284" s="14">
        <v>0.89</v>
      </c>
      <c r="P284" s="14">
        <v>2.1499999999999901</v>
      </c>
      <c r="Q284">
        <v>590</v>
      </c>
    </row>
    <row r="285" spans="3:17" x14ac:dyDescent="0.25">
      <c r="C285" s="15" t="s">
        <v>160</v>
      </c>
      <c r="D285" s="14" t="s">
        <v>14</v>
      </c>
      <c r="E285" s="14">
        <v>12.16</v>
      </c>
      <c r="F285" s="14">
        <v>1.61</v>
      </c>
      <c r="G285" s="14">
        <v>2.31</v>
      </c>
      <c r="H285" s="14">
        <v>22.8</v>
      </c>
      <c r="I285" s="14">
        <v>90</v>
      </c>
      <c r="J285" s="14">
        <v>1.78</v>
      </c>
      <c r="K285" s="14">
        <v>1.68999999999999</v>
      </c>
      <c r="L285" s="14">
        <v>0.42999999999999899</v>
      </c>
      <c r="M285" s="14">
        <v>1.56</v>
      </c>
      <c r="N285" s="14">
        <v>2.4500000000000002</v>
      </c>
      <c r="O285" s="14">
        <v>1.33</v>
      </c>
      <c r="P285" s="14">
        <v>2.25999999999999</v>
      </c>
      <c r="Q285">
        <v>495</v>
      </c>
    </row>
    <row r="286" spans="3:17" x14ac:dyDescent="0.25">
      <c r="C286" s="15" t="s">
        <v>264</v>
      </c>
      <c r="D286" s="14" t="s">
        <v>13</v>
      </c>
      <c r="E286" s="14">
        <v>13.48</v>
      </c>
      <c r="F286" s="14">
        <v>1.81</v>
      </c>
      <c r="G286" s="14">
        <v>2.41</v>
      </c>
      <c r="H286" s="14">
        <v>20.5</v>
      </c>
      <c r="I286" s="14">
        <v>100</v>
      </c>
      <c r="J286" s="14">
        <v>2.7</v>
      </c>
      <c r="K286" s="14">
        <v>2.98</v>
      </c>
      <c r="L286" s="14">
        <v>0.26</v>
      </c>
      <c r="M286" s="14">
        <v>1.86</v>
      </c>
      <c r="N286" s="14">
        <v>5.0999999999999899</v>
      </c>
      <c r="O286" s="14">
        <v>1.04</v>
      </c>
      <c r="P286" s="14">
        <v>3.47</v>
      </c>
      <c r="Q286">
        <v>920</v>
      </c>
    </row>
    <row r="287" spans="3:17" x14ac:dyDescent="0.25">
      <c r="C287" s="15" t="s">
        <v>380</v>
      </c>
      <c r="D287" s="14" t="s">
        <v>15</v>
      </c>
      <c r="E287" s="14">
        <v>12.7899999999999</v>
      </c>
      <c r="F287" s="14">
        <v>2.6699999999999902</v>
      </c>
      <c r="G287" s="14">
        <v>2.48</v>
      </c>
      <c r="H287" s="14">
        <v>22</v>
      </c>
      <c r="I287" s="14">
        <v>112</v>
      </c>
      <c r="J287" s="14">
        <v>1.48</v>
      </c>
      <c r="K287" s="14">
        <v>1.36</v>
      </c>
      <c r="L287" s="14">
        <v>0.23999999999999899</v>
      </c>
      <c r="M287" s="14">
        <v>1.26</v>
      </c>
      <c r="N287" s="14">
        <v>10.8</v>
      </c>
      <c r="O287" s="14">
        <v>0.47999999999999898</v>
      </c>
      <c r="P287" s="14">
        <v>1.47</v>
      </c>
      <c r="Q287">
        <v>480</v>
      </c>
    </row>
    <row r="288" spans="3:17" x14ac:dyDescent="0.25">
      <c r="C288" s="15" t="s">
        <v>386</v>
      </c>
      <c r="D288" s="14" t="s">
        <v>15</v>
      </c>
      <c r="E288" s="14">
        <v>12.4499999999999</v>
      </c>
      <c r="F288" s="14">
        <v>3.02999999999999</v>
      </c>
      <c r="G288" s="14">
        <v>2.64</v>
      </c>
      <c r="H288" s="14">
        <v>27</v>
      </c>
      <c r="I288" s="14">
        <v>97</v>
      </c>
      <c r="J288" s="14">
        <v>1.8999999999999899</v>
      </c>
      <c r="K288" s="14">
        <v>0.57999999999999896</v>
      </c>
      <c r="L288" s="14">
        <v>0.63</v>
      </c>
      <c r="M288" s="14">
        <v>1.1399999999999899</v>
      </c>
      <c r="N288" s="14">
        <v>7.5</v>
      </c>
      <c r="O288" s="14">
        <v>0.67</v>
      </c>
      <c r="P288" s="14">
        <v>1.73</v>
      </c>
      <c r="Q288">
        <v>880</v>
      </c>
    </row>
    <row r="289" spans="3:17" x14ac:dyDescent="0.25">
      <c r="C289" s="15" t="s">
        <v>117</v>
      </c>
      <c r="D289" s="14" t="s">
        <v>13</v>
      </c>
      <c r="E289" s="14">
        <v>13.24</v>
      </c>
      <c r="F289" s="14">
        <v>3.98</v>
      </c>
      <c r="G289" s="14">
        <v>2.29</v>
      </c>
      <c r="H289" s="14">
        <v>17.5</v>
      </c>
      <c r="I289" s="14">
        <v>103</v>
      </c>
      <c r="J289" s="14">
        <v>2.64</v>
      </c>
      <c r="K289" s="14">
        <v>2.6299999999999901</v>
      </c>
      <c r="L289" s="14">
        <v>0.32</v>
      </c>
      <c r="M289" s="14">
        <v>1.6599999999999899</v>
      </c>
      <c r="N289" s="14">
        <v>4.3600000000000003</v>
      </c>
      <c r="O289" s="14">
        <v>0.81999999999999895</v>
      </c>
      <c r="P289" s="14">
        <v>3</v>
      </c>
      <c r="Q289">
        <v>680</v>
      </c>
    </row>
    <row r="290" spans="3:17" x14ac:dyDescent="0.25">
      <c r="C290" s="15" t="s">
        <v>332</v>
      </c>
      <c r="D290" s="14" t="s">
        <v>14</v>
      </c>
      <c r="E290" s="14">
        <v>11.82</v>
      </c>
      <c r="F290" s="14">
        <v>1.72</v>
      </c>
      <c r="G290" s="14">
        <v>1.8799999999999899</v>
      </c>
      <c r="H290" s="14">
        <v>19.5</v>
      </c>
      <c r="I290" s="14">
        <v>86</v>
      </c>
      <c r="J290" s="14">
        <v>2.5</v>
      </c>
      <c r="K290" s="14">
        <v>1.6399999999999899</v>
      </c>
      <c r="L290" s="14">
        <v>0.37</v>
      </c>
      <c r="M290" s="14">
        <v>1.4199999999999899</v>
      </c>
      <c r="N290" s="14">
        <v>2.06</v>
      </c>
      <c r="O290" s="14">
        <v>0.93999999999999895</v>
      </c>
      <c r="P290" s="14">
        <v>2.4399999999999902</v>
      </c>
      <c r="Q290">
        <v>415</v>
      </c>
    </row>
    <row r="291" spans="3:17" x14ac:dyDescent="0.25">
      <c r="C291" s="15" t="s">
        <v>249</v>
      </c>
      <c r="D291" s="14" t="s">
        <v>15</v>
      </c>
      <c r="E291" s="14">
        <v>13.27</v>
      </c>
      <c r="F291" s="14">
        <v>4.28</v>
      </c>
      <c r="G291" s="14">
        <v>2.25999999999999</v>
      </c>
      <c r="H291" s="14">
        <v>20</v>
      </c>
      <c r="I291" s="14">
        <v>120</v>
      </c>
      <c r="J291" s="14">
        <v>1.59</v>
      </c>
      <c r="K291" s="14">
        <v>0.68999999999999895</v>
      </c>
      <c r="L291" s="14">
        <v>0.42999999999999899</v>
      </c>
      <c r="M291" s="14">
        <v>1.35</v>
      </c>
      <c r="N291" s="14">
        <v>10.1999999999999</v>
      </c>
      <c r="O291" s="14">
        <v>0.58999999999999897</v>
      </c>
      <c r="P291" s="14">
        <v>1.56</v>
      </c>
      <c r="Q291">
        <v>835</v>
      </c>
    </row>
    <row r="292" spans="3:17" x14ac:dyDescent="0.25">
      <c r="C292" s="15" t="s">
        <v>331</v>
      </c>
      <c r="D292" s="14" t="s">
        <v>14</v>
      </c>
      <c r="E292" s="14">
        <v>12.34</v>
      </c>
      <c r="F292" s="14">
        <v>2.4500000000000002</v>
      </c>
      <c r="G292" s="14">
        <v>2.46</v>
      </c>
      <c r="H292" s="14">
        <v>21</v>
      </c>
      <c r="I292" s="14">
        <v>98</v>
      </c>
      <c r="J292" s="14">
        <v>2.56</v>
      </c>
      <c r="K292" s="14">
        <v>2.1099999999999901</v>
      </c>
      <c r="L292" s="14">
        <v>0.34</v>
      </c>
      <c r="M292" s="14">
        <v>1.31</v>
      </c>
      <c r="N292" s="14">
        <v>2.7999999999999901</v>
      </c>
      <c r="O292" s="14">
        <v>0.8</v>
      </c>
      <c r="P292" s="14">
        <v>3.3799999999999901</v>
      </c>
      <c r="Q292">
        <v>438</v>
      </c>
    </row>
    <row r="293" spans="3:17" x14ac:dyDescent="0.25">
      <c r="C293" s="15" t="s">
        <v>76</v>
      </c>
      <c r="D293" s="14" t="s">
        <v>13</v>
      </c>
      <c r="E293" s="14">
        <v>13.16</v>
      </c>
      <c r="F293" s="14">
        <v>2.3599999999999901</v>
      </c>
      <c r="G293" s="14">
        <v>2.6699999999999902</v>
      </c>
      <c r="H293" s="14">
        <v>18.600000000000001</v>
      </c>
      <c r="I293" s="14">
        <v>101</v>
      </c>
      <c r="J293" s="14">
        <v>2.7999999999999901</v>
      </c>
      <c r="K293" s="14">
        <v>3.24</v>
      </c>
      <c r="L293" s="14">
        <v>0.29999999999999899</v>
      </c>
      <c r="M293" s="14">
        <v>2.81</v>
      </c>
      <c r="N293" s="14">
        <v>5.6799999999999899</v>
      </c>
      <c r="O293" s="14">
        <v>1.03</v>
      </c>
      <c r="P293" s="14">
        <v>3.1699999999999902</v>
      </c>
      <c r="Q293">
        <v>1185</v>
      </c>
    </row>
    <row r="294" spans="3:17" x14ac:dyDescent="0.25">
      <c r="C294" s="15" t="s">
        <v>366</v>
      </c>
      <c r="D294" s="14" t="s">
        <v>15</v>
      </c>
      <c r="E294" s="14">
        <v>12.5299999999999</v>
      </c>
      <c r="F294" s="14">
        <v>5.50999999999999</v>
      </c>
      <c r="G294" s="14">
        <v>2.64</v>
      </c>
      <c r="H294" s="14">
        <v>25</v>
      </c>
      <c r="I294" s="14">
        <v>96</v>
      </c>
      <c r="J294" s="14">
        <v>1.79</v>
      </c>
      <c r="K294" s="14">
        <v>0.59999999999999898</v>
      </c>
      <c r="L294" s="14">
        <v>0.63</v>
      </c>
      <c r="M294" s="14">
        <v>1.1000000000000001</v>
      </c>
      <c r="N294" s="14">
        <v>5</v>
      </c>
      <c r="O294" s="14">
        <v>0.81999999999999895</v>
      </c>
      <c r="P294" s="14">
        <v>1.68999999999999</v>
      </c>
      <c r="Q294">
        <v>515</v>
      </c>
    </row>
    <row r="295" spans="3:17" x14ac:dyDescent="0.25">
      <c r="C295" s="15" t="s">
        <v>392</v>
      </c>
      <c r="D295" s="14" t="s">
        <v>15</v>
      </c>
      <c r="E295" s="14">
        <v>12.96</v>
      </c>
      <c r="F295" s="14">
        <v>3.45</v>
      </c>
      <c r="G295" s="14">
        <v>2.35</v>
      </c>
      <c r="H295" s="14">
        <v>18.5</v>
      </c>
      <c r="I295" s="14">
        <v>106</v>
      </c>
      <c r="J295" s="14">
        <v>1.3899999999999899</v>
      </c>
      <c r="K295" s="14">
        <v>0.69999999999999896</v>
      </c>
      <c r="L295" s="14">
        <v>0.4</v>
      </c>
      <c r="M295" s="14">
        <v>0.93999999999999895</v>
      </c>
      <c r="N295" s="14">
        <v>5.28</v>
      </c>
      <c r="O295" s="14">
        <v>0.68</v>
      </c>
      <c r="P295" s="14">
        <v>1.75</v>
      </c>
      <c r="Q295">
        <v>675</v>
      </c>
    </row>
    <row r="296" spans="3:17" x14ac:dyDescent="0.25">
      <c r="C296" s="15" t="s">
        <v>92</v>
      </c>
      <c r="D296" s="14" t="s">
        <v>13</v>
      </c>
      <c r="E296" s="14">
        <v>14.19</v>
      </c>
      <c r="F296" s="14">
        <v>1.59</v>
      </c>
      <c r="G296" s="14">
        <v>2.48</v>
      </c>
      <c r="H296" s="14">
        <v>16.5</v>
      </c>
      <c r="I296" s="14">
        <v>108</v>
      </c>
      <c r="J296" s="14">
        <v>3.2999999999999901</v>
      </c>
      <c r="K296" s="14">
        <v>3.93</v>
      </c>
      <c r="L296" s="14">
        <v>0.32</v>
      </c>
      <c r="M296" s="14">
        <v>1.86</v>
      </c>
      <c r="N296" s="14">
        <v>8.6999999999999904</v>
      </c>
      <c r="O296" s="14">
        <v>1.23</v>
      </c>
      <c r="P296" s="14">
        <v>2.8199999999999901</v>
      </c>
      <c r="Q296">
        <v>1680</v>
      </c>
    </row>
    <row r="297" spans="3:17" x14ac:dyDescent="0.25">
      <c r="C297" s="15" t="s">
        <v>356</v>
      </c>
      <c r="D297" s="14" t="s">
        <v>14</v>
      </c>
      <c r="E297" s="14">
        <v>11.7899999999999</v>
      </c>
      <c r="F297" s="14">
        <v>2.1299999999999901</v>
      </c>
      <c r="G297" s="14">
        <v>2.77999999999999</v>
      </c>
      <c r="H297" s="14">
        <v>28.5</v>
      </c>
      <c r="I297" s="14">
        <v>92</v>
      </c>
      <c r="J297" s="14">
        <v>2.1299999999999901</v>
      </c>
      <c r="K297" s="14">
        <v>2.2400000000000002</v>
      </c>
      <c r="L297" s="14">
        <v>0.57999999999999896</v>
      </c>
      <c r="M297" s="14">
        <v>1.76</v>
      </c>
      <c r="N297" s="14">
        <v>3</v>
      </c>
      <c r="O297" s="14">
        <v>0.96999999999999897</v>
      </c>
      <c r="P297" s="14">
        <v>2.4399999999999902</v>
      </c>
      <c r="Q297">
        <v>466</v>
      </c>
    </row>
    <row r="298" spans="3:17" x14ac:dyDescent="0.25">
      <c r="C298" s="15" t="s">
        <v>147</v>
      </c>
      <c r="D298" s="14" t="s">
        <v>14</v>
      </c>
      <c r="E298" s="14">
        <v>12.99</v>
      </c>
      <c r="F298" s="14">
        <v>1.6699999999999899</v>
      </c>
      <c r="G298" s="14">
        <v>2.6</v>
      </c>
      <c r="H298" s="14">
        <v>30</v>
      </c>
      <c r="I298" s="14">
        <v>139</v>
      </c>
      <c r="J298" s="14">
        <v>3.2999999999999901</v>
      </c>
      <c r="K298" s="14">
        <v>2.89</v>
      </c>
      <c r="L298" s="14">
        <v>0.20999999999999899</v>
      </c>
      <c r="M298" s="14">
        <v>1.96</v>
      </c>
      <c r="N298" s="14">
        <v>3.35</v>
      </c>
      <c r="O298" s="14">
        <v>1.31</v>
      </c>
      <c r="P298" s="14">
        <v>3.5</v>
      </c>
      <c r="Q298">
        <v>985</v>
      </c>
    </row>
    <row r="299" spans="3:17" x14ac:dyDescent="0.25">
      <c r="C299" s="15" t="s">
        <v>174</v>
      </c>
      <c r="D299" s="14" t="s">
        <v>14</v>
      </c>
      <c r="E299" s="14">
        <v>12.08</v>
      </c>
      <c r="F299" s="14">
        <v>2.08</v>
      </c>
      <c r="G299" s="14">
        <v>1.7</v>
      </c>
      <c r="H299" s="14">
        <v>17.5</v>
      </c>
      <c r="I299" s="14">
        <v>97</v>
      </c>
      <c r="J299" s="14">
        <v>2.23</v>
      </c>
      <c r="K299" s="14">
        <v>2.1699999999999902</v>
      </c>
      <c r="L299" s="14">
        <v>0.26</v>
      </c>
      <c r="M299" s="14">
        <v>1.3999999999999899</v>
      </c>
      <c r="N299" s="14">
        <v>3.2999999999999901</v>
      </c>
      <c r="O299" s="14">
        <v>1.27</v>
      </c>
      <c r="P299" s="14">
        <v>2.96</v>
      </c>
      <c r="Q299">
        <v>710</v>
      </c>
    </row>
    <row r="300" spans="3:17" x14ac:dyDescent="0.25">
      <c r="C300" s="15" t="s">
        <v>372</v>
      </c>
      <c r="D300" s="14" t="s">
        <v>15</v>
      </c>
      <c r="E300" s="14">
        <v>13.6199999999999</v>
      </c>
      <c r="F300" s="14">
        <v>4.95</v>
      </c>
      <c r="G300" s="14">
        <v>2.35</v>
      </c>
      <c r="H300" s="14">
        <v>20</v>
      </c>
      <c r="I300" s="14">
        <v>92</v>
      </c>
      <c r="J300" s="14">
        <v>2</v>
      </c>
      <c r="K300" s="14">
        <v>0.8</v>
      </c>
      <c r="L300" s="14">
        <v>0.46999999999999897</v>
      </c>
      <c r="M300" s="14">
        <v>1.02</v>
      </c>
      <c r="N300" s="14">
        <v>4.4000000000000004</v>
      </c>
      <c r="O300" s="14">
        <v>0.91</v>
      </c>
      <c r="P300" s="14">
        <v>2.0499999999999901</v>
      </c>
      <c r="Q300">
        <v>550</v>
      </c>
    </row>
    <row r="301" spans="3:17" x14ac:dyDescent="0.25">
      <c r="C301" s="15" t="s">
        <v>131</v>
      </c>
      <c r="D301" s="14" t="s">
        <v>13</v>
      </c>
      <c r="E301" s="14">
        <v>13.2899999999999</v>
      </c>
      <c r="F301" s="14">
        <v>1.97</v>
      </c>
      <c r="G301" s="14">
        <v>2.68</v>
      </c>
      <c r="H301" s="14">
        <v>16.8</v>
      </c>
      <c r="I301" s="14">
        <v>102</v>
      </c>
      <c r="J301" s="14">
        <v>3</v>
      </c>
      <c r="K301" s="14">
        <v>3.23</v>
      </c>
      <c r="L301" s="14">
        <v>0.31</v>
      </c>
      <c r="M301" s="14">
        <v>1.6599999999999899</v>
      </c>
      <c r="N301" s="14">
        <v>6</v>
      </c>
      <c r="O301" s="14">
        <v>1.07</v>
      </c>
      <c r="P301" s="14">
        <v>2.8399999999999901</v>
      </c>
      <c r="Q301">
        <v>1270</v>
      </c>
    </row>
    <row r="302" spans="3:17" x14ac:dyDescent="0.25">
      <c r="C302" s="15" t="s">
        <v>175</v>
      </c>
      <c r="D302" s="14" t="s">
        <v>14</v>
      </c>
      <c r="E302" s="14">
        <v>12.6</v>
      </c>
      <c r="F302" s="14">
        <v>1.34</v>
      </c>
      <c r="G302" s="14">
        <v>1.8999999999999899</v>
      </c>
      <c r="H302" s="14">
        <v>18.5</v>
      </c>
      <c r="I302" s="14">
        <v>88</v>
      </c>
      <c r="J302" s="14">
        <v>1.45</v>
      </c>
      <c r="K302" s="14">
        <v>1.36</v>
      </c>
      <c r="L302" s="14">
        <v>0.28999999999999898</v>
      </c>
      <c r="M302" s="14">
        <v>1.35</v>
      </c>
      <c r="N302" s="14">
        <v>2.4500000000000002</v>
      </c>
      <c r="O302" s="14">
        <v>1.04</v>
      </c>
      <c r="P302" s="14">
        <v>2.77</v>
      </c>
      <c r="Q302">
        <v>562</v>
      </c>
    </row>
    <row r="303" spans="3:17" x14ac:dyDescent="0.25">
      <c r="C303" s="15" t="s">
        <v>298</v>
      </c>
      <c r="D303" s="14" t="s">
        <v>14</v>
      </c>
      <c r="E303" s="14">
        <v>12.21</v>
      </c>
      <c r="F303" s="14">
        <v>1.18999999999999</v>
      </c>
      <c r="G303" s="14">
        <v>1.75</v>
      </c>
      <c r="H303" s="14">
        <v>16.8</v>
      </c>
      <c r="I303" s="14">
        <v>151</v>
      </c>
      <c r="J303" s="14">
        <v>1.85</v>
      </c>
      <c r="K303" s="14">
        <v>1.28</v>
      </c>
      <c r="L303" s="14">
        <v>0.14000000000000001</v>
      </c>
      <c r="M303" s="14">
        <v>2.5</v>
      </c>
      <c r="N303" s="14">
        <v>2.85</v>
      </c>
      <c r="O303" s="14">
        <v>1.28</v>
      </c>
      <c r="P303" s="14">
        <v>3.0699999999999901</v>
      </c>
      <c r="Q303">
        <v>718</v>
      </c>
    </row>
    <row r="304" spans="3:17" x14ac:dyDescent="0.25">
      <c r="C304" s="15" t="s">
        <v>136</v>
      </c>
      <c r="D304" s="14" t="s">
        <v>14</v>
      </c>
      <c r="E304" s="14">
        <v>13.67</v>
      </c>
      <c r="F304" s="14">
        <v>1.25</v>
      </c>
      <c r="G304" s="14">
        <v>1.9199999999999899</v>
      </c>
      <c r="H304" s="14">
        <v>18</v>
      </c>
      <c r="I304" s="14">
        <v>94</v>
      </c>
      <c r="J304" s="14">
        <v>2.1</v>
      </c>
      <c r="K304" s="14">
        <v>1.79</v>
      </c>
      <c r="L304" s="14">
        <v>0.32</v>
      </c>
      <c r="M304" s="14">
        <v>0.72999999999999898</v>
      </c>
      <c r="N304" s="14">
        <v>3.7999999999999901</v>
      </c>
      <c r="O304" s="14">
        <v>1.23</v>
      </c>
      <c r="P304" s="14">
        <v>2.46</v>
      </c>
      <c r="Q304">
        <v>630</v>
      </c>
    </row>
    <row r="305" spans="3:17" x14ac:dyDescent="0.25">
      <c r="C305" s="15" t="s">
        <v>326</v>
      </c>
      <c r="D305" s="14" t="s">
        <v>14</v>
      </c>
      <c r="E305" s="14">
        <v>12.2899999999999</v>
      </c>
      <c r="F305" s="14">
        <v>1.4099999999999899</v>
      </c>
      <c r="G305" s="14">
        <v>1.98</v>
      </c>
      <c r="H305" s="14">
        <v>16</v>
      </c>
      <c r="I305" s="14">
        <v>85</v>
      </c>
      <c r="J305" s="14">
        <v>2.5499999999999901</v>
      </c>
      <c r="K305" s="14">
        <v>2.5</v>
      </c>
      <c r="L305" s="14">
        <v>0.28999999999999898</v>
      </c>
      <c r="M305" s="14">
        <v>1.77</v>
      </c>
      <c r="N305" s="14">
        <v>2.8999999999999901</v>
      </c>
      <c r="O305" s="14">
        <v>1.23</v>
      </c>
      <c r="P305" s="14">
        <v>2.74</v>
      </c>
      <c r="Q305">
        <v>428</v>
      </c>
    </row>
    <row r="306" spans="3:17" x14ac:dyDescent="0.25">
      <c r="C306" s="15" t="s">
        <v>399</v>
      </c>
      <c r="D306" s="14" t="s">
        <v>15</v>
      </c>
      <c r="E306" s="14">
        <v>12.1999999999999</v>
      </c>
      <c r="F306" s="14">
        <v>3.02999999999999</v>
      </c>
      <c r="G306" s="14">
        <v>2.3199999999999901</v>
      </c>
      <c r="H306" s="14">
        <v>19</v>
      </c>
      <c r="I306" s="14">
        <v>96</v>
      </c>
      <c r="J306" s="14">
        <v>1.25</v>
      </c>
      <c r="K306" s="14">
        <v>0.48999999999999899</v>
      </c>
      <c r="L306" s="14">
        <v>0.4</v>
      </c>
      <c r="M306" s="14">
        <v>0.72999999999999898</v>
      </c>
      <c r="N306" s="14">
        <v>5.5</v>
      </c>
      <c r="O306" s="14">
        <v>0.66</v>
      </c>
      <c r="P306" s="14">
        <v>1.83</v>
      </c>
      <c r="Q306">
        <v>510</v>
      </c>
    </row>
    <row r="307" spans="3:17" x14ac:dyDescent="0.25">
      <c r="C307" s="15" t="s">
        <v>357</v>
      </c>
      <c r="D307" s="14" t="s">
        <v>14</v>
      </c>
      <c r="E307" s="14">
        <v>12.3699999999999</v>
      </c>
      <c r="F307" s="14">
        <v>1.6299999999999899</v>
      </c>
      <c r="G307" s="14">
        <v>2.2999999999999901</v>
      </c>
      <c r="H307" s="14">
        <v>24.5</v>
      </c>
      <c r="I307" s="14">
        <v>88</v>
      </c>
      <c r="J307" s="14">
        <v>2.2200000000000002</v>
      </c>
      <c r="K307" s="14">
        <v>2.4500000000000002</v>
      </c>
      <c r="L307" s="14">
        <v>0.4</v>
      </c>
      <c r="M307" s="14">
        <v>1.8999999999999899</v>
      </c>
      <c r="N307" s="14">
        <v>2.12</v>
      </c>
      <c r="O307" s="14">
        <v>0.89</v>
      </c>
      <c r="P307" s="14">
        <v>2.77999999999999</v>
      </c>
      <c r="Q307">
        <v>342</v>
      </c>
    </row>
    <row r="308" spans="3:17" x14ac:dyDescent="0.25">
      <c r="C308" s="15" t="s">
        <v>338</v>
      </c>
      <c r="D308" s="14" t="s">
        <v>14</v>
      </c>
      <c r="E308" s="14">
        <v>11.6099999999999</v>
      </c>
      <c r="F308" s="14">
        <v>1.35</v>
      </c>
      <c r="G308" s="14">
        <v>2.7</v>
      </c>
      <c r="H308" s="14">
        <v>20</v>
      </c>
      <c r="I308" s="14">
        <v>94</v>
      </c>
      <c r="J308" s="14">
        <v>2.74</v>
      </c>
      <c r="K308" s="14">
        <v>2.9199999999999902</v>
      </c>
      <c r="L308" s="14">
        <v>0.28999999999999898</v>
      </c>
      <c r="M308" s="14">
        <v>2.4900000000000002</v>
      </c>
      <c r="N308" s="14">
        <v>2.6499999999999901</v>
      </c>
      <c r="O308" s="14">
        <v>0.95999999999999897</v>
      </c>
      <c r="P308" s="14">
        <v>3.25999999999999</v>
      </c>
      <c r="Q308">
        <v>680</v>
      </c>
    </row>
    <row r="309" spans="3:17" x14ac:dyDescent="0.25">
      <c r="C309" s="15" t="s">
        <v>248</v>
      </c>
      <c r="D309" s="14" t="s">
        <v>15</v>
      </c>
      <c r="E309" s="14">
        <v>13.4</v>
      </c>
      <c r="F309" s="14">
        <v>3.91</v>
      </c>
      <c r="G309" s="14">
        <v>2.48</v>
      </c>
      <c r="H309" s="14">
        <v>23</v>
      </c>
      <c r="I309" s="14">
        <v>102</v>
      </c>
      <c r="J309" s="14">
        <v>1.8</v>
      </c>
      <c r="K309" s="14">
        <v>0.75</v>
      </c>
      <c r="L309" s="14">
        <v>0.42999999999999899</v>
      </c>
      <c r="M309" s="14">
        <v>1.4099999999999899</v>
      </c>
      <c r="N309" s="14">
        <v>7.2999999999999901</v>
      </c>
      <c r="O309" s="14">
        <v>0.69999999999999896</v>
      </c>
      <c r="P309" s="14">
        <v>1.56</v>
      </c>
      <c r="Q309">
        <v>750</v>
      </c>
    </row>
    <row r="310" spans="3:17" x14ac:dyDescent="0.25">
      <c r="C310" s="15" t="s">
        <v>250</v>
      </c>
      <c r="D310" s="14" t="s">
        <v>15</v>
      </c>
      <c r="E310" s="14">
        <v>13.17</v>
      </c>
      <c r="F310" s="14">
        <v>2.5899999999999901</v>
      </c>
      <c r="G310" s="14">
        <v>2.37</v>
      </c>
      <c r="H310" s="14">
        <v>20</v>
      </c>
      <c r="I310" s="14">
        <v>120</v>
      </c>
      <c r="J310" s="14">
        <v>1.6499999999999899</v>
      </c>
      <c r="K310" s="14">
        <v>0.68</v>
      </c>
      <c r="L310" s="14">
        <v>0.53</v>
      </c>
      <c r="M310" s="14">
        <v>1.46</v>
      </c>
      <c r="N310" s="14">
        <v>9.3000000000000007</v>
      </c>
      <c r="O310" s="14">
        <v>0.59999999999999898</v>
      </c>
      <c r="P310" s="14">
        <v>1.62</v>
      </c>
      <c r="Q310">
        <v>840</v>
      </c>
    </row>
    <row r="311" spans="3:17" x14ac:dyDescent="0.25">
      <c r="C311" s="15" t="s">
        <v>246</v>
      </c>
      <c r="D311" s="14" t="s">
        <v>15</v>
      </c>
      <c r="E311" s="14">
        <v>14.16</v>
      </c>
      <c r="F311" s="14">
        <v>2.50999999999999</v>
      </c>
      <c r="G311" s="14">
        <v>2.48</v>
      </c>
      <c r="H311" s="14">
        <v>20</v>
      </c>
      <c r="I311" s="14">
        <v>91</v>
      </c>
      <c r="J311" s="14">
        <v>1.6799999999999899</v>
      </c>
      <c r="K311" s="14">
        <v>0.69999999999999896</v>
      </c>
      <c r="L311" s="14">
        <v>0.44</v>
      </c>
      <c r="M311" s="14">
        <v>1.24</v>
      </c>
      <c r="N311" s="14">
        <v>9.6999999999999904</v>
      </c>
      <c r="O311" s="14">
        <v>0.62</v>
      </c>
      <c r="P311" s="14">
        <v>1.71</v>
      </c>
      <c r="Q311">
        <v>660</v>
      </c>
    </row>
    <row r="312" spans="3:17" x14ac:dyDescent="0.25">
      <c r="C312" s="15" t="s">
        <v>272</v>
      </c>
      <c r="D312" s="14" t="s">
        <v>13</v>
      </c>
      <c r="E312" s="14">
        <v>13.24</v>
      </c>
      <c r="F312" s="14">
        <v>3.98</v>
      </c>
      <c r="G312" s="14">
        <v>2.29</v>
      </c>
      <c r="H312" s="14">
        <v>17.5</v>
      </c>
      <c r="I312" s="14">
        <v>103</v>
      </c>
      <c r="J312" s="14">
        <v>2.64</v>
      </c>
      <c r="K312" s="14">
        <v>2.6299999999999901</v>
      </c>
      <c r="L312" s="14">
        <v>0.32</v>
      </c>
      <c r="M312" s="14">
        <v>1.6599999999999899</v>
      </c>
      <c r="N312" s="14">
        <v>4.3600000000000003</v>
      </c>
      <c r="O312" s="14">
        <v>0.81999999999999895</v>
      </c>
      <c r="P312" s="14">
        <v>3</v>
      </c>
      <c r="Q312">
        <v>680</v>
      </c>
    </row>
    <row r="313" spans="3:17" x14ac:dyDescent="0.25">
      <c r="C313" s="15" t="s">
        <v>80</v>
      </c>
      <c r="D313" s="14" t="s">
        <v>13</v>
      </c>
      <c r="E313" s="14">
        <v>14.39</v>
      </c>
      <c r="F313" s="14">
        <v>1.87</v>
      </c>
      <c r="G313" s="14">
        <v>2.4500000000000002</v>
      </c>
      <c r="H313" s="14">
        <v>14.6</v>
      </c>
      <c r="I313" s="14">
        <v>96</v>
      </c>
      <c r="J313" s="14">
        <v>2.5</v>
      </c>
      <c r="K313" s="14">
        <v>2.52</v>
      </c>
      <c r="L313" s="14">
        <v>0.29999999999999899</v>
      </c>
      <c r="M313" s="14">
        <v>1.98</v>
      </c>
      <c r="N313" s="14">
        <v>5.25</v>
      </c>
      <c r="O313" s="14">
        <v>1.02</v>
      </c>
      <c r="P313" s="14">
        <v>3.58</v>
      </c>
      <c r="Q313">
        <v>1290</v>
      </c>
    </row>
    <row r="314" spans="3:17" x14ac:dyDescent="0.25">
      <c r="C314" s="15" t="s">
        <v>159</v>
      </c>
      <c r="D314" s="14" t="s">
        <v>14</v>
      </c>
      <c r="E314" s="14">
        <v>12.67</v>
      </c>
      <c r="F314" s="14">
        <v>0.97999999999999898</v>
      </c>
      <c r="G314" s="14">
        <v>2.2400000000000002</v>
      </c>
      <c r="H314" s="14">
        <v>18</v>
      </c>
      <c r="I314" s="14">
        <v>99</v>
      </c>
      <c r="J314" s="14">
        <v>2.2000000000000002</v>
      </c>
      <c r="K314" s="14">
        <v>1.93999999999999</v>
      </c>
      <c r="L314" s="14">
        <v>0.29999999999999899</v>
      </c>
      <c r="M314" s="14">
        <v>1.46</v>
      </c>
      <c r="N314" s="14">
        <v>2.62</v>
      </c>
      <c r="O314" s="14">
        <v>1.23</v>
      </c>
      <c r="P314" s="14">
        <v>3.16</v>
      </c>
      <c r="Q314">
        <v>450</v>
      </c>
    </row>
    <row r="315" spans="3:17" x14ac:dyDescent="0.25">
      <c r="C315" s="15" t="s">
        <v>364</v>
      </c>
      <c r="D315" s="14" t="s">
        <v>15</v>
      </c>
      <c r="E315" s="14">
        <v>12.6</v>
      </c>
      <c r="F315" s="14">
        <v>2.46</v>
      </c>
      <c r="G315" s="14">
        <v>2.2000000000000002</v>
      </c>
      <c r="H315" s="14">
        <v>18.5</v>
      </c>
      <c r="I315" s="14">
        <v>94</v>
      </c>
      <c r="J315" s="14">
        <v>1.62</v>
      </c>
      <c r="K315" s="14">
        <v>0.66</v>
      </c>
      <c r="L315" s="14">
        <v>0.63</v>
      </c>
      <c r="M315" s="14">
        <v>0.93999999999999895</v>
      </c>
      <c r="N315" s="14">
        <v>7.0999999999999899</v>
      </c>
      <c r="O315" s="14">
        <v>0.72999999999999898</v>
      </c>
      <c r="P315" s="14">
        <v>1.58</v>
      </c>
      <c r="Q315">
        <v>695</v>
      </c>
    </row>
    <row r="316" spans="3:17" x14ac:dyDescent="0.25">
      <c r="C316" s="15" t="s">
        <v>103</v>
      </c>
      <c r="D316" s="14" t="s">
        <v>13</v>
      </c>
      <c r="E316" s="14">
        <v>14.02</v>
      </c>
      <c r="F316" s="14">
        <v>1.6799999999999899</v>
      </c>
      <c r="G316" s="14">
        <v>2.21</v>
      </c>
      <c r="H316" s="14">
        <v>16</v>
      </c>
      <c r="I316" s="14">
        <v>96</v>
      </c>
      <c r="J316" s="14">
        <v>2.6499999999999901</v>
      </c>
      <c r="K316" s="14">
        <v>2.33</v>
      </c>
      <c r="L316" s="14">
        <v>0.26</v>
      </c>
      <c r="M316" s="14">
        <v>1.98</v>
      </c>
      <c r="N316" s="14">
        <v>4.7</v>
      </c>
      <c r="O316" s="14">
        <v>1.04</v>
      </c>
      <c r="P316" s="14">
        <v>3.5899999999999901</v>
      </c>
      <c r="Q316">
        <v>1035</v>
      </c>
    </row>
    <row r="317" spans="3:17" x14ac:dyDescent="0.25">
      <c r="C317" s="15" t="s">
        <v>140</v>
      </c>
      <c r="D317" s="14" t="s">
        <v>14</v>
      </c>
      <c r="E317" s="14">
        <v>13.1099999999999</v>
      </c>
      <c r="F317" s="14">
        <v>1.01</v>
      </c>
      <c r="G317" s="14">
        <v>1.7</v>
      </c>
      <c r="H317" s="14">
        <v>15</v>
      </c>
      <c r="I317" s="14">
        <v>78</v>
      </c>
      <c r="J317" s="14">
        <v>2.98</v>
      </c>
      <c r="K317" s="14">
        <v>3.18</v>
      </c>
      <c r="L317" s="14">
        <v>0.26</v>
      </c>
      <c r="M317" s="14">
        <v>2.27999999999999</v>
      </c>
      <c r="N317" s="14">
        <v>5.2999999999999901</v>
      </c>
      <c r="O317" s="14">
        <v>1.1200000000000001</v>
      </c>
      <c r="P317" s="14">
        <v>3.18</v>
      </c>
      <c r="Q317">
        <v>502</v>
      </c>
    </row>
    <row r="318" spans="3:17" x14ac:dyDescent="0.25">
      <c r="C318" s="15" t="s">
        <v>158</v>
      </c>
      <c r="D318" s="14" t="s">
        <v>14</v>
      </c>
      <c r="E318" s="14">
        <v>11.84</v>
      </c>
      <c r="F318" s="14">
        <v>0.89</v>
      </c>
      <c r="G318" s="14">
        <v>2.58</v>
      </c>
      <c r="H318" s="14">
        <v>18</v>
      </c>
      <c r="I318" s="14">
        <v>94</v>
      </c>
      <c r="J318" s="14">
        <v>2.2000000000000002</v>
      </c>
      <c r="K318" s="14">
        <v>2.21</v>
      </c>
      <c r="L318" s="14">
        <v>0.22</v>
      </c>
      <c r="M318" s="14">
        <v>2.35</v>
      </c>
      <c r="N318" s="14">
        <v>3.0499999999999901</v>
      </c>
      <c r="O318" s="14">
        <v>0.79</v>
      </c>
      <c r="P318" s="14">
        <v>3.08</v>
      </c>
      <c r="Q318">
        <v>520</v>
      </c>
    </row>
    <row r="319" spans="3:17" x14ac:dyDescent="0.25">
      <c r="C319" s="15" t="s">
        <v>344</v>
      </c>
      <c r="D319" s="14" t="s">
        <v>14</v>
      </c>
      <c r="E319" s="14">
        <v>11.0299999999999</v>
      </c>
      <c r="F319" s="14">
        <v>1.51</v>
      </c>
      <c r="G319" s="14">
        <v>2.2000000000000002</v>
      </c>
      <c r="H319" s="14">
        <v>21.5</v>
      </c>
      <c r="I319" s="14">
        <v>85</v>
      </c>
      <c r="J319" s="14">
        <v>2.46</v>
      </c>
      <c r="K319" s="14">
        <v>2.1699999999999902</v>
      </c>
      <c r="L319" s="14">
        <v>0.52</v>
      </c>
      <c r="M319" s="14">
        <v>2.00999999999999</v>
      </c>
      <c r="N319" s="14">
        <v>1.8999999999999899</v>
      </c>
      <c r="O319" s="14">
        <v>1.71</v>
      </c>
      <c r="P319" s="14">
        <v>2.87</v>
      </c>
      <c r="Q319">
        <v>407</v>
      </c>
    </row>
    <row r="320" spans="3:17" x14ac:dyDescent="0.25">
      <c r="C320" s="15" t="s">
        <v>210</v>
      </c>
      <c r="D320" s="14" t="s">
        <v>15</v>
      </c>
      <c r="E320" s="14">
        <v>12.25</v>
      </c>
      <c r="F320" s="14">
        <v>4.71999999999999</v>
      </c>
      <c r="G320" s="14">
        <v>2.54</v>
      </c>
      <c r="H320" s="14">
        <v>21</v>
      </c>
      <c r="I320" s="14">
        <v>89</v>
      </c>
      <c r="J320" s="14">
        <v>1.3799999999999899</v>
      </c>
      <c r="K320" s="14">
        <v>0.46999999999999897</v>
      </c>
      <c r="L320" s="14">
        <v>0.53</v>
      </c>
      <c r="M320" s="14">
        <v>0.8</v>
      </c>
      <c r="N320" s="14">
        <v>3.85</v>
      </c>
      <c r="O320" s="14">
        <v>0.75</v>
      </c>
      <c r="P320" s="14">
        <v>1.27</v>
      </c>
      <c r="Q320">
        <v>720</v>
      </c>
    </row>
    <row r="321" spans="3:17" x14ac:dyDescent="0.25">
      <c r="C321" s="15" t="s">
        <v>148</v>
      </c>
      <c r="D321" s="14" t="s">
        <v>14</v>
      </c>
      <c r="E321" s="14">
        <v>11.96</v>
      </c>
      <c r="F321" s="14">
        <v>1.0900000000000001</v>
      </c>
      <c r="G321" s="14">
        <v>2.2999999999999901</v>
      </c>
      <c r="H321" s="14">
        <v>21</v>
      </c>
      <c r="I321" s="14">
        <v>101</v>
      </c>
      <c r="J321" s="14">
        <v>3.3799999999999901</v>
      </c>
      <c r="K321" s="14">
        <v>2.14</v>
      </c>
      <c r="L321" s="14">
        <v>0.13</v>
      </c>
      <c r="M321" s="14">
        <v>1.6499999999999899</v>
      </c>
      <c r="N321" s="14">
        <v>3.21</v>
      </c>
      <c r="O321" s="14">
        <v>0.98999999999999899</v>
      </c>
      <c r="P321" s="14">
        <v>3.1299999999999901</v>
      </c>
      <c r="Q321">
        <v>886</v>
      </c>
    </row>
    <row r="322" spans="3:17" x14ac:dyDescent="0.25">
      <c r="C322" s="15" t="s">
        <v>184</v>
      </c>
      <c r="D322" s="14" t="s">
        <v>14</v>
      </c>
      <c r="E322" s="14">
        <v>11.46</v>
      </c>
      <c r="F322" s="14">
        <v>3.74</v>
      </c>
      <c r="G322" s="14">
        <v>1.82</v>
      </c>
      <c r="H322" s="14">
        <v>19.5</v>
      </c>
      <c r="I322" s="14">
        <v>107</v>
      </c>
      <c r="J322" s="14">
        <v>3.18</v>
      </c>
      <c r="K322" s="14">
        <v>2.58</v>
      </c>
      <c r="L322" s="14">
        <v>0.23999999999999899</v>
      </c>
      <c r="M322" s="14">
        <v>3.58</v>
      </c>
      <c r="N322" s="14">
        <v>2.8999999999999901</v>
      </c>
      <c r="O322" s="14">
        <v>0.75</v>
      </c>
      <c r="P322" s="14">
        <v>2.81</v>
      </c>
      <c r="Q322">
        <v>562</v>
      </c>
    </row>
    <row r="323" spans="3:17" x14ac:dyDescent="0.25">
      <c r="C323" s="15" t="s">
        <v>125</v>
      </c>
      <c r="D323" s="14" t="s">
        <v>13</v>
      </c>
      <c r="E323" s="14">
        <v>13.83</v>
      </c>
      <c r="F323" s="14">
        <v>1.6499999999999899</v>
      </c>
      <c r="G323" s="14">
        <v>2.6</v>
      </c>
      <c r="H323" s="14">
        <v>17.1999999999999</v>
      </c>
      <c r="I323" s="14">
        <v>94</v>
      </c>
      <c r="J323" s="14">
        <v>2.4500000000000002</v>
      </c>
      <c r="K323" s="14">
        <v>2.99</v>
      </c>
      <c r="L323" s="14">
        <v>0.22</v>
      </c>
      <c r="M323" s="14">
        <v>2.29</v>
      </c>
      <c r="N323" s="14">
        <v>5.5999999999999899</v>
      </c>
      <c r="O323" s="14">
        <v>1.24</v>
      </c>
      <c r="P323" s="14">
        <v>3.37</v>
      </c>
      <c r="Q323">
        <v>1265</v>
      </c>
    </row>
    <row r="324" spans="3:17" x14ac:dyDescent="0.25">
      <c r="C324" s="15" t="s">
        <v>113</v>
      </c>
      <c r="D324" s="14" t="s">
        <v>13</v>
      </c>
      <c r="E324" s="14">
        <v>14.22</v>
      </c>
      <c r="F324" s="14">
        <v>3.99</v>
      </c>
      <c r="G324" s="14">
        <v>2.50999999999999</v>
      </c>
      <c r="H324" s="14">
        <v>13.1999999999999</v>
      </c>
      <c r="I324" s="14">
        <v>128</v>
      </c>
      <c r="J324" s="14">
        <v>3</v>
      </c>
      <c r="K324" s="14">
        <v>3.04</v>
      </c>
      <c r="L324" s="14">
        <v>0.2</v>
      </c>
      <c r="M324" s="14">
        <v>2.08</v>
      </c>
      <c r="N324" s="14">
        <v>5.0999999999999899</v>
      </c>
      <c r="O324" s="14">
        <v>0.89</v>
      </c>
      <c r="P324" s="14">
        <v>3.52999999999999</v>
      </c>
      <c r="Q324">
        <v>760</v>
      </c>
    </row>
    <row r="325" spans="3:17" x14ac:dyDescent="0.25">
      <c r="C325" s="15" t="s">
        <v>385</v>
      </c>
      <c r="D325" s="14" t="s">
        <v>15</v>
      </c>
      <c r="E325" s="14">
        <v>13.84</v>
      </c>
      <c r="F325" s="14">
        <v>4.12</v>
      </c>
      <c r="G325" s="14">
        <v>2.3799999999999901</v>
      </c>
      <c r="H325" s="14">
        <v>19.5</v>
      </c>
      <c r="I325" s="14">
        <v>89</v>
      </c>
      <c r="J325" s="14">
        <v>1.8</v>
      </c>
      <c r="K325" s="14">
        <v>0.82999999999999896</v>
      </c>
      <c r="L325" s="14">
        <v>0.47999999999999898</v>
      </c>
      <c r="M325" s="14">
        <v>1.56</v>
      </c>
      <c r="N325" s="14">
        <v>9.0099999999999891</v>
      </c>
      <c r="O325" s="14">
        <v>0.56999999999999895</v>
      </c>
      <c r="P325" s="14">
        <v>1.6399999999999899</v>
      </c>
      <c r="Q325">
        <v>480</v>
      </c>
    </row>
    <row r="326" spans="3:17" x14ac:dyDescent="0.25">
      <c r="C326" s="15" t="s">
        <v>299</v>
      </c>
      <c r="D326" s="14" t="s">
        <v>14</v>
      </c>
      <c r="E326" s="14">
        <v>12.2899999999999</v>
      </c>
      <c r="F326" s="14">
        <v>1.61</v>
      </c>
      <c r="G326" s="14">
        <v>2.21</v>
      </c>
      <c r="H326" s="14">
        <v>20.399999999999899</v>
      </c>
      <c r="I326" s="14">
        <v>103</v>
      </c>
      <c r="J326" s="14">
        <v>1.1000000000000001</v>
      </c>
      <c r="K326" s="14">
        <v>1.02</v>
      </c>
      <c r="L326" s="14">
        <v>0.37</v>
      </c>
      <c r="M326" s="14">
        <v>1.46</v>
      </c>
      <c r="N326" s="14">
        <v>3.0499999999999901</v>
      </c>
      <c r="O326" s="14">
        <v>0.90600000000000003</v>
      </c>
      <c r="P326" s="14">
        <v>1.82</v>
      </c>
      <c r="Q326">
        <v>870</v>
      </c>
    </row>
    <row r="327" spans="3:17" x14ac:dyDescent="0.25">
      <c r="C327" s="15" t="s">
        <v>166</v>
      </c>
      <c r="D327" s="14" t="s">
        <v>14</v>
      </c>
      <c r="E327" s="14">
        <v>12.69</v>
      </c>
      <c r="F327" s="14">
        <v>1.53</v>
      </c>
      <c r="G327" s="14">
        <v>2.25999999999999</v>
      </c>
      <c r="H327" s="14">
        <v>20.6999999999999</v>
      </c>
      <c r="I327" s="14">
        <v>80</v>
      </c>
      <c r="J327" s="14">
        <v>1.3799999999999899</v>
      </c>
      <c r="K327" s="14">
        <v>1.46</v>
      </c>
      <c r="L327" s="14">
        <v>0.57999999999999896</v>
      </c>
      <c r="M327" s="14">
        <v>1.62</v>
      </c>
      <c r="N327" s="14">
        <v>3.0499999999999901</v>
      </c>
      <c r="O327" s="14">
        <v>0.95999999999999897</v>
      </c>
      <c r="P327" s="14">
        <v>2.06</v>
      </c>
      <c r="Q327">
        <v>495</v>
      </c>
    </row>
    <row r="328" spans="3:17" x14ac:dyDescent="0.25">
      <c r="C328" s="15" t="s">
        <v>289</v>
      </c>
      <c r="D328" s="14" t="s">
        <v>14</v>
      </c>
      <c r="E328" s="14">
        <v>12.33</v>
      </c>
      <c r="F328" s="14">
        <v>1.1000000000000001</v>
      </c>
      <c r="G328" s="14">
        <v>2.27999999999999</v>
      </c>
      <c r="H328" s="14">
        <v>16</v>
      </c>
      <c r="I328" s="14">
        <v>101</v>
      </c>
      <c r="J328" s="14">
        <v>2.0499999999999901</v>
      </c>
      <c r="K328" s="14">
        <v>1.0900000000000001</v>
      </c>
      <c r="L328" s="14">
        <v>0.63</v>
      </c>
      <c r="M328" s="14">
        <v>0.40999999999999898</v>
      </c>
      <c r="N328" s="14">
        <v>3.27</v>
      </c>
      <c r="O328" s="14">
        <v>1.25</v>
      </c>
      <c r="P328" s="14">
        <v>1.6699999999999899</v>
      </c>
      <c r="Q328">
        <v>680</v>
      </c>
    </row>
    <row r="329" spans="3:17" x14ac:dyDescent="0.25">
      <c r="C329" s="15" t="s">
        <v>176</v>
      </c>
      <c r="D329" s="14" t="s">
        <v>14</v>
      </c>
      <c r="E329" s="14">
        <v>12.34</v>
      </c>
      <c r="F329" s="14">
        <v>2.4500000000000002</v>
      </c>
      <c r="G329" s="14">
        <v>2.46</v>
      </c>
      <c r="H329" s="14">
        <v>21</v>
      </c>
      <c r="I329" s="14">
        <v>98</v>
      </c>
      <c r="J329" s="14">
        <v>2.56</v>
      </c>
      <c r="K329" s="14">
        <v>2.1099999999999901</v>
      </c>
      <c r="L329" s="14">
        <v>0.34</v>
      </c>
      <c r="M329" s="14">
        <v>1.31</v>
      </c>
      <c r="N329" s="14">
        <v>2.7999999999999901</v>
      </c>
      <c r="O329" s="14">
        <v>0.8</v>
      </c>
      <c r="P329" s="14">
        <v>3.3799999999999901</v>
      </c>
      <c r="Q329">
        <v>438</v>
      </c>
    </row>
    <row r="330" spans="3:17" x14ac:dyDescent="0.25">
      <c r="C330" s="15" t="s">
        <v>204</v>
      </c>
      <c r="D330" s="14" t="s">
        <v>15</v>
      </c>
      <c r="E330" s="14">
        <v>12.8599999999999</v>
      </c>
      <c r="F330" s="14">
        <v>1.35</v>
      </c>
      <c r="G330" s="14">
        <v>2.3199999999999901</v>
      </c>
      <c r="H330" s="14">
        <v>18</v>
      </c>
      <c r="I330" s="14">
        <v>122</v>
      </c>
      <c r="J330" s="14">
        <v>1.51</v>
      </c>
      <c r="K330" s="14">
        <v>1.25</v>
      </c>
      <c r="L330" s="14">
        <v>0.20999999999999899</v>
      </c>
      <c r="M330" s="14">
        <v>0.93999999999999895</v>
      </c>
      <c r="N330" s="14">
        <v>4.0999999999999899</v>
      </c>
      <c r="O330" s="14">
        <v>0.76</v>
      </c>
      <c r="P330" s="14">
        <v>1.29</v>
      </c>
      <c r="Q330">
        <v>630</v>
      </c>
    </row>
    <row r="331" spans="3:17" x14ac:dyDescent="0.25">
      <c r="C331" s="15" t="s">
        <v>374</v>
      </c>
      <c r="D331" s="14" t="s">
        <v>15</v>
      </c>
      <c r="E331" s="14">
        <v>13.16</v>
      </c>
      <c r="F331" s="14">
        <v>3.5699999999999901</v>
      </c>
      <c r="G331" s="14">
        <v>2.1499999999999901</v>
      </c>
      <c r="H331" s="14">
        <v>21</v>
      </c>
      <c r="I331" s="14">
        <v>102</v>
      </c>
      <c r="J331" s="14">
        <v>1.5</v>
      </c>
      <c r="K331" s="14">
        <v>0.55000000000000004</v>
      </c>
      <c r="L331" s="14">
        <v>0.42999999999999899</v>
      </c>
      <c r="M331" s="14">
        <v>1.3</v>
      </c>
      <c r="N331" s="14">
        <v>4</v>
      </c>
      <c r="O331" s="14">
        <v>0.59999999999999898</v>
      </c>
      <c r="P331" s="14">
        <v>1.6799999999999899</v>
      </c>
      <c r="Q331">
        <v>830</v>
      </c>
    </row>
    <row r="332" spans="3:17" x14ac:dyDescent="0.25">
      <c r="C332" s="15" t="s">
        <v>300</v>
      </c>
      <c r="D332" s="14" t="s">
        <v>14</v>
      </c>
      <c r="E332" s="14">
        <v>13.8599999999999</v>
      </c>
      <c r="F332" s="14">
        <v>1.51</v>
      </c>
      <c r="G332" s="14">
        <v>2.6699999999999902</v>
      </c>
      <c r="H332" s="14">
        <v>25</v>
      </c>
      <c r="I332" s="14">
        <v>86</v>
      </c>
      <c r="J332" s="14">
        <v>2.95</v>
      </c>
      <c r="K332" s="14">
        <v>2.8599999999999901</v>
      </c>
      <c r="L332" s="14">
        <v>0.20999999999999899</v>
      </c>
      <c r="M332" s="14">
        <v>1.87</v>
      </c>
      <c r="N332" s="14">
        <v>3.3799999999999901</v>
      </c>
      <c r="O332" s="14">
        <v>1.36</v>
      </c>
      <c r="P332" s="14">
        <v>3.16</v>
      </c>
      <c r="Q332">
        <v>410</v>
      </c>
    </row>
    <row r="333" spans="3:17" x14ac:dyDescent="0.25">
      <c r="C333" s="15" t="s">
        <v>279</v>
      </c>
      <c r="D333" s="14" t="s">
        <v>13</v>
      </c>
      <c r="E333" s="14">
        <v>13.05</v>
      </c>
      <c r="F333" s="14">
        <v>1.73</v>
      </c>
      <c r="G333" s="14">
        <v>2.04</v>
      </c>
      <c r="H333" s="14">
        <v>12.4</v>
      </c>
      <c r="I333" s="14">
        <v>92</v>
      </c>
      <c r="J333" s="14">
        <v>2.72</v>
      </c>
      <c r="K333" s="14">
        <v>3.27</v>
      </c>
      <c r="L333" s="14">
        <v>0.17</v>
      </c>
      <c r="M333" s="14">
        <v>2.91</v>
      </c>
      <c r="N333" s="14">
        <v>7.2</v>
      </c>
      <c r="O333" s="14">
        <v>1.1200000000000001</v>
      </c>
      <c r="P333" s="14">
        <v>2.91</v>
      </c>
      <c r="Q333">
        <v>1150</v>
      </c>
    </row>
    <row r="334" spans="3:17" x14ac:dyDescent="0.25">
      <c r="C334" s="15" t="s">
        <v>225</v>
      </c>
      <c r="D334" s="14" t="s">
        <v>15</v>
      </c>
      <c r="E334" s="14">
        <v>12.7899999999999</v>
      </c>
      <c r="F334" s="14">
        <v>2.6699999999999902</v>
      </c>
      <c r="G334" s="14">
        <v>2.48</v>
      </c>
      <c r="H334" s="14">
        <v>22</v>
      </c>
      <c r="I334" s="14">
        <v>112</v>
      </c>
      <c r="J334" s="14">
        <v>1.48</v>
      </c>
      <c r="K334" s="14">
        <v>1.36</v>
      </c>
      <c r="L334" s="14">
        <v>0.23999999999999899</v>
      </c>
      <c r="M334" s="14">
        <v>1.26</v>
      </c>
      <c r="N334" s="14">
        <v>10.8</v>
      </c>
      <c r="O334" s="14">
        <v>0.47999999999999898</v>
      </c>
      <c r="P334" s="14">
        <v>1.47</v>
      </c>
      <c r="Q334">
        <v>480</v>
      </c>
    </row>
    <row r="335" spans="3:17" x14ac:dyDescent="0.25">
      <c r="C335" s="15" t="s">
        <v>286</v>
      </c>
      <c r="D335" s="14" t="s">
        <v>13</v>
      </c>
      <c r="E335" s="14">
        <v>13.2899999999999</v>
      </c>
      <c r="F335" s="14">
        <v>1.97</v>
      </c>
      <c r="G335" s="14">
        <v>2.68</v>
      </c>
      <c r="H335" s="14">
        <v>16.8</v>
      </c>
      <c r="I335" s="14">
        <v>102</v>
      </c>
      <c r="J335" s="14">
        <v>3</v>
      </c>
      <c r="K335" s="14">
        <v>3.23</v>
      </c>
      <c r="L335" s="14">
        <v>0.31</v>
      </c>
      <c r="M335" s="14">
        <v>1.6599999999999899</v>
      </c>
      <c r="N335" s="14">
        <v>6</v>
      </c>
      <c r="O335" s="14">
        <v>1.07</v>
      </c>
      <c r="P335" s="14">
        <v>2.8399999999999901</v>
      </c>
      <c r="Q335">
        <v>1270</v>
      </c>
    </row>
    <row r="336" spans="3:17" x14ac:dyDescent="0.25">
      <c r="C336" s="15" t="s">
        <v>119</v>
      </c>
      <c r="D336" s="14" t="s">
        <v>13</v>
      </c>
      <c r="E336" s="14">
        <v>14.21</v>
      </c>
      <c r="F336" s="14">
        <v>4.04</v>
      </c>
      <c r="G336" s="14">
        <v>2.4399999999999902</v>
      </c>
      <c r="H336" s="14">
        <v>18.899999999999899</v>
      </c>
      <c r="I336" s="14">
        <v>111</v>
      </c>
      <c r="J336" s="14">
        <v>2.85</v>
      </c>
      <c r="K336" s="14">
        <v>2.6499999999999901</v>
      </c>
      <c r="L336" s="14">
        <v>0.29999999999999899</v>
      </c>
      <c r="M336" s="14">
        <v>1.25</v>
      </c>
      <c r="N336" s="14">
        <v>5.24</v>
      </c>
      <c r="O336" s="14">
        <v>0.87</v>
      </c>
      <c r="P336" s="14">
        <v>3.33</v>
      </c>
      <c r="Q336">
        <v>1080</v>
      </c>
    </row>
    <row r="337" spans="3:17" x14ac:dyDescent="0.25">
      <c r="C337" s="15" t="s">
        <v>82</v>
      </c>
      <c r="D337" s="14" t="s">
        <v>13</v>
      </c>
      <c r="E337" s="14">
        <v>14.83</v>
      </c>
      <c r="F337" s="14">
        <v>1.6399999999999899</v>
      </c>
      <c r="G337" s="14">
        <v>2.1699999999999902</v>
      </c>
      <c r="H337" s="14">
        <v>14</v>
      </c>
      <c r="I337" s="14">
        <v>97</v>
      </c>
      <c r="J337" s="14">
        <v>2.7999999999999901</v>
      </c>
      <c r="K337" s="14">
        <v>2.98</v>
      </c>
      <c r="L337" s="14">
        <v>0.28999999999999898</v>
      </c>
      <c r="M337" s="14">
        <v>1.98</v>
      </c>
      <c r="N337" s="14">
        <v>5.2</v>
      </c>
      <c r="O337" s="14">
        <v>1.08</v>
      </c>
      <c r="P337" s="14">
        <v>2.85</v>
      </c>
      <c r="Q337">
        <v>1045</v>
      </c>
    </row>
    <row r="338" spans="3:17" x14ac:dyDescent="0.25">
      <c r="C338" s="15" t="s">
        <v>304</v>
      </c>
      <c r="D338" s="14" t="s">
        <v>14</v>
      </c>
      <c r="E338" s="14">
        <v>11.66</v>
      </c>
      <c r="F338" s="14">
        <v>1.8799999999999899</v>
      </c>
      <c r="G338" s="14">
        <v>1.9199999999999899</v>
      </c>
      <c r="H338" s="14">
        <v>16</v>
      </c>
      <c r="I338" s="14">
        <v>97</v>
      </c>
      <c r="J338" s="14">
        <v>1.61</v>
      </c>
      <c r="K338" s="14">
        <v>1.57</v>
      </c>
      <c r="L338" s="14">
        <v>0.34</v>
      </c>
      <c r="M338" s="14">
        <v>1.1499999999999899</v>
      </c>
      <c r="N338" s="14">
        <v>3.7999999999999901</v>
      </c>
      <c r="O338" s="14">
        <v>1.23</v>
      </c>
      <c r="P338" s="14">
        <v>2.14</v>
      </c>
      <c r="Q338">
        <v>428</v>
      </c>
    </row>
    <row r="339" spans="3:17" x14ac:dyDescent="0.25">
      <c r="C339" s="15" t="s">
        <v>163</v>
      </c>
      <c r="D339" s="14" t="s">
        <v>14</v>
      </c>
      <c r="E339" s="14">
        <v>12.08</v>
      </c>
      <c r="F339" s="14">
        <v>1.33</v>
      </c>
      <c r="G339" s="14">
        <v>2.2999999999999901</v>
      </c>
      <c r="H339" s="14">
        <v>23.6</v>
      </c>
      <c r="I339" s="14">
        <v>70</v>
      </c>
      <c r="J339" s="14">
        <v>2.2000000000000002</v>
      </c>
      <c r="K339" s="14">
        <v>1.59</v>
      </c>
      <c r="L339" s="14">
        <v>0.41999999999999899</v>
      </c>
      <c r="M339" s="14">
        <v>1.3799999999999899</v>
      </c>
      <c r="N339" s="14">
        <v>1.74</v>
      </c>
      <c r="O339" s="14">
        <v>1.07</v>
      </c>
      <c r="P339" s="14">
        <v>3.21</v>
      </c>
      <c r="Q339">
        <v>625</v>
      </c>
    </row>
    <row r="340" spans="3:17" x14ac:dyDescent="0.25">
      <c r="C340" s="15" t="s">
        <v>152</v>
      </c>
      <c r="D340" s="14" t="s">
        <v>14</v>
      </c>
      <c r="E340" s="14">
        <v>12.33</v>
      </c>
      <c r="F340" s="14">
        <v>0.98999999999999899</v>
      </c>
      <c r="G340" s="14">
        <v>1.95</v>
      </c>
      <c r="H340" s="14">
        <v>14.8</v>
      </c>
      <c r="I340" s="14">
        <v>136</v>
      </c>
      <c r="J340" s="14">
        <v>1.8999999999999899</v>
      </c>
      <c r="K340" s="14">
        <v>1.85</v>
      </c>
      <c r="L340" s="14">
        <v>0.34999999999999898</v>
      </c>
      <c r="M340" s="14">
        <v>2.75999999999999</v>
      </c>
      <c r="N340" s="14">
        <v>3.3999999999999901</v>
      </c>
      <c r="O340" s="14">
        <v>1.06</v>
      </c>
      <c r="P340" s="14">
        <v>2.31</v>
      </c>
      <c r="Q340">
        <v>750</v>
      </c>
    </row>
    <row r="341" spans="3:17" x14ac:dyDescent="0.25">
      <c r="C341" s="15" t="s">
        <v>197</v>
      </c>
      <c r="D341" s="14" t="s">
        <v>14</v>
      </c>
      <c r="E341" s="14">
        <v>13.05</v>
      </c>
      <c r="F341" s="14">
        <v>5.7999999999999901</v>
      </c>
      <c r="G341" s="14">
        <v>2.1299999999999901</v>
      </c>
      <c r="H341" s="14">
        <v>21.5</v>
      </c>
      <c r="I341" s="14">
        <v>86</v>
      </c>
      <c r="J341" s="14">
        <v>2.62</v>
      </c>
      <c r="K341" s="14">
        <v>2.6499999999999901</v>
      </c>
      <c r="L341" s="14">
        <v>0.29999999999999899</v>
      </c>
      <c r="M341" s="14">
        <v>2.00999999999999</v>
      </c>
      <c r="N341" s="14">
        <v>2.6</v>
      </c>
      <c r="O341" s="14">
        <v>0.72999999999999898</v>
      </c>
      <c r="P341" s="14">
        <v>3.1</v>
      </c>
      <c r="Q341">
        <v>380</v>
      </c>
    </row>
    <row r="342" spans="3:17" x14ac:dyDescent="0.25">
      <c r="C342" s="15" t="s">
        <v>378</v>
      </c>
      <c r="D342" s="14" t="s">
        <v>15</v>
      </c>
      <c r="E342" s="14">
        <v>13.08</v>
      </c>
      <c r="F342" s="14">
        <v>3.8999999999999901</v>
      </c>
      <c r="G342" s="14">
        <v>2.3599999999999901</v>
      </c>
      <c r="H342" s="14">
        <v>21.5</v>
      </c>
      <c r="I342" s="14">
        <v>113</v>
      </c>
      <c r="J342" s="14">
        <v>1.4099999999999899</v>
      </c>
      <c r="K342" s="14">
        <v>1.3899999999999899</v>
      </c>
      <c r="L342" s="14">
        <v>0.34</v>
      </c>
      <c r="M342" s="14">
        <v>1.1399999999999899</v>
      </c>
      <c r="N342" s="14">
        <v>9.4</v>
      </c>
      <c r="O342" s="14">
        <v>0.56999999999999895</v>
      </c>
      <c r="P342" s="14">
        <v>1.33</v>
      </c>
      <c r="Q342">
        <v>550</v>
      </c>
    </row>
    <row r="343" spans="3:17" x14ac:dyDescent="0.25">
      <c r="C343" s="15" t="s">
        <v>233</v>
      </c>
      <c r="D343" s="14" t="s">
        <v>15</v>
      </c>
      <c r="E343" s="14">
        <v>13.48</v>
      </c>
      <c r="F343" s="14">
        <v>1.6699999999999899</v>
      </c>
      <c r="G343" s="14">
        <v>2.64</v>
      </c>
      <c r="H343" s="14">
        <v>22.5</v>
      </c>
      <c r="I343" s="14">
        <v>89</v>
      </c>
      <c r="J343" s="14">
        <v>2.6</v>
      </c>
      <c r="K343" s="14">
        <v>1.1000000000000001</v>
      </c>
      <c r="L343" s="14">
        <v>0.52</v>
      </c>
      <c r="M343" s="14">
        <v>2.29</v>
      </c>
      <c r="N343" s="14">
        <v>11.75</v>
      </c>
      <c r="O343" s="14">
        <v>0.56999999999999895</v>
      </c>
      <c r="P343" s="14">
        <v>1.78</v>
      </c>
      <c r="Q343">
        <v>620</v>
      </c>
    </row>
    <row r="344" spans="3:17" x14ac:dyDescent="0.25">
      <c r="C344" s="15" t="s">
        <v>346</v>
      </c>
      <c r="D344" s="14" t="s">
        <v>14</v>
      </c>
      <c r="E344" s="14">
        <v>12.42</v>
      </c>
      <c r="F344" s="14">
        <v>1.61</v>
      </c>
      <c r="G344" s="14">
        <v>2.1899999999999902</v>
      </c>
      <c r="H344" s="14">
        <v>22.5</v>
      </c>
      <c r="I344" s="14">
        <v>108</v>
      </c>
      <c r="J344" s="14">
        <v>2</v>
      </c>
      <c r="K344" s="14">
        <v>2.0899999999999901</v>
      </c>
      <c r="L344" s="14">
        <v>0.34</v>
      </c>
      <c r="M344" s="14">
        <v>1.61</v>
      </c>
      <c r="N344" s="14">
        <v>2.06</v>
      </c>
      <c r="O344" s="14">
        <v>1.06</v>
      </c>
      <c r="P344" s="14">
        <v>2.96</v>
      </c>
      <c r="Q344">
        <v>345</v>
      </c>
    </row>
    <row r="345" spans="3:17" x14ac:dyDescent="0.25">
      <c r="C345" s="15" t="s">
        <v>271</v>
      </c>
      <c r="D345" s="14" t="s">
        <v>13</v>
      </c>
      <c r="E345" s="14">
        <v>13.88</v>
      </c>
      <c r="F345" s="14">
        <v>1.8899999999999899</v>
      </c>
      <c r="G345" s="14">
        <v>2.5899999999999901</v>
      </c>
      <c r="H345" s="14">
        <v>15</v>
      </c>
      <c r="I345" s="14">
        <v>101</v>
      </c>
      <c r="J345" s="14">
        <v>3.25</v>
      </c>
      <c r="K345" s="14">
        <v>3.56</v>
      </c>
      <c r="L345" s="14">
        <v>0.17</v>
      </c>
      <c r="M345" s="14">
        <v>1.7</v>
      </c>
      <c r="N345" s="14">
        <v>5.4299999999999899</v>
      </c>
      <c r="O345" s="14">
        <v>0.88</v>
      </c>
      <c r="P345" s="14">
        <v>3.56</v>
      </c>
      <c r="Q345">
        <v>1095</v>
      </c>
    </row>
    <row r="346" spans="3:17" x14ac:dyDescent="0.25">
      <c r="C346" s="15" t="s">
        <v>228</v>
      </c>
      <c r="D346" s="14" t="s">
        <v>15</v>
      </c>
      <c r="E346" s="14">
        <v>12.58</v>
      </c>
      <c r="F346" s="14">
        <v>1.29</v>
      </c>
      <c r="G346" s="14">
        <v>2.1</v>
      </c>
      <c r="H346" s="14">
        <v>20</v>
      </c>
      <c r="I346" s="14">
        <v>103</v>
      </c>
      <c r="J346" s="14">
        <v>1.48</v>
      </c>
      <c r="K346" s="14">
        <v>0.57999999999999896</v>
      </c>
      <c r="L346" s="14">
        <v>0.53</v>
      </c>
      <c r="M346" s="14">
        <v>1.3999999999999899</v>
      </c>
      <c r="N346" s="14">
        <v>7.5999999999999899</v>
      </c>
      <c r="O346" s="14">
        <v>0.57999999999999896</v>
      </c>
      <c r="P346" s="14">
        <v>1.55</v>
      </c>
      <c r="Q346">
        <v>640</v>
      </c>
    </row>
    <row r="347" spans="3:17" x14ac:dyDescent="0.25">
      <c r="C347" s="15" t="s">
        <v>200</v>
      </c>
      <c r="D347" s="14" t="s">
        <v>14</v>
      </c>
      <c r="E347" s="14">
        <v>12.43</v>
      </c>
      <c r="F347" s="14">
        <v>1.53</v>
      </c>
      <c r="G347" s="14">
        <v>2.29</v>
      </c>
      <c r="H347" s="14">
        <v>21.5</v>
      </c>
      <c r="I347" s="14">
        <v>86</v>
      </c>
      <c r="J347" s="14">
        <v>2.74</v>
      </c>
      <c r="K347" s="14">
        <v>3.1499999999999901</v>
      </c>
      <c r="L347" s="14">
        <v>0.39</v>
      </c>
      <c r="M347" s="14">
        <v>1.77</v>
      </c>
      <c r="N347" s="14">
        <v>3.9399999999999902</v>
      </c>
      <c r="O347" s="14">
        <v>0.68999999999999895</v>
      </c>
      <c r="P347" s="14">
        <v>2.8399999999999901</v>
      </c>
      <c r="Q347">
        <v>352</v>
      </c>
    </row>
    <row r="348" spans="3:17" x14ac:dyDescent="0.25">
      <c r="C348" s="15" t="s">
        <v>270</v>
      </c>
      <c r="D348" s="14" t="s">
        <v>13</v>
      </c>
      <c r="E348" s="14">
        <v>13.41</v>
      </c>
      <c r="F348" s="14">
        <v>3.8399999999999901</v>
      </c>
      <c r="G348" s="14">
        <v>2.12</v>
      </c>
      <c r="H348" s="14">
        <v>18.8</v>
      </c>
      <c r="I348" s="14">
        <v>90</v>
      </c>
      <c r="J348" s="14">
        <v>2.4500000000000002</v>
      </c>
      <c r="K348" s="14">
        <v>2.68</v>
      </c>
      <c r="L348" s="14">
        <v>0.27</v>
      </c>
      <c r="M348" s="14">
        <v>1.48</v>
      </c>
      <c r="N348" s="14">
        <v>4.28</v>
      </c>
      <c r="O348" s="14">
        <v>0.91</v>
      </c>
      <c r="P348" s="14">
        <v>3</v>
      </c>
      <c r="Q348">
        <v>1035</v>
      </c>
    </row>
    <row r="349" spans="3:17" x14ac:dyDescent="0.25">
      <c r="C349" s="15" t="s">
        <v>208</v>
      </c>
      <c r="D349" s="14" t="s">
        <v>15</v>
      </c>
      <c r="E349" s="14">
        <v>12.51</v>
      </c>
      <c r="F349" s="14">
        <v>1.24</v>
      </c>
      <c r="G349" s="14">
        <v>2.25</v>
      </c>
      <c r="H349" s="14">
        <v>17.5</v>
      </c>
      <c r="I349" s="14">
        <v>85</v>
      </c>
      <c r="J349" s="14">
        <v>2</v>
      </c>
      <c r="K349" s="14">
        <v>0.57999999999999896</v>
      </c>
      <c r="L349" s="14">
        <v>0.59999999999999898</v>
      </c>
      <c r="M349" s="14">
        <v>1.25</v>
      </c>
      <c r="N349" s="14">
        <v>5.45</v>
      </c>
      <c r="O349" s="14">
        <v>0.75</v>
      </c>
      <c r="P349" s="14">
        <v>1.51</v>
      </c>
      <c r="Q349">
        <v>650</v>
      </c>
    </row>
    <row r="350" spans="3:17" x14ac:dyDescent="0.25">
      <c r="C350" s="15" t="s">
        <v>253</v>
      </c>
      <c r="D350" s="14" t="s">
        <v>13</v>
      </c>
      <c r="E350" s="14">
        <v>13.5</v>
      </c>
      <c r="F350" s="14">
        <v>1.81</v>
      </c>
      <c r="G350" s="14">
        <v>2.6099999999999901</v>
      </c>
      <c r="H350" s="14">
        <v>20</v>
      </c>
      <c r="I350" s="14">
        <v>96</v>
      </c>
      <c r="J350" s="14">
        <v>2.52999999999999</v>
      </c>
      <c r="K350" s="14">
        <v>2.6099999999999901</v>
      </c>
      <c r="L350" s="14">
        <v>0.28000000000000003</v>
      </c>
      <c r="M350" s="14">
        <v>1.6599999999999899</v>
      </c>
      <c r="N350" s="14">
        <v>3.52</v>
      </c>
      <c r="O350" s="14">
        <v>1.1200000000000001</v>
      </c>
      <c r="P350" s="14">
        <v>3.8199999999999901</v>
      </c>
      <c r="Q350">
        <v>845</v>
      </c>
    </row>
    <row r="351" spans="3:17" x14ac:dyDescent="0.25">
      <c r="C351" s="15" t="s">
        <v>224</v>
      </c>
      <c r="D351" s="14" t="s">
        <v>15</v>
      </c>
      <c r="E351" s="14">
        <v>13.5</v>
      </c>
      <c r="F351" s="14">
        <v>3.12</v>
      </c>
      <c r="G351" s="14">
        <v>2.62</v>
      </c>
      <c r="H351" s="14">
        <v>24</v>
      </c>
      <c r="I351" s="14">
        <v>123</v>
      </c>
      <c r="J351" s="14">
        <v>1.3999999999999899</v>
      </c>
      <c r="K351" s="14">
        <v>1.57</v>
      </c>
      <c r="L351" s="14">
        <v>0.22</v>
      </c>
      <c r="M351" s="14">
        <v>1.25</v>
      </c>
      <c r="N351" s="14">
        <v>8.5999999999999908</v>
      </c>
      <c r="O351" s="14">
        <v>0.58999999999999897</v>
      </c>
      <c r="P351" s="14">
        <v>1.3</v>
      </c>
      <c r="Q351">
        <v>500</v>
      </c>
    </row>
    <row r="352" spans="3:17" x14ac:dyDescent="0.25">
      <c r="C352" s="15" t="s">
        <v>245</v>
      </c>
      <c r="D352" s="14" t="s">
        <v>15</v>
      </c>
      <c r="E352" s="14">
        <v>12.77</v>
      </c>
      <c r="F352" s="14">
        <v>2.39</v>
      </c>
      <c r="G352" s="14">
        <v>2.27999999999999</v>
      </c>
      <c r="H352" s="14">
        <v>19.5</v>
      </c>
      <c r="I352" s="14">
        <v>86</v>
      </c>
      <c r="J352" s="14">
        <v>1.3899999999999899</v>
      </c>
      <c r="K352" s="14">
        <v>0.51</v>
      </c>
      <c r="L352" s="14">
        <v>0.47999999999999898</v>
      </c>
      <c r="M352" s="14">
        <v>0.64</v>
      </c>
      <c r="N352" s="14">
        <v>9.8999989999999904</v>
      </c>
      <c r="O352" s="14">
        <v>0.56999999999999895</v>
      </c>
      <c r="P352" s="14">
        <v>1.6299999999999899</v>
      </c>
      <c r="Q352">
        <v>470</v>
      </c>
    </row>
    <row r="353" spans="3:17" x14ac:dyDescent="0.25">
      <c r="C353" s="15" t="s">
        <v>194</v>
      </c>
      <c r="D353" s="14" t="s">
        <v>14</v>
      </c>
      <c r="E353" s="14">
        <v>11.4499999999999</v>
      </c>
      <c r="F353" s="14">
        <v>2.3999999999999901</v>
      </c>
      <c r="G353" s="14">
        <v>2.4199999999999902</v>
      </c>
      <c r="H353" s="14">
        <v>20</v>
      </c>
      <c r="I353" s="14">
        <v>96</v>
      </c>
      <c r="J353" s="14">
        <v>2.8999999999999901</v>
      </c>
      <c r="K353" s="14">
        <v>2.79</v>
      </c>
      <c r="L353" s="14">
        <v>0.32</v>
      </c>
      <c r="M353" s="14">
        <v>1.83</v>
      </c>
      <c r="N353" s="14">
        <v>3.25</v>
      </c>
      <c r="O353" s="14">
        <v>0.8</v>
      </c>
      <c r="P353" s="14">
        <v>3.39</v>
      </c>
      <c r="Q353">
        <v>625</v>
      </c>
    </row>
    <row r="354" spans="3:17" x14ac:dyDescent="0.25">
      <c r="C354" s="15" t="s">
        <v>251</v>
      </c>
      <c r="D354" s="14" t="s">
        <v>15</v>
      </c>
      <c r="E354" s="14">
        <v>14.13</v>
      </c>
      <c r="F354" s="14">
        <v>4.0999999999999899</v>
      </c>
      <c r="G354" s="14">
        <v>2.74</v>
      </c>
      <c r="H354" s="14">
        <v>24.5</v>
      </c>
      <c r="I354" s="14">
        <v>96</v>
      </c>
      <c r="J354" s="14">
        <v>2.0499999999999901</v>
      </c>
      <c r="K354" s="14">
        <v>0.76</v>
      </c>
      <c r="L354" s="14">
        <v>0.56000000000000005</v>
      </c>
      <c r="M354" s="14">
        <v>1.35</v>
      </c>
      <c r="N354" s="14">
        <v>9.1999999999999904</v>
      </c>
      <c r="O354" s="14">
        <v>0.60999999999999899</v>
      </c>
      <c r="P354" s="14">
        <v>1.6</v>
      </c>
      <c r="Q354">
        <v>560</v>
      </c>
    </row>
    <row r="355" spans="3:17" x14ac:dyDescent="0.25">
      <c r="C355" s="15" t="s">
        <v>349</v>
      </c>
      <c r="D355" s="14" t="s">
        <v>14</v>
      </c>
      <c r="E355" s="14">
        <v>11.4499999999999</v>
      </c>
      <c r="F355" s="14">
        <v>2.3999999999999901</v>
      </c>
      <c r="G355" s="14">
        <v>2.4199999999999902</v>
      </c>
      <c r="H355" s="14">
        <v>20</v>
      </c>
      <c r="I355" s="14">
        <v>96</v>
      </c>
      <c r="J355" s="14">
        <v>2.8999999999999901</v>
      </c>
      <c r="K355" s="14">
        <v>2.79</v>
      </c>
      <c r="L355" s="14">
        <v>0.32</v>
      </c>
      <c r="M355" s="14">
        <v>1.83</v>
      </c>
      <c r="N355" s="14">
        <v>3.25</v>
      </c>
      <c r="O355" s="14">
        <v>0.8</v>
      </c>
      <c r="P355" s="14">
        <v>3.39</v>
      </c>
      <c r="Q355">
        <v>625</v>
      </c>
    </row>
    <row r="356" spans="3:17" x14ac:dyDescent="0.25">
      <c r="C356" s="15" t="s">
        <v>107</v>
      </c>
      <c r="D356" s="14" t="s">
        <v>13</v>
      </c>
      <c r="E356" s="14">
        <v>13.76</v>
      </c>
      <c r="F356" s="14">
        <v>1.53</v>
      </c>
      <c r="G356" s="14">
        <v>2.7</v>
      </c>
      <c r="H356" s="14">
        <v>19.5</v>
      </c>
      <c r="I356" s="14">
        <v>132</v>
      </c>
      <c r="J356" s="14">
        <v>2.95</v>
      </c>
      <c r="K356" s="14">
        <v>2.74</v>
      </c>
      <c r="L356" s="14">
        <v>0.5</v>
      </c>
      <c r="M356" s="14">
        <v>1.35</v>
      </c>
      <c r="N356" s="14">
        <v>5.4</v>
      </c>
      <c r="O356" s="14">
        <v>1.25</v>
      </c>
      <c r="P356" s="14">
        <v>3</v>
      </c>
      <c r="Q356">
        <v>1235</v>
      </c>
    </row>
    <row r="357" spans="3:17" x14ac:dyDescent="0.25">
      <c r="C357" s="15" t="s">
        <v>169</v>
      </c>
      <c r="D357" s="14" t="s">
        <v>14</v>
      </c>
      <c r="E357" s="14">
        <v>12.47</v>
      </c>
      <c r="F357" s="14">
        <v>1.52</v>
      </c>
      <c r="G357" s="14">
        <v>2.2000000000000002</v>
      </c>
      <c r="H357" s="14">
        <v>19</v>
      </c>
      <c r="I357" s="14">
        <v>162</v>
      </c>
      <c r="J357" s="14">
        <v>2.5</v>
      </c>
      <c r="K357" s="14">
        <v>2.27</v>
      </c>
      <c r="L357" s="14">
        <v>0.32</v>
      </c>
      <c r="M357" s="14">
        <v>3.27999999999999</v>
      </c>
      <c r="N357" s="14">
        <v>2.6</v>
      </c>
      <c r="O357" s="14">
        <v>1.1599999999999899</v>
      </c>
      <c r="P357" s="14">
        <v>2.6299999999999901</v>
      </c>
      <c r="Q357">
        <v>937</v>
      </c>
    </row>
    <row r="358" spans="3:17" x14ac:dyDescent="0.25">
      <c r="C358" s="15" t="s">
        <v>361</v>
      </c>
      <c r="D358" s="14" t="s">
        <v>15</v>
      </c>
      <c r="E358" s="14">
        <v>12.81</v>
      </c>
      <c r="F358" s="14">
        <v>2.31</v>
      </c>
      <c r="G358" s="14">
        <v>2.3999999999999901</v>
      </c>
      <c r="H358" s="14">
        <v>24</v>
      </c>
      <c r="I358" s="14">
        <v>98</v>
      </c>
      <c r="J358" s="14">
        <v>1.1499999999999899</v>
      </c>
      <c r="K358" s="14">
        <v>1.0900000000000001</v>
      </c>
      <c r="L358" s="14">
        <v>0.27</v>
      </c>
      <c r="M358" s="14">
        <v>0.82999999999999896</v>
      </c>
      <c r="N358" s="14">
        <v>5.7</v>
      </c>
      <c r="O358" s="14">
        <v>0.66</v>
      </c>
      <c r="P358" s="14">
        <v>1.36</v>
      </c>
      <c r="Q358">
        <v>560</v>
      </c>
    </row>
    <row r="359" spans="3:17" x14ac:dyDescent="0.25">
      <c r="C359" s="15" t="s">
        <v>328</v>
      </c>
      <c r="D359" s="14" t="s">
        <v>14</v>
      </c>
      <c r="E359" s="14">
        <v>12.2899999999999</v>
      </c>
      <c r="F359" s="14">
        <v>3.1699999999999902</v>
      </c>
      <c r="G359" s="14">
        <v>2.21</v>
      </c>
      <c r="H359" s="14">
        <v>18</v>
      </c>
      <c r="I359" s="14">
        <v>88</v>
      </c>
      <c r="J359" s="14">
        <v>2.85</v>
      </c>
      <c r="K359" s="14">
        <v>2.99</v>
      </c>
      <c r="L359" s="14">
        <v>0.45</v>
      </c>
      <c r="M359" s="14">
        <v>2.81</v>
      </c>
      <c r="N359" s="14">
        <v>2.2999999999999901</v>
      </c>
      <c r="O359" s="14">
        <v>1.4199999999999899</v>
      </c>
      <c r="P359" s="14">
        <v>2.83</v>
      </c>
      <c r="Q359">
        <v>406</v>
      </c>
    </row>
    <row r="360" spans="3:17" x14ac:dyDescent="0.25">
      <c r="C360" s="15" t="s">
        <v>311</v>
      </c>
      <c r="D360" s="14" t="s">
        <v>14</v>
      </c>
      <c r="E360" s="14">
        <v>12.08</v>
      </c>
      <c r="F360" s="14">
        <v>1.1299999999999899</v>
      </c>
      <c r="G360" s="14">
        <v>2.50999999999999</v>
      </c>
      <c r="H360" s="14">
        <v>24</v>
      </c>
      <c r="I360" s="14">
        <v>78</v>
      </c>
      <c r="J360" s="14">
        <v>2</v>
      </c>
      <c r="K360" s="14">
        <v>1.58</v>
      </c>
      <c r="L360" s="14">
        <v>0.4</v>
      </c>
      <c r="M360" s="14">
        <v>1.3999999999999899</v>
      </c>
      <c r="N360" s="14">
        <v>2.2000000000000002</v>
      </c>
      <c r="O360" s="14">
        <v>1.31</v>
      </c>
      <c r="P360" s="14">
        <v>2.72</v>
      </c>
      <c r="Q360">
        <v>630</v>
      </c>
    </row>
    <row r="361" spans="3:17" x14ac:dyDescent="0.25">
      <c r="C361" s="15" t="s">
        <v>276</v>
      </c>
      <c r="D361" s="14" t="s">
        <v>13</v>
      </c>
      <c r="E361" s="14">
        <v>13.9</v>
      </c>
      <c r="F361" s="14">
        <v>1.6799999999999899</v>
      </c>
      <c r="G361" s="14">
        <v>2.12</v>
      </c>
      <c r="H361" s="14">
        <v>16</v>
      </c>
      <c r="I361" s="14">
        <v>101</v>
      </c>
      <c r="J361" s="14">
        <v>3.1</v>
      </c>
      <c r="K361" s="14">
        <v>3.39</v>
      </c>
      <c r="L361" s="14">
        <v>0.20999999999999899</v>
      </c>
      <c r="M361" s="14">
        <v>2.14</v>
      </c>
      <c r="N361" s="14">
        <v>6.0999999999999899</v>
      </c>
      <c r="O361" s="14">
        <v>0.91</v>
      </c>
      <c r="P361" s="14">
        <v>3.33</v>
      </c>
      <c r="Q361">
        <v>985</v>
      </c>
    </row>
    <row r="362" spans="3:17" x14ac:dyDescent="0.25">
      <c r="C362" s="15" t="s">
        <v>379</v>
      </c>
      <c r="D362" s="14" t="s">
        <v>15</v>
      </c>
      <c r="E362" s="14">
        <v>13.5</v>
      </c>
      <c r="F362" s="14">
        <v>3.12</v>
      </c>
      <c r="G362" s="14">
        <v>2.62</v>
      </c>
      <c r="H362" s="14">
        <v>24</v>
      </c>
      <c r="I362" s="14">
        <v>123</v>
      </c>
      <c r="J362" s="14">
        <v>1.3999999999999899</v>
      </c>
      <c r="K362" s="14">
        <v>1.57</v>
      </c>
      <c r="L362" s="14">
        <v>0.22</v>
      </c>
      <c r="M362" s="14">
        <v>1.25</v>
      </c>
      <c r="N362" s="14">
        <v>8.5999999999999908</v>
      </c>
      <c r="O362" s="14">
        <v>0.58999999999999897</v>
      </c>
      <c r="P362" s="14">
        <v>1.3</v>
      </c>
      <c r="Q362">
        <v>500</v>
      </c>
    </row>
    <row r="363" spans="3:17" x14ac:dyDescent="0.25">
      <c r="C363" s="15" t="s">
        <v>369</v>
      </c>
      <c r="D363" s="14" t="s">
        <v>15</v>
      </c>
      <c r="E363" s="14">
        <v>12.93</v>
      </c>
      <c r="F363" s="14">
        <v>2.81</v>
      </c>
      <c r="G363" s="14">
        <v>2.7</v>
      </c>
      <c r="H363" s="14">
        <v>21</v>
      </c>
      <c r="I363" s="14">
        <v>96</v>
      </c>
      <c r="J363" s="14">
        <v>1.54</v>
      </c>
      <c r="K363" s="14">
        <v>0.5</v>
      </c>
      <c r="L363" s="14">
        <v>0.53</v>
      </c>
      <c r="M363" s="14">
        <v>0.75</v>
      </c>
      <c r="N363" s="14">
        <v>4.5999999999999899</v>
      </c>
      <c r="O363" s="14">
        <v>0.77</v>
      </c>
      <c r="P363" s="14">
        <v>2.31</v>
      </c>
      <c r="Q363">
        <v>600</v>
      </c>
    </row>
    <row r="364" spans="3:17" x14ac:dyDescent="0.25">
      <c r="C364" s="15" t="s">
        <v>222</v>
      </c>
      <c r="D364" s="14" t="s">
        <v>15</v>
      </c>
      <c r="E364" s="14">
        <v>13.32</v>
      </c>
      <c r="F364" s="14">
        <v>3.24</v>
      </c>
      <c r="G364" s="14">
        <v>2.3799999999999901</v>
      </c>
      <c r="H364" s="14">
        <v>21.5</v>
      </c>
      <c r="I364" s="14">
        <v>92</v>
      </c>
      <c r="J364" s="14">
        <v>1.9299999999999899</v>
      </c>
      <c r="K364" s="14">
        <v>0.76</v>
      </c>
      <c r="L364" s="14">
        <v>0.45</v>
      </c>
      <c r="M364" s="14">
        <v>1.25</v>
      </c>
      <c r="N364" s="14">
        <v>8.4199999999999893</v>
      </c>
      <c r="O364" s="14">
        <v>0.55000000000000004</v>
      </c>
      <c r="P364" s="14">
        <v>1.62</v>
      </c>
      <c r="Q364">
        <v>650</v>
      </c>
    </row>
    <row r="365" spans="3:17" x14ac:dyDescent="0.25">
      <c r="C365" s="15" t="s">
        <v>383</v>
      </c>
      <c r="D365" s="14" t="s">
        <v>15</v>
      </c>
      <c r="E365" s="14">
        <v>12.58</v>
      </c>
      <c r="F365" s="14">
        <v>1.29</v>
      </c>
      <c r="G365" s="14">
        <v>2.1</v>
      </c>
      <c r="H365" s="14">
        <v>20</v>
      </c>
      <c r="I365" s="14">
        <v>103</v>
      </c>
      <c r="J365" s="14">
        <v>1.48</v>
      </c>
      <c r="K365" s="14">
        <v>0.57999999999999896</v>
      </c>
      <c r="L365" s="14">
        <v>0.53</v>
      </c>
      <c r="M365" s="14">
        <v>1.3999999999999899</v>
      </c>
      <c r="N365" s="14">
        <v>7.5999999999999899</v>
      </c>
      <c r="O365" s="14">
        <v>0.57999999999999896</v>
      </c>
      <c r="P365" s="14">
        <v>1.55</v>
      </c>
      <c r="Q365">
        <v>640</v>
      </c>
    </row>
  </sheetData>
  <mergeCells count="27"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C18:S18"/>
    <mergeCell ref="C19:E19"/>
    <mergeCell ref="C20:E20"/>
    <mergeCell ref="F19:S19"/>
    <mergeCell ref="C22:I22"/>
    <mergeCell ref="C24:E24"/>
    <mergeCell ref="C25:E25"/>
    <mergeCell ref="C26:E26"/>
    <mergeCell ref="F23:I23"/>
    <mergeCell ref="F24:I24"/>
    <mergeCell ref="F25:I25"/>
    <mergeCell ref="F26:I26"/>
    <mergeCell ref="C23:E23"/>
    <mergeCell ref="B4:C4"/>
    <mergeCell ref="D4:E4"/>
    <mergeCell ref="F4:G4"/>
    <mergeCell ref="B3:G3"/>
    <mergeCell ref="J3:M3"/>
  </mergeCells>
  <hyperlinks>
    <hyperlink ref="B4" location="'STDPartition2'!$B$10:$B$10" display="Inputs" xr:uid="{E445BBD4-0B7B-43C3-9E48-A41B5EB0B539}"/>
    <hyperlink ref="D4" location="'STDPartition2'!$B$28:$B$28" display="Partition Summary" xr:uid="{33301965-AD11-45EE-B9FD-5C3E5B00E4C1}"/>
    <hyperlink ref="F4" location="'STDPartition2'!$B$34:$B$34" display="Partitioned Data" xr:uid="{19A9E529-7E5A-42CA-9556-11790AEDB805}"/>
  </hyperlinks>
  <pageMargins left="0.7" right="0.7" top="0.75" bottom="0.75" header="0.3" footer="0.3"/>
  <tableParts count="2">
    <tablePart r:id="rId1"/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6ACD-BC66-4E0D-AD0A-FCBDC3BF4D1A}">
  <dimension ref="B1:CV82"/>
  <sheetViews>
    <sheetView showGridLines="0" topLeftCell="A23" workbookViewId="0"/>
  </sheetViews>
  <sheetFormatPr defaultRowHeight="13.2" x14ac:dyDescent="0.25"/>
  <cols>
    <col min="3" max="3" width="18" customWidth="1"/>
    <col min="4" max="4" width="12.6640625" customWidth="1"/>
    <col min="7" max="7" width="18" customWidth="1"/>
    <col min="8" max="8" width="12.109375" customWidth="1"/>
    <col min="14" max="14" width="33.109375" bestFit="1" customWidth="1"/>
  </cols>
  <sheetData>
    <row r="1" spans="2:100" ht="18" x14ac:dyDescent="0.35">
      <c r="B1" s="12" t="s">
        <v>564</v>
      </c>
      <c r="N1" t="s">
        <v>672</v>
      </c>
      <c r="CV1" s="19" t="s">
        <v>596</v>
      </c>
    </row>
    <row r="3" spans="2:100" ht="15.6" x14ac:dyDescent="0.3">
      <c r="B3" s="21" t="s">
        <v>30</v>
      </c>
      <c r="C3" s="22"/>
      <c r="D3" s="22"/>
      <c r="E3" s="22"/>
      <c r="F3" s="22"/>
      <c r="G3" s="22"/>
      <c r="H3" s="22"/>
      <c r="I3" s="22"/>
      <c r="J3" s="22"/>
      <c r="K3" s="23"/>
      <c r="N3" s="21" t="s">
        <v>53</v>
      </c>
      <c r="O3" s="22"/>
      <c r="P3" s="22"/>
      <c r="Q3" s="23"/>
    </row>
    <row r="4" spans="2:100" ht="13.8" x14ac:dyDescent="0.3">
      <c r="B4" s="35" t="s">
        <v>543</v>
      </c>
      <c r="C4" s="36"/>
      <c r="D4" s="35" t="s">
        <v>544</v>
      </c>
      <c r="E4" s="36"/>
      <c r="F4" s="35" t="s">
        <v>545</v>
      </c>
      <c r="G4" s="36"/>
      <c r="H4" s="35" t="s">
        <v>31</v>
      </c>
      <c r="I4" s="36"/>
      <c r="J4" s="35" t="s">
        <v>546</v>
      </c>
      <c r="K4" s="36"/>
      <c r="N4" s="18" t="s">
        <v>54</v>
      </c>
      <c r="O4" s="18" t="s">
        <v>55</v>
      </c>
      <c r="P4" s="18" t="s">
        <v>56</v>
      </c>
      <c r="Q4" s="18" t="s">
        <v>57</v>
      </c>
    </row>
    <row r="5" spans="2:100" ht="13.8" x14ac:dyDescent="0.3">
      <c r="B5" s="35" t="s">
        <v>421</v>
      </c>
      <c r="C5" s="36"/>
      <c r="D5" s="35" t="s">
        <v>547</v>
      </c>
      <c r="E5" s="36"/>
      <c r="F5" s="35" t="s">
        <v>548</v>
      </c>
      <c r="G5" s="36"/>
      <c r="H5" s="30"/>
      <c r="I5" s="31"/>
      <c r="J5" s="30"/>
      <c r="K5" s="31"/>
      <c r="N5" s="16">
        <v>246</v>
      </c>
      <c r="O5" s="16">
        <v>65</v>
      </c>
      <c r="P5" s="16">
        <v>8</v>
      </c>
      <c r="Q5" s="16">
        <v>319</v>
      </c>
    </row>
    <row r="10" spans="2:100" ht="18" x14ac:dyDescent="0.35">
      <c r="B10" s="13" t="s">
        <v>31</v>
      </c>
    </row>
    <row r="12" spans="2:100" ht="15.6" x14ac:dyDescent="0.3">
      <c r="C12" s="28" t="s">
        <v>33</v>
      </c>
      <c r="D12" s="28"/>
      <c r="E12" s="28"/>
      <c r="F12" s="28"/>
      <c r="G12" s="28"/>
      <c r="H12" s="28"/>
      <c r="I12" s="28"/>
      <c r="J12" s="28"/>
      <c r="K12" s="28"/>
    </row>
    <row r="13" spans="2:100" ht="13.8" x14ac:dyDescent="0.3">
      <c r="C13" s="24" t="s">
        <v>34</v>
      </c>
      <c r="D13" s="24"/>
      <c r="E13" s="24"/>
      <c r="F13" s="25"/>
      <c r="G13" s="27" t="s">
        <v>48</v>
      </c>
      <c r="H13" s="27"/>
      <c r="I13" s="27"/>
      <c r="J13" s="27"/>
      <c r="K13" s="27"/>
    </row>
    <row r="14" spans="2:100" ht="13.8" x14ac:dyDescent="0.3">
      <c r="C14" s="24" t="s">
        <v>35</v>
      </c>
      <c r="D14" s="24"/>
      <c r="E14" s="24"/>
      <c r="F14" s="25"/>
      <c r="G14" s="27" t="s">
        <v>705</v>
      </c>
      <c r="H14" s="27"/>
      <c r="I14" s="27"/>
      <c r="J14" s="27"/>
      <c r="K14" s="27"/>
    </row>
    <row r="15" spans="2:100" ht="13.8" x14ac:dyDescent="0.3">
      <c r="C15" s="24" t="s">
        <v>577</v>
      </c>
      <c r="D15" s="24"/>
      <c r="E15" s="24"/>
      <c r="F15" s="25"/>
      <c r="G15" s="27" t="s">
        <v>706</v>
      </c>
      <c r="H15" s="27"/>
      <c r="I15" s="27"/>
      <c r="J15" s="27"/>
      <c r="K15" s="27"/>
    </row>
    <row r="16" spans="2:100" ht="13.8" x14ac:dyDescent="0.3">
      <c r="C16" s="24" t="s">
        <v>578</v>
      </c>
      <c r="D16" s="24"/>
      <c r="E16" s="24"/>
      <c r="F16" s="25"/>
      <c r="G16" s="27">
        <v>247</v>
      </c>
      <c r="H16" s="27"/>
      <c r="I16" s="27"/>
      <c r="J16" s="27"/>
      <c r="K16" s="27"/>
    </row>
    <row r="17" spans="3:17" ht="13.8" x14ac:dyDescent="0.3">
      <c r="C17" s="24" t="s">
        <v>579</v>
      </c>
      <c r="D17" s="24"/>
      <c r="E17" s="24"/>
      <c r="F17" s="25"/>
      <c r="G17" s="27" t="s">
        <v>707</v>
      </c>
      <c r="H17" s="27"/>
      <c r="I17" s="27"/>
      <c r="J17" s="27"/>
      <c r="K17" s="27"/>
    </row>
    <row r="18" spans="3:17" ht="13.8" x14ac:dyDescent="0.3">
      <c r="C18" s="24" t="s">
        <v>580</v>
      </c>
      <c r="D18" s="24"/>
      <c r="E18" s="24"/>
      <c r="F18" s="25"/>
      <c r="G18" s="27">
        <v>82</v>
      </c>
      <c r="H18" s="27"/>
      <c r="I18" s="27"/>
      <c r="J18" s="27"/>
      <c r="K18" s="27"/>
    </row>
    <row r="20" spans="3:17" ht="15.6" x14ac:dyDescent="0.3">
      <c r="C20" s="28" t="s">
        <v>38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  <row r="21" spans="3:17" ht="13.8" x14ac:dyDescent="0.3">
      <c r="C21" s="24" t="s">
        <v>581</v>
      </c>
      <c r="D21" s="25"/>
      <c r="E21" s="27">
        <v>13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2" spans="3:17" ht="13.8" x14ac:dyDescent="0.3">
      <c r="C22" s="24" t="s">
        <v>582</v>
      </c>
      <c r="D22" s="25"/>
      <c r="E22" s="16" t="s">
        <v>61</v>
      </c>
      <c r="F22" s="16" t="s">
        <v>62</v>
      </c>
      <c r="G22" s="16" t="s">
        <v>63</v>
      </c>
      <c r="H22" s="16" t="s">
        <v>64</v>
      </c>
      <c r="I22" s="16" t="s">
        <v>65</v>
      </c>
      <c r="J22" s="16" t="s">
        <v>66</v>
      </c>
      <c r="K22" s="16" t="s">
        <v>67</v>
      </c>
      <c r="L22" s="16" t="s">
        <v>68</v>
      </c>
      <c r="M22" s="16" t="s">
        <v>69</v>
      </c>
      <c r="N22" s="16" t="s">
        <v>70</v>
      </c>
      <c r="O22" s="16" t="s">
        <v>71</v>
      </c>
      <c r="P22" s="16" t="s">
        <v>72</v>
      </c>
      <c r="Q22" s="16" t="s">
        <v>73</v>
      </c>
    </row>
    <row r="23" spans="3:17" ht="13.8" x14ac:dyDescent="0.3">
      <c r="C23" s="24" t="s">
        <v>583</v>
      </c>
      <c r="D23" s="2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 spans="3:17" ht="13.8" x14ac:dyDescent="0.3">
      <c r="C24" s="24" t="s">
        <v>584</v>
      </c>
      <c r="D24" s="25"/>
      <c r="E24" s="29" t="s">
        <v>0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6" spans="3:17" ht="15.6" x14ac:dyDescent="0.3">
      <c r="C26" s="28" t="s">
        <v>585</v>
      </c>
      <c r="D26" s="28"/>
      <c r="E26" s="28"/>
      <c r="F26" s="28"/>
      <c r="G26" s="28"/>
      <c r="H26" s="28"/>
      <c r="I26" s="28"/>
    </row>
    <row r="27" spans="3:17" ht="13.8" x14ac:dyDescent="0.3">
      <c r="C27" s="24" t="s">
        <v>586</v>
      </c>
      <c r="D27" s="24"/>
      <c r="E27" s="25"/>
      <c r="F27" s="27" t="b">
        <v>1</v>
      </c>
      <c r="G27" s="27"/>
      <c r="H27" s="27"/>
      <c r="I27" s="27"/>
    </row>
    <row r="28" spans="3:17" ht="13.8" x14ac:dyDescent="0.3">
      <c r="C28" s="24" t="s">
        <v>587</v>
      </c>
      <c r="D28" s="24"/>
      <c r="E28" s="25"/>
      <c r="F28" s="39" t="s">
        <v>591</v>
      </c>
      <c r="G28" s="40"/>
      <c r="H28" s="40"/>
      <c r="I28" s="41"/>
    </row>
    <row r="29" spans="3:17" ht="13.8" x14ac:dyDescent="0.3">
      <c r="C29" s="24" t="s">
        <v>588</v>
      </c>
      <c r="D29" s="24"/>
      <c r="E29" s="25"/>
      <c r="F29" s="39">
        <v>0.01</v>
      </c>
      <c r="G29" s="40"/>
      <c r="H29" s="40"/>
      <c r="I29" s="41"/>
    </row>
    <row r="31" spans="3:17" ht="15.6" x14ac:dyDescent="0.3">
      <c r="C31" s="21" t="s">
        <v>589</v>
      </c>
      <c r="D31" s="22"/>
      <c r="E31" s="22"/>
      <c r="F31" s="22"/>
      <c r="G31" s="22"/>
      <c r="H31" s="22"/>
      <c r="I31" s="23"/>
    </row>
    <row r="32" spans="3:17" ht="13.8" x14ac:dyDescent="0.3">
      <c r="C32" s="25" t="s">
        <v>590</v>
      </c>
      <c r="D32" s="37"/>
      <c r="E32" s="38"/>
      <c r="F32" s="39" t="s">
        <v>592</v>
      </c>
      <c r="G32" s="40"/>
      <c r="H32" s="40"/>
      <c r="I32" s="41"/>
    </row>
    <row r="34" spans="3:9" ht="15.6" x14ac:dyDescent="0.3">
      <c r="C34" s="21" t="s">
        <v>598</v>
      </c>
      <c r="D34" s="22"/>
      <c r="E34" s="22"/>
      <c r="F34" s="22"/>
      <c r="G34" s="22"/>
      <c r="H34" s="22"/>
      <c r="I34" s="23"/>
    </row>
    <row r="35" spans="3:9" ht="13.8" x14ac:dyDescent="0.3">
      <c r="C35" s="25" t="s">
        <v>599</v>
      </c>
      <c r="D35" s="37"/>
      <c r="E35" s="38"/>
      <c r="F35" s="39" t="b">
        <v>1</v>
      </c>
      <c r="G35" s="40"/>
      <c r="H35" s="40"/>
      <c r="I35" s="41"/>
    </row>
    <row r="36" spans="3:9" ht="13.8" x14ac:dyDescent="0.3">
      <c r="C36" s="25" t="s">
        <v>600</v>
      </c>
      <c r="D36" s="37"/>
      <c r="E36" s="38"/>
      <c r="F36" s="39" t="s">
        <v>610</v>
      </c>
      <c r="G36" s="40"/>
      <c r="H36" s="40"/>
      <c r="I36" s="41"/>
    </row>
    <row r="38" spans="3:9" ht="15.6" x14ac:dyDescent="0.3">
      <c r="C38" s="21" t="s">
        <v>601</v>
      </c>
      <c r="D38" s="22"/>
      <c r="E38" s="22"/>
      <c r="F38" s="22"/>
      <c r="G38" s="22"/>
      <c r="H38" s="22"/>
      <c r="I38" s="23"/>
    </row>
    <row r="39" spans="3:9" ht="13.8" x14ac:dyDescent="0.3">
      <c r="C39" s="25" t="s">
        <v>602</v>
      </c>
      <c r="D39" s="37"/>
      <c r="E39" s="38"/>
      <c r="F39" s="39">
        <v>3</v>
      </c>
      <c r="G39" s="40"/>
      <c r="H39" s="40"/>
      <c r="I39" s="41"/>
    </row>
    <row r="41" spans="3:9" ht="15.6" x14ac:dyDescent="0.3">
      <c r="C41" s="21" t="s">
        <v>603</v>
      </c>
      <c r="D41" s="22"/>
      <c r="E41" s="22"/>
      <c r="F41" s="22"/>
      <c r="G41" s="22"/>
      <c r="H41" s="22"/>
      <c r="I41" s="23"/>
    </row>
    <row r="42" spans="3:9" ht="13.8" x14ac:dyDescent="0.3">
      <c r="C42" s="25" t="s">
        <v>604</v>
      </c>
      <c r="D42" s="37"/>
      <c r="E42" s="38"/>
      <c r="F42" s="39" t="s">
        <v>611</v>
      </c>
      <c r="G42" s="40"/>
      <c r="H42" s="40"/>
      <c r="I42" s="41"/>
    </row>
    <row r="43" spans="3:9" ht="13.8" x14ac:dyDescent="0.3">
      <c r="C43" s="25" t="s">
        <v>605</v>
      </c>
      <c r="D43" s="37"/>
      <c r="E43" s="38"/>
      <c r="F43" s="39">
        <v>7</v>
      </c>
      <c r="G43" s="40"/>
      <c r="H43" s="40"/>
      <c r="I43" s="41"/>
    </row>
    <row r="44" spans="3:9" ht="13.8" x14ac:dyDescent="0.3">
      <c r="C44" s="25" t="s">
        <v>606</v>
      </c>
      <c r="D44" s="37"/>
      <c r="E44" s="38"/>
      <c r="F44" s="39" t="b">
        <v>1</v>
      </c>
      <c r="G44" s="40"/>
      <c r="H44" s="40"/>
      <c r="I44" s="41"/>
    </row>
    <row r="46" spans="3:9" ht="15.6" x14ac:dyDescent="0.3">
      <c r="C46" s="21" t="s">
        <v>607</v>
      </c>
      <c r="D46" s="22"/>
      <c r="E46" s="22"/>
      <c r="F46" s="22"/>
      <c r="G46" s="23"/>
    </row>
    <row r="47" spans="3:9" ht="13.8" x14ac:dyDescent="0.3">
      <c r="C47" s="32" t="s">
        <v>608</v>
      </c>
      <c r="D47" s="33"/>
      <c r="E47" s="33"/>
      <c r="F47" s="33"/>
      <c r="G47" s="34"/>
    </row>
    <row r="48" spans="3:9" ht="13.8" x14ac:dyDescent="0.3">
      <c r="C48" s="32" t="s">
        <v>609</v>
      </c>
      <c r="D48" s="33"/>
      <c r="E48" s="33"/>
      <c r="F48" s="33"/>
      <c r="G48" s="34"/>
    </row>
    <row r="51" spans="2:8" ht="18" x14ac:dyDescent="0.35">
      <c r="B51" s="13" t="s">
        <v>597</v>
      </c>
      <c r="F51" s="13" t="s">
        <v>612</v>
      </c>
    </row>
    <row r="53" spans="2:8" x14ac:dyDescent="0.25">
      <c r="C53" s="15" t="s">
        <v>613</v>
      </c>
      <c r="D53" t="s">
        <v>614</v>
      </c>
      <c r="G53" s="15" t="s">
        <v>613</v>
      </c>
      <c r="H53" t="s">
        <v>614</v>
      </c>
    </row>
    <row r="54" spans="2:8" x14ac:dyDescent="0.25">
      <c r="C54" s="15">
        <v>0</v>
      </c>
      <c r="D54">
        <v>0.56275303643724695</v>
      </c>
      <c r="G54" s="15">
        <v>0</v>
      </c>
      <c r="H54">
        <v>0.58536585365853655</v>
      </c>
    </row>
    <row r="55" spans="2:8" x14ac:dyDescent="0.25">
      <c r="C55" s="15">
        <v>1</v>
      </c>
      <c r="D55">
        <v>0.2753036437246964</v>
      </c>
      <c r="G55" s="15">
        <v>1</v>
      </c>
      <c r="H55">
        <v>0.42682926829268292</v>
      </c>
    </row>
    <row r="56" spans="2:8" x14ac:dyDescent="0.25">
      <c r="C56" s="15">
        <v>2</v>
      </c>
      <c r="D56">
        <v>8.9068825910931182E-2</v>
      </c>
      <c r="G56" s="15">
        <v>2</v>
      </c>
      <c r="H56">
        <v>0.2073170731707317</v>
      </c>
    </row>
    <row r="57" spans="2:8" x14ac:dyDescent="0.25">
      <c r="C57" s="15">
        <v>3</v>
      </c>
      <c r="D57">
        <v>6.47773279352227E-2</v>
      </c>
      <c r="G57" s="15">
        <v>3</v>
      </c>
      <c r="H57">
        <v>0.2073170731707317</v>
      </c>
    </row>
    <row r="58" spans="2:8" x14ac:dyDescent="0.25">
      <c r="C58" s="15">
        <v>4</v>
      </c>
      <c r="D58">
        <v>4.4534412955465612E-2</v>
      </c>
      <c r="G58" s="15">
        <v>4</v>
      </c>
      <c r="H58">
        <v>9.7560975609756101E-2</v>
      </c>
    </row>
    <row r="59" spans="2:8" x14ac:dyDescent="0.25">
      <c r="C59" s="15">
        <v>5</v>
      </c>
      <c r="D59">
        <v>2.4291497975708495E-2</v>
      </c>
      <c r="G59" s="15">
        <v>5</v>
      </c>
      <c r="H59">
        <v>9.7560975609756101E-2</v>
      </c>
    </row>
    <row r="60" spans="2:8" x14ac:dyDescent="0.25">
      <c r="C60" s="15">
        <v>6</v>
      </c>
      <c r="D60">
        <v>1.6194331983805661E-2</v>
      </c>
      <c r="G60" s="15">
        <v>6</v>
      </c>
      <c r="H60">
        <v>6.097560975609756E-2</v>
      </c>
    </row>
    <row r="61" spans="2:8" x14ac:dyDescent="0.25">
      <c r="C61" s="15">
        <v>7</v>
      </c>
      <c r="D61">
        <v>8.0971659919027907E-3</v>
      </c>
      <c r="G61" s="15">
        <v>7</v>
      </c>
      <c r="H61">
        <v>3.6585365853658534E-2</v>
      </c>
    </row>
    <row r="62" spans="2:8" x14ac:dyDescent="0.25">
      <c r="C62" s="15">
        <v>8</v>
      </c>
      <c r="D62">
        <v>4.0485829959514153E-3</v>
      </c>
      <c r="G62" s="15">
        <v>8</v>
      </c>
      <c r="H62">
        <v>2.4390243902439025E-2</v>
      </c>
    </row>
    <row r="63" spans="2:8" x14ac:dyDescent="0.25">
      <c r="C63" s="15">
        <v>9</v>
      </c>
      <c r="D63">
        <v>4.0485829959514118E-3</v>
      </c>
      <c r="G63" s="15">
        <v>9</v>
      </c>
      <c r="H63">
        <v>2.4390243902439025E-2</v>
      </c>
    </row>
    <row r="64" spans="2:8" x14ac:dyDescent="0.25">
      <c r="C64" s="15">
        <v>10</v>
      </c>
      <c r="D64">
        <v>-5.2041704279304213E-18</v>
      </c>
      <c r="G64" s="15">
        <v>10</v>
      </c>
      <c r="H64">
        <v>2.4390243902439025E-2</v>
      </c>
    </row>
    <row r="67" spans="2:4" ht="18" x14ac:dyDescent="0.35">
      <c r="B67" s="13" t="s">
        <v>546</v>
      </c>
    </row>
    <row r="69" spans="2:4" x14ac:dyDescent="0.25">
      <c r="C69" s="15" t="s">
        <v>615</v>
      </c>
      <c r="D69" t="s">
        <v>616</v>
      </c>
    </row>
    <row r="70" spans="2:4" x14ac:dyDescent="0.25">
      <c r="C70" s="15" t="s">
        <v>61</v>
      </c>
      <c r="D70">
        <v>0</v>
      </c>
    </row>
    <row r="71" spans="2:4" x14ac:dyDescent="0.25">
      <c r="C71" s="15" t="s">
        <v>62</v>
      </c>
      <c r="D71">
        <v>2.4291497975708495E-2</v>
      </c>
    </row>
    <row r="72" spans="2:4" x14ac:dyDescent="0.25">
      <c r="C72" s="15" t="s">
        <v>63</v>
      </c>
      <c r="D72">
        <v>4.0485829959514118E-3</v>
      </c>
    </row>
    <row r="73" spans="2:4" x14ac:dyDescent="0.25">
      <c r="C73" s="15" t="s">
        <v>64</v>
      </c>
      <c r="D73">
        <v>0</v>
      </c>
    </row>
    <row r="74" spans="2:4" x14ac:dyDescent="0.25">
      <c r="C74" s="15" t="s">
        <v>65</v>
      </c>
      <c r="D74">
        <v>1.6194331983805661E-2</v>
      </c>
    </row>
    <row r="75" spans="2:4" x14ac:dyDescent="0.25">
      <c r="C75" s="15" t="s">
        <v>66</v>
      </c>
      <c r="D75">
        <v>0</v>
      </c>
    </row>
    <row r="76" spans="2:4" x14ac:dyDescent="0.25">
      <c r="C76" s="15" t="s">
        <v>67</v>
      </c>
      <c r="D76">
        <v>0.36437246963562758</v>
      </c>
    </row>
    <row r="77" spans="2:4" x14ac:dyDescent="0.25">
      <c r="C77" s="15" t="s">
        <v>68</v>
      </c>
      <c r="D77">
        <v>0</v>
      </c>
    </row>
    <row r="78" spans="2:4" x14ac:dyDescent="0.25">
      <c r="C78" s="15" t="s">
        <v>69</v>
      </c>
      <c r="D78">
        <v>0</v>
      </c>
    </row>
    <row r="79" spans="2:4" x14ac:dyDescent="0.25">
      <c r="C79" s="15" t="s">
        <v>70</v>
      </c>
      <c r="D79">
        <v>0.10931174089068832</v>
      </c>
    </row>
    <row r="80" spans="2:4" x14ac:dyDescent="0.25">
      <c r="C80" s="15" t="s">
        <v>71</v>
      </c>
      <c r="D80">
        <v>0</v>
      </c>
    </row>
    <row r="81" spans="3:4" x14ac:dyDescent="0.25">
      <c r="C81" s="15" t="s">
        <v>72</v>
      </c>
      <c r="D81">
        <v>8.0971659919027907E-3</v>
      </c>
    </row>
    <row r="82" spans="3:4" x14ac:dyDescent="0.25">
      <c r="C82" s="15" t="s">
        <v>73</v>
      </c>
      <c r="D82">
        <v>0.5668016194331984</v>
      </c>
    </row>
  </sheetData>
  <mergeCells count="60">
    <mergeCell ref="C12:K12"/>
    <mergeCell ref="C13:F13"/>
    <mergeCell ref="C14:F14"/>
    <mergeCell ref="C15:F15"/>
    <mergeCell ref="C16:F16"/>
    <mergeCell ref="C18:F18"/>
    <mergeCell ref="G13:K13"/>
    <mergeCell ref="G14:K14"/>
    <mergeCell ref="G15:K15"/>
    <mergeCell ref="G16:K16"/>
    <mergeCell ref="G17:K17"/>
    <mergeCell ref="G18:K18"/>
    <mergeCell ref="C17:F17"/>
    <mergeCell ref="C20:Q20"/>
    <mergeCell ref="C21:D21"/>
    <mergeCell ref="C22:D22"/>
    <mergeCell ref="C23:D23"/>
    <mergeCell ref="C24:D24"/>
    <mergeCell ref="E21:Q21"/>
    <mergeCell ref="E24:Q24"/>
    <mergeCell ref="C36:E36"/>
    <mergeCell ref="F35:I35"/>
    <mergeCell ref="F36:I36"/>
    <mergeCell ref="C26:I26"/>
    <mergeCell ref="C27:E27"/>
    <mergeCell ref="C28:E28"/>
    <mergeCell ref="C29:E29"/>
    <mergeCell ref="F27:I27"/>
    <mergeCell ref="F28:I28"/>
    <mergeCell ref="F29:I29"/>
    <mergeCell ref="C31:I31"/>
    <mergeCell ref="C32:E32"/>
    <mergeCell ref="F32:I32"/>
    <mergeCell ref="C34:I34"/>
    <mergeCell ref="C35:E35"/>
    <mergeCell ref="F44:I44"/>
    <mergeCell ref="C46:G46"/>
    <mergeCell ref="C47:G47"/>
    <mergeCell ref="C38:I38"/>
    <mergeCell ref="C39:E39"/>
    <mergeCell ref="F39:I39"/>
    <mergeCell ref="C41:I41"/>
    <mergeCell ref="C42:E42"/>
    <mergeCell ref="C43:E43"/>
    <mergeCell ref="J5:K5"/>
    <mergeCell ref="B3:K3"/>
    <mergeCell ref="N3:Q3"/>
    <mergeCell ref="C48:G48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C44:E44"/>
    <mergeCell ref="F42:I42"/>
    <mergeCell ref="F43:I43"/>
  </mergeCells>
  <hyperlinks>
    <hyperlink ref="B4" location="'CT_BestTree2'!$B$10:$B$10" display="Best Pruned Tree Rules (Using Validation Data)" xr:uid="{468536CB-29BF-4E9F-BF85-A803113C52FE}"/>
    <hyperlink ref="D4" location="'CT_FullTree2'!$B$10:$B$10" display="Fully Grown Tree Rules (Using Training Data)" xr:uid="{0F9B859E-A08E-404E-918D-CAD541EFD37B}"/>
    <hyperlink ref="F4" location="'CT_MinErrorTree2'!$B$10:$B$10" display="Min Error Tree Rules (Using Validation Data)" xr:uid="{31F932F0-607C-497E-890A-7AE3F0F32CC7}"/>
    <hyperlink ref="H4" location="'CT_Output2'!$B$10:$B$10" display="Inputs" xr:uid="{3D908357-7131-4481-BF84-9AF44D96D2D5}"/>
    <hyperlink ref="J4" location="'CT_Output2'!$B$67:$B$67" display="Feature Importance" xr:uid="{2511FFC5-74A1-42D1-84F8-1C8123E2947F}"/>
    <hyperlink ref="B5" location="'CT_Stored2'!$B$10:$B$10" display="PMML Model" xr:uid="{1F06CE31-6C95-4692-9FE5-9ADEAF523E48}"/>
    <hyperlink ref="D5" location="'CT_TrainingScore2'!$B$10:$B$10" display="Training: Classification Summary" xr:uid="{653A97B8-3888-482F-A0D2-9625F824BEF7}"/>
    <hyperlink ref="F5" location="'CT_ValidationScore2'!$B$10:$B$10" display="Validation: Classification Summary" xr:uid="{70158ADE-D548-431B-BB2D-69CFE11DCBAF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FA9DE-9D66-4968-B27C-C1225BA0A989}">
  <dimension ref="B1:Q33"/>
  <sheetViews>
    <sheetView showGridLines="0" workbookViewId="0"/>
  </sheetViews>
  <sheetFormatPr defaultRowHeight="13.2" x14ac:dyDescent="0.25"/>
  <cols>
    <col min="3" max="3" width="9.77734375" customWidth="1"/>
    <col min="4" max="4" width="11" customWidth="1"/>
    <col min="5" max="5" width="13.5546875" customWidth="1"/>
    <col min="6" max="6" width="14.88671875" customWidth="1"/>
    <col min="7" max="7" width="10.33203125" customWidth="1"/>
    <col min="8" max="8" width="15.5546875" customWidth="1"/>
    <col min="9" max="9" width="15.88671875" customWidth="1"/>
    <col min="10" max="10" width="17.33203125" customWidth="1"/>
    <col min="11" max="11" width="11.5546875" customWidth="1"/>
    <col min="12" max="12" width="12.21875" customWidth="1"/>
    <col min="14" max="14" width="24.33203125" bestFit="1" customWidth="1"/>
  </cols>
  <sheetData>
    <row r="1" spans="2:17" ht="18" x14ac:dyDescent="0.35">
      <c r="B1" s="12" t="s">
        <v>564</v>
      </c>
      <c r="N1" t="s">
        <v>672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246</v>
      </c>
      <c r="O5" s="16">
        <v>65</v>
      </c>
      <c r="P5" s="16">
        <v>8</v>
      </c>
      <c r="Q5" s="16">
        <v>319</v>
      </c>
    </row>
    <row r="10" spans="2:17" ht="18" x14ac:dyDescent="0.35">
      <c r="B10" s="13" t="s">
        <v>544</v>
      </c>
    </row>
    <row r="12" spans="2:17" x14ac:dyDescent="0.25">
      <c r="C12" s="15" t="s">
        <v>565</v>
      </c>
      <c r="D12" t="s">
        <v>566</v>
      </c>
      <c r="E12" t="s">
        <v>567</v>
      </c>
      <c r="F12" t="s">
        <v>568</v>
      </c>
      <c r="G12" t="s">
        <v>569</v>
      </c>
      <c r="H12" t="s">
        <v>570</v>
      </c>
      <c r="I12" t="s">
        <v>571</v>
      </c>
      <c r="J12" t="s">
        <v>572</v>
      </c>
      <c r="K12" t="s">
        <v>573</v>
      </c>
      <c r="L12" t="s">
        <v>574</v>
      </c>
    </row>
    <row r="13" spans="2:17" x14ac:dyDescent="0.25">
      <c r="C13" s="15">
        <v>1</v>
      </c>
      <c r="D13" s="14" t="e">
        <f>NA()</f>
        <v>#N/A</v>
      </c>
      <c r="E13" s="14">
        <v>2</v>
      </c>
      <c r="F13" s="14">
        <v>3</v>
      </c>
      <c r="G13" s="14" t="s">
        <v>73</v>
      </c>
      <c r="H13" s="14">
        <v>0.37589</v>
      </c>
      <c r="I13" s="14">
        <v>247</v>
      </c>
      <c r="J13" s="14">
        <v>82</v>
      </c>
      <c r="K13" s="14" t="s">
        <v>14</v>
      </c>
      <c r="L13" t="s">
        <v>575</v>
      </c>
    </row>
    <row r="14" spans="2:17" x14ac:dyDescent="0.25">
      <c r="C14" s="15">
        <v>2</v>
      </c>
      <c r="D14" s="14">
        <v>1</v>
      </c>
      <c r="E14" s="14">
        <v>4</v>
      </c>
      <c r="F14" s="14">
        <v>5</v>
      </c>
      <c r="G14" s="14" t="s">
        <v>67</v>
      </c>
      <c r="H14" s="14">
        <v>0.19012999999999999</v>
      </c>
      <c r="I14" s="14">
        <v>162</v>
      </c>
      <c r="J14" s="14">
        <v>57</v>
      </c>
      <c r="K14" s="14" t="s">
        <v>14</v>
      </c>
      <c r="L14" t="s">
        <v>575</v>
      </c>
    </row>
    <row r="15" spans="2:17" x14ac:dyDescent="0.25">
      <c r="C15" s="15">
        <v>3</v>
      </c>
      <c r="D15" s="14">
        <v>1</v>
      </c>
      <c r="E15" s="14">
        <v>6</v>
      </c>
      <c r="F15" s="14">
        <v>7</v>
      </c>
      <c r="G15" s="14" t="s">
        <v>67</v>
      </c>
      <c r="H15" s="14">
        <v>0.38550000000000001</v>
      </c>
      <c r="I15" s="14">
        <v>85</v>
      </c>
      <c r="J15" s="14">
        <v>25</v>
      </c>
      <c r="K15" s="14" t="s">
        <v>13</v>
      </c>
      <c r="L15" t="s">
        <v>575</v>
      </c>
    </row>
    <row r="16" spans="2:17" x14ac:dyDescent="0.25">
      <c r="C16" s="15">
        <v>4</v>
      </c>
      <c r="D16" s="14">
        <v>2</v>
      </c>
      <c r="E16" s="14">
        <v>8</v>
      </c>
      <c r="F16" s="14">
        <v>9</v>
      </c>
      <c r="G16" s="14" t="s">
        <v>70</v>
      </c>
      <c r="H16" s="14">
        <v>0.19506000000000001</v>
      </c>
      <c r="I16" s="14">
        <v>56</v>
      </c>
      <c r="J16" s="14">
        <v>20</v>
      </c>
      <c r="K16" s="14" t="s">
        <v>15</v>
      </c>
      <c r="L16" t="s">
        <v>575</v>
      </c>
    </row>
    <row r="17" spans="3:12" x14ac:dyDescent="0.25">
      <c r="C17" s="15">
        <v>5</v>
      </c>
      <c r="D17" s="14">
        <v>2</v>
      </c>
      <c r="E17" s="14">
        <v>10</v>
      </c>
      <c r="F17" s="14">
        <v>11</v>
      </c>
      <c r="G17" s="14" t="s">
        <v>70</v>
      </c>
      <c r="H17" s="14">
        <v>0.44973999999999997</v>
      </c>
      <c r="I17" s="14">
        <v>106</v>
      </c>
      <c r="J17" s="14">
        <v>37</v>
      </c>
      <c r="K17" s="14" t="s">
        <v>14</v>
      </c>
      <c r="L17" t="s">
        <v>575</v>
      </c>
    </row>
    <row r="18" spans="3:12" x14ac:dyDescent="0.25">
      <c r="C18" s="15">
        <v>6</v>
      </c>
      <c r="D18" s="14">
        <v>3</v>
      </c>
      <c r="E18" s="14">
        <v>12</v>
      </c>
      <c r="F18" s="14">
        <v>13</v>
      </c>
      <c r="G18" s="14" t="s">
        <v>62</v>
      </c>
      <c r="H18" s="14">
        <v>0.26673000000000002</v>
      </c>
      <c r="I18" s="14">
        <v>8</v>
      </c>
      <c r="J18" s="14">
        <v>6</v>
      </c>
      <c r="K18" s="14" t="s">
        <v>15</v>
      </c>
      <c r="L18" t="s">
        <v>575</v>
      </c>
    </row>
    <row r="19" spans="3:12" x14ac:dyDescent="0.25">
      <c r="C19" s="15">
        <v>7</v>
      </c>
      <c r="D19" s="14">
        <v>3</v>
      </c>
      <c r="E19" s="14">
        <v>14</v>
      </c>
      <c r="F19" s="14">
        <v>15</v>
      </c>
      <c r="G19" s="14" t="s">
        <v>65</v>
      </c>
      <c r="H19" s="14">
        <v>0.71191000000000004</v>
      </c>
      <c r="I19" s="14">
        <v>77</v>
      </c>
      <c r="J19" s="14">
        <v>19</v>
      </c>
      <c r="K19" s="14" t="s">
        <v>13</v>
      </c>
      <c r="L19" t="s">
        <v>575</v>
      </c>
    </row>
    <row r="20" spans="3:12" x14ac:dyDescent="0.25">
      <c r="C20" s="15">
        <v>8</v>
      </c>
      <c r="D20" s="14">
        <v>4</v>
      </c>
      <c r="E20" s="14" t="e">
        <f>NA()</f>
        <v>#N/A</v>
      </c>
      <c r="F20" s="14" t="e">
        <f>NA()</f>
        <v>#N/A</v>
      </c>
      <c r="G20" s="14" t="e">
        <f>NA()</f>
        <v>#N/A</v>
      </c>
      <c r="H20" s="14" t="e">
        <f>NA()</f>
        <v>#N/A</v>
      </c>
      <c r="I20" s="14">
        <v>5</v>
      </c>
      <c r="J20" s="14">
        <v>1</v>
      </c>
      <c r="K20" s="14" t="s">
        <v>14</v>
      </c>
      <c r="L20" t="s">
        <v>576</v>
      </c>
    </row>
    <row r="21" spans="3:12" x14ac:dyDescent="0.25">
      <c r="C21" s="15">
        <v>9</v>
      </c>
      <c r="D21" s="14">
        <v>4</v>
      </c>
      <c r="E21" s="14" t="e">
        <f>NA()</f>
        <v>#N/A</v>
      </c>
      <c r="F21" s="14" t="e">
        <f>NA()</f>
        <v>#N/A</v>
      </c>
      <c r="G21" s="14" t="e">
        <f>NA()</f>
        <v>#N/A</v>
      </c>
      <c r="H21" s="14" t="e">
        <f>NA()</f>
        <v>#N/A</v>
      </c>
      <c r="I21" s="14">
        <v>51</v>
      </c>
      <c r="J21" s="14">
        <v>19</v>
      </c>
      <c r="K21" s="14" t="s">
        <v>15</v>
      </c>
      <c r="L21" t="s">
        <v>576</v>
      </c>
    </row>
    <row r="22" spans="3:12" x14ac:dyDescent="0.25">
      <c r="C22" s="15">
        <v>10</v>
      </c>
      <c r="D22" s="14">
        <v>5</v>
      </c>
      <c r="E22" s="14">
        <v>16</v>
      </c>
      <c r="F22" s="14">
        <v>17</v>
      </c>
      <c r="G22" s="14" t="s">
        <v>72</v>
      </c>
      <c r="H22" s="14">
        <v>6.5454999999999999E-2</v>
      </c>
      <c r="I22" s="14">
        <v>101</v>
      </c>
      <c r="J22" s="14">
        <v>32</v>
      </c>
      <c r="K22" s="14" t="s">
        <v>14</v>
      </c>
      <c r="L22" t="s">
        <v>575</v>
      </c>
    </row>
    <row r="23" spans="3:12" x14ac:dyDescent="0.25">
      <c r="C23" s="15">
        <v>11</v>
      </c>
      <c r="D23" s="14">
        <v>5</v>
      </c>
      <c r="E23" s="14" t="e">
        <f>NA()</f>
        <v>#N/A</v>
      </c>
      <c r="F23" s="14" t="e">
        <f>NA()</f>
        <v>#N/A</v>
      </c>
      <c r="G23" s="14" t="e">
        <f>NA()</f>
        <v>#N/A</v>
      </c>
      <c r="H23" s="14" t="e">
        <f>NA()</f>
        <v>#N/A</v>
      </c>
      <c r="I23" s="14">
        <v>5</v>
      </c>
      <c r="J23" s="14">
        <v>5</v>
      </c>
      <c r="K23" s="14" t="s">
        <v>15</v>
      </c>
      <c r="L23" t="s">
        <v>576</v>
      </c>
    </row>
    <row r="24" spans="3:12" x14ac:dyDescent="0.25">
      <c r="C24" s="15">
        <v>12</v>
      </c>
      <c r="D24" s="14">
        <v>6</v>
      </c>
      <c r="E24" s="14" t="e">
        <f>NA()</f>
        <v>#N/A</v>
      </c>
      <c r="F24" s="14" t="e">
        <f>NA()</f>
        <v>#N/A</v>
      </c>
      <c r="G24" s="14" t="e">
        <f>NA()</f>
        <v>#N/A</v>
      </c>
      <c r="H24" s="14" t="e">
        <f>NA()</f>
        <v>#N/A</v>
      </c>
      <c r="I24" s="14">
        <v>2</v>
      </c>
      <c r="J24" s="14">
        <v>2</v>
      </c>
      <c r="K24" s="14" t="s">
        <v>14</v>
      </c>
      <c r="L24" t="s">
        <v>576</v>
      </c>
    </row>
    <row r="25" spans="3:12" x14ac:dyDescent="0.25">
      <c r="C25" s="15">
        <v>13</v>
      </c>
      <c r="D25" s="14">
        <v>6</v>
      </c>
      <c r="E25" s="14" t="e">
        <f>NA()</f>
        <v>#N/A</v>
      </c>
      <c r="F25" s="14" t="e">
        <f>NA()</f>
        <v>#N/A</v>
      </c>
      <c r="G25" s="14" t="e">
        <f>NA()</f>
        <v>#N/A</v>
      </c>
      <c r="H25" s="14" t="e">
        <f>NA()</f>
        <v>#N/A</v>
      </c>
      <c r="I25" s="14">
        <v>6</v>
      </c>
      <c r="J25" s="14">
        <v>4</v>
      </c>
      <c r="K25" s="14" t="s">
        <v>15</v>
      </c>
      <c r="L25" t="s">
        <v>576</v>
      </c>
    </row>
    <row r="26" spans="3:12" x14ac:dyDescent="0.25">
      <c r="C26" s="15">
        <v>14</v>
      </c>
      <c r="D26" s="14">
        <v>7</v>
      </c>
      <c r="E26" s="14" t="e">
        <f>NA()</f>
        <v>#N/A</v>
      </c>
      <c r="F26" s="14" t="e">
        <f>NA()</f>
        <v>#N/A</v>
      </c>
      <c r="G26" s="14" t="e">
        <f>NA()</f>
        <v>#N/A</v>
      </c>
      <c r="H26" s="14" t="e">
        <f>NA()</f>
        <v>#N/A</v>
      </c>
      <c r="I26" s="14">
        <v>75</v>
      </c>
      <c r="J26" s="14">
        <v>17</v>
      </c>
      <c r="K26" s="14" t="s">
        <v>13</v>
      </c>
      <c r="L26" t="s">
        <v>576</v>
      </c>
    </row>
    <row r="27" spans="3:12" x14ac:dyDescent="0.25">
      <c r="C27" s="15">
        <v>15</v>
      </c>
      <c r="D27" s="14">
        <v>7</v>
      </c>
      <c r="E27" s="14" t="e">
        <f>NA()</f>
        <v>#N/A</v>
      </c>
      <c r="F27" s="14" t="e">
        <f>NA()</f>
        <v>#N/A</v>
      </c>
      <c r="G27" s="14" t="e">
        <f>NA()</f>
        <v>#N/A</v>
      </c>
      <c r="H27" s="14" t="e">
        <f>NA()</f>
        <v>#N/A</v>
      </c>
      <c r="I27" s="14">
        <v>2</v>
      </c>
      <c r="J27" s="14">
        <v>2</v>
      </c>
      <c r="K27" s="14" t="s">
        <v>14</v>
      </c>
      <c r="L27" t="s">
        <v>576</v>
      </c>
    </row>
    <row r="28" spans="3:12" x14ac:dyDescent="0.25">
      <c r="C28" s="15">
        <v>16</v>
      </c>
      <c r="D28" s="14">
        <v>10</v>
      </c>
      <c r="E28" s="14" t="e">
        <f>NA()</f>
        <v>#N/A</v>
      </c>
      <c r="F28" s="14" t="e">
        <f>NA()</f>
        <v>#N/A</v>
      </c>
      <c r="G28" s="14" t="e">
        <f>NA()</f>
        <v>#N/A</v>
      </c>
      <c r="H28" s="14" t="e">
        <f>NA()</f>
        <v>#N/A</v>
      </c>
      <c r="I28" s="14">
        <v>1</v>
      </c>
      <c r="J28" s="14">
        <v>1</v>
      </c>
      <c r="K28" s="14" t="s">
        <v>15</v>
      </c>
      <c r="L28" t="s">
        <v>576</v>
      </c>
    </row>
    <row r="29" spans="3:12" x14ac:dyDescent="0.25">
      <c r="C29" s="15">
        <v>17</v>
      </c>
      <c r="D29" s="14">
        <v>10</v>
      </c>
      <c r="E29" s="14">
        <v>18</v>
      </c>
      <c r="F29" s="14">
        <v>19</v>
      </c>
      <c r="G29" s="14" t="s">
        <v>73</v>
      </c>
      <c r="H29" s="14">
        <v>0.35343000000000002</v>
      </c>
      <c r="I29" s="14">
        <v>100</v>
      </c>
      <c r="J29" s="14">
        <v>31</v>
      </c>
      <c r="K29" s="14" t="s">
        <v>14</v>
      </c>
      <c r="L29" t="s">
        <v>575</v>
      </c>
    </row>
    <row r="30" spans="3:12" x14ac:dyDescent="0.25">
      <c r="C30" s="15">
        <v>18</v>
      </c>
      <c r="D30" s="14">
        <v>17</v>
      </c>
      <c r="E30" s="14" t="e">
        <f>NA()</f>
        <v>#N/A</v>
      </c>
      <c r="F30" s="14" t="e">
        <f>NA()</f>
        <v>#N/A</v>
      </c>
      <c r="G30" s="14" t="e">
        <f>NA()</f>
        <v>#N/A</v>
      </c>
      <c r="H30" s="14" t="e">
        <f>NA()</f>
        <v>#N/A</v>
      </c>
      <c r="I30" s="14">
        <v>96</v>
      </c>
      <c r="J30" s="14">
        <v>30</v>
      </c>
      <c r="K30" s="14" t="s">
        <v>14</v>
      </c>
      <c r="L30" t="s">
        <v>576</v>
      </c>
    </row>
    <row r="31" spans="3:12" x14ac:dyDescent="0.25">
      <c r="C31" s="15">
        <v>19</v>
      </c>
      <c r="D31" s="14">
        <v>17</v>
      </c>
      <c r="E31" s="14">
        <v>20</v>
      </c>
      <c r="F31" s="14">
        <v>21</v>
      </c>
      <c r="G31" s="14" t="s">
        <v>63</v>
      </c>
      <c r="H31" s="14">
        <v>0.66930999999999996</v>
      </c>
      <c r="I31" s="14">
        <v>4</v>
      </c>
      <c r="J31" s="14">
        <v>1</v>
      </c>
      <c r="K31" s="14" t="s">
        <v>14</v>
      </c>
      <c r="L31" t="s">
        <v>575</v>
      </c>
    </row>
    <row r="32" spans="3:12" x14ac:dyDescent="0.25">
      <c r="C32" s="15">
        <v>20</v>
      </c>
      <c r="D32" s="14">
        <v>19</v>
      </c>
      <c r="E32" s="14" t="e">
        <f>NA()</f>
        <v>#N/A</v>
      </c>
      <c r="F32" s="14" t="e">
        <f>NA()</f>
        <v>#N/A</v>
      </c>
      <c r="G32" s="14" t="e">
        <f>NA()</f>
        <v>#N/A</v>
      </c>
      <c r="H32" s="14" t="e">
        <f>NA()</f>
        <v>#N/A</v>
      </c>
      <c r="I32" s="14">
        <v>3</v>
      </c>
      <c r="J32" s="14">
        <v>1</v>
      </c>
      <c r="K32" s="14" t="s">
        <v>14</v>
      </c>
      <c r="L32" t="s">
        <v>576</v>
      </c>
    </row>
    <row r="33" spans="3:12" x14ac:dyDescent="0.25">
      <c r="C33" s="15">
        <v>21</v>
      </c>
      <c r="D33" s="14">
        <v>19</v>
      </c>
      <c r="E33" s="14" t="e">
        <f>NA()</f>
        <v>#N/A</v>
      </c>
      <c r="F33" s="14" t="e">
        <f>NA()</f>
        <v>#N/A</v>
      </c>
      <c r="G33" s="14" t="e">
        <f>NA()</f>
        <v>#N/A</v>
      </c>
      <c r="H33" s="14" t="e">
        <f>NA()</f>
        <v>#N/A</v>
      </c>
      <c r="I33" s="14">
        <v>1</v>
      </c>
      <c r="J33" s="14">
        <v>0</v>
      </c>
      <c r="K33" s="14" t="s">
        <v>13</v>
      </c>
      <c r="L33" t="s">
        <v>576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2'!$B$10:$B$10" display="Best Pruned Tree Rules (Using Validation Data)" xr:uid="{DDCDDF42-B407-4B82-880E-6FBE67F66E71}"/>
    <hyperlink ref="D4" location="'CT_FullTree2'!$B$10:$B$10" display="Fully Grown Tree Rules (Using Training Data)" xr:uid="{4BA7D887-7481-4407-BEEB-104D0FDFCEB2}"/>
    <hyperlink ref="F4" location="'CT_MinErrorTree2'!$B$10:$B$10" display="Min Error Tree Rules (Using Validation Data)" xr:uid="{5CC5F93C-1886-44CF-9F41-39AA85657BAE}"/>
    <hyperlink ref="H4" location="'CT_Output2'!$B$10:$B$10" display="Inputs" xr:uid="{EB92224C-6339-4DF9-A8D7-3DC24FF3ABC8}"/>
    <hyperlink ref="J4" location="'CT_Output2'!$B$67:$B$67" display="Feature Importance" xr:uid="{7FBE6F43-8165-4791-985D-BB232E69CECC}"/>
    <hyperlink ref="B5" location="'CT_Stored2'!$B$10:$B$10" display="PMML Model" xr:uid="{BB2C8F5C-5715-4AA5-8FDA-6638E8F2AEEE}"/>
    <hyperlink ref="D5" location="'CT_TrainingScore2'!$B$10:$B$10" display="Training: Classification Summary" xr:uid="{9AFAC26A-0240-47E2-A786-BBE572E24FB8}"/>
    <hyperlink ref="F5" location="'CT_ValidationScore2'!$B$10:$B$10" display="Validation: Classification Summary" xr:uid="{C92BEC4D-93E1-4492-8DBE-314E886FA916}"/>
  </hyperlink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3D12-79A0-4E8B-9604-9AB0FD0DA964}">
  <dimension ref="B1:Q27"/>
  <sheetViews>
    <sheetView showGridLines="0" workbookViewId="0"/>
  </sheetViews>
  <sheetFormatPr defaultRowHeight="13.2" x14ac:dyDescent="0.25"/>
  <cols>
    <col min="3" max="3" width="9.77734375" customWidth="1"/>
    <col min="4" max="4" width="11" customWidth="1"/>
    <col min="5" max="5" width="13.5546875" customWidth="1"/>
    <col min="6" max="6" width="14.88671875" customWidth="1"/>
    <col min="7" max="7" width="10.33203125" customWidth="1"/>
    <col min="8" max="8" width="15.5546875" customWidth="1"/>
    <col min="9" max="9" width="15.88671875" customWidth="1"/>
    <col min="10" max="10" width="17.33203125" customWidth="1"/>
    <col min="11" max="11" width="11.5546875" customWidth="1"/>
    <col min="12" max="12" width="12.21875" customWidth="1"/>
    <col min="14" max="14" width="24.33203125" bestFit="1" customWidth="1"/>
  </cols>
  <sheetData>
    <row r="1" spans="2:17" ht="18" x14ac:dyDescent="0.35">
      <c r="B1" s="12" t="s">
        <v>564</v>
      </c>
      <c r="N1" t="s">
        <v>672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246</v>
      </c>
      <c r="O5" s="16">
        <v>65</v>
      </c>
      <c r="P5" s="16">
        <v>8</v>
      </c>
      <c r="Q5" s="16">
        <v>319</v>
      </c>
    </row>
    <row r="10" spans="2:17" ht="18" x14ac:dyDescent="0.35">
      <c r="B10" s="13" t="s">
        <v>543</v>
      </c>
    </row>
    <row r="12" spans="2:17" x14ac:dyDescent="0.25">
      <c r="C12" s="15" t="s">
        <v>565</v>
      </c>
      <c r="D12" t="s">
        <v>566</v>
      </c>
      <c r="E12" t="s">
        <v>567</v>
      </c>
      <c r="F12" t="s">
        <v>568</v>
      </c>
      <c r="G12" t="s">
        <v>569</v>
      </c>
      <c r="H12" t="s">
        <v>570</v>
      </c>
      <c r="I12" t="s">
        <v>571</v>
      </c>
      <c r="J12" t="s">
        <v>572</v>
      </c>
      <c r="K12" t="s">
        <v>573</v>
      </c>
      <c r="L12" t="s">
        <v>574</v>
      </c>
    </row>
    <row r="13" spans="2:17" x14ac:dyDescent="0.25">
      <c r="C13" s="15">
        <v>1</v>
      </c>
      <c r="D13" s="14" t="e">
        <f>NA()</f>
        <v>#N/A</v>
      </c>
      <c r="E13" s="14">
        <v>2</v>
      </c>
      <c r="F13" s="14">
        <v>3</v>
      </c>
      <c r="G13" s="14" t="s">
        <v>73</v>
      </c>
      <c r="H13" s="14">
        <v>0.37589</v>
      </c>
      <c r="I13" s="14">
        <v>247</v>
      </c>
      <c r="J13" s="14">
        <v>82</v>
      </c>
      <c r="K13" s="14" t="s">
        <v>14</v>
      </c>
      <c r="L13" t="s">
        <v>575</v>
      </c>
    </row>
    <row r="14" spans="2:17" x14ac:dyDescent="0.25">
      <c r="C14" s="15">
        <v>2</v>
      </c>
      <c r="D14" s="14">
        <v>1</v>
      </c>
      <c r="E14" s="14">
        <v>4</v>
      </c>
      <c r="F14" s="14">
        <v>5</v>
      </c>
      <c r="G14" s="14" t="s">
        <v>67</v>
      </c>
      <c r="H14" s="14">
        <v>0.19012999999999999</v>
      </c>
      <c r="I14" s="14">
        <v>162</v>
      </c>
      <c r="J14" s="14">
        <v>57</v>
      </c>
      <c r="K14" s="14" t="s">
        <v>14</v>
      </c>
      <c r="L14" t="s">
        <v>575</v>
      </c>
    </row>
    <row r="15" spans="2:17" x14ac:dyDescent="0.25">
      <c r="C15" s="15">
        <v>3</v>
      </c>
      <c r="D15" s="14">
        <v>1</v>
      </c>
      <c r="E15" s="14">
        <v>6</v>
      </c>
      <c r="F15" s="14">
        <v>7</v>
      </c>
      <c r="G15" s="14" t="s">
        <v>67</v>
      </c>
      <c r="H15" s="14">
        <v>0.38550000000000001</v>
      </c>
      <c r="I15" s="14">
        <v>85</v>
      </c>
      <c r="J15" s="14">
        <v>25</v>
      </c>
      <c r="K15" s="14" t="s">
        <v>13</v>
      </c>
      <c r="L15" t="s">
        <v>575</v>
      </c>
    </row>
    <row r="16" spans="2:17" x14ac:dyDescent="0.25">
      <c r="C16" s="15">
        <v>4</v>
      </c>
      <c r="D16" s="14">
        <v>2</v>
      </c>
      <c r="E16" s="14">
        <v>8</v>
      </c>
      <c r="F16" s="14">
        <v>9</v>
      </c>
      <c r="G16" s="14" t="s">
        <v>70</v>
      </c>
      <c r="H16" s="14">
        <v>0.19506000000000001</v>
      </c>
      <c r="I16" s="14">
        <v>56</v>
      </c>
      <c r="J16" s="14">
        <v>20</v>
      </c>
      <c r="K16" s="14" t="s">
        <v>15</v>
      </c>
      <c r="L16" t="s">
        <v>575</v>
      </c>
    </row>
    <row r="17" spans="3:12" x14ac:dyDescent="0.25">
      <c r="C17" s="15">
        <v>5</v>
      </c>
      <c r="D17" s="14">
        <v>2</v>
      </c>
      <c r="E17" s="14">
        <v>10</v>
      </c>
      <c r="F17" s="14">
        <v>11</v>
      </c>
      <c r="G17" s="14" t="s">
        <v>70</v>
      </c>
      <c r="H17" s="14">
        <v>0.44973999999999997</v>
      </c>
      <c r="I17" s="14">
        <v>106</v>
      </c>
      <c r="J17" s="14">
        <v>37</v>
      </c>
      <c r="K17" s="14" t="s">
        <v>14</v>
      </c>
      <c r="L17" t="s">
        <v>575</v>
      </c>
    </row>
    <row r="18" spans="3:12" x14ac:dyDescent="0.25">
      <c r="C18" s="15">
        <v>6</v>
      </c>
      <c r="D18" s="14">
        <v>3</v>
      </c>
      <c r="E18" s="14">
        <v>12</v>
      </c>
      <c r="F18" s="14">
        <v>13</v>
      </c>
      <c r="G18" s="14" t="s">
        <v>62</v>
      </c>
      <c r="H18" s="14">
        <v>0.26673000000000002</v>
      </c>
      <c r="I18" s="14">
        <v>8</v>
      </c>
      <c r="J18" s="14">
        <v>6</v>
      </c>
      <c r="K18" s="14" t="s">
        <v>15</v>
      </c>
      <c r="L18" t="s">
        <v>575</v>
      </c>
    </row>
    <row r="19" spans="3:12" x14ac:dyDescent="0.25">
      <c r="C19" s="15">
        <v>7</v>
      </c>
      <c r="D19" s="14">
        <v>3</v>
      </c>
      <c r="E19" s="14">
        <v>14</v>
      </c>
      <c r="F19" s="14">
        <v>15</v>
      </c>
      <c r="G19" s="14" t="s">
        <v>65</v>
      </c>
      <c r="H19" s="14">
        <v>0.71191000000000004</v>
      </c>
      <c r="I19" s="14">
        <v>77</v>
      </c>
      <c r="J19" s="14">
        <v>19</v>
      </c>
      <c r="K19" s="14" t="s">
        <v>13</v>
      </c>
      <c r="L19" t="s">
        <v>575</v>
      </c>
    </row>
    <row r="20" spans="3:12" x14ac:dyDescent="0.25">
      <c r="C20" s="15">
        <v>8</v>
      </c>
      <c r="D20" s="14">
        <v>4</v>
      </c>
      <c r="E20" s="14" t="e">
        <f>NA()</f>
        <v>#N/A</v>
      </c>
      <c r="F20" s="14" t="e">
        <f>NA()</f>
        <v>#N/A</v>
      </c>
      <c r="G20" s="14" t="e">
        <f>NA()</f>
        <v>#N/A</v>
      </c>
      <c r="H20" s="14" t="e">
        <f>NA()</f>
        <v>#N/A</v>
      </c>
      <c r="I20" s="14">
        <v>5</v>
      </c>
      <c r="J20" s="14">
        <v>1</v>
      </c>
      <c r="K20" s="14" t="s">
        <v>14</v>
      </c>
      <c r="L20" t="s">
        <v>576</v>
      </c>
    </row>
    <row r="21" spans="3:12" x14ac:dyDescent="0.25">
      <c r="C21" s="15">
        <v>9</v>
      </c>
      <c r="D21" s="14">
        <v>4</v>
      </c>
      <c r="E21" s="14" t="e">
        <f>NA()</f>
        <v>#N/A</v>
      </c>
      <c r="F21" s="14" t="e">
        <f>NA()</f>
        <v>#N/A</v>
      </c>
      <c r="G21" s="14" t="e">
        <f>NA()</f>
        <v>#N/A</v>
      </c>
      <c r="H21" s="14" t="e">
        <f>NA()</f>
        <v>#N/A</v>
      </c>
      <c r="I21" s="14">
        <v>51</v>
      </c>
      <c r="J21" s="14">
        <v>19</v>
      </c>
      <c r="K21" s="14" t="s">
        <v>15</v>
      </c>
      <c r="L21" t="s">
        <v>576</v>
      </c>
    </row>
    <row r="22" spans="3:12" x14ac:dyDescent="0.25">
      <c r="C22" s="15">
        <v>10</v>
      </c>
      <c r="D22" s="14">
        <v>5</v>
      </c>
      <c r="E22" s="14" t="e">
        <f>NA()</f>
        <v>#N/A</v>
      </c>
      <c r="F22" s="14" t="e">
        <f>NA()</f>
        <v>#N/A</v>
      </c>
      <c r="G22" s="14" t="e">
        <f>NA()</f>
        <v>#N/A</v>
      </c>
      <c r="H22" s="14" t="e">
        <f>NA()</f>
        <v>#N/A</v>
      </c>
      <c r="I22" s="14">
        <v>101</v>
      </c>
      <c r="J22" s="14">
        <v>32</v>
      </c>
      <c r="K22" s="14" t="s">
        <v>14</v>
      </c>
      <c r="L22" t="s">
        <v>576</v>
      </c>
    </row>
    <row r="23" spans="3:12" x14ac:dyDescent="0.25">
      <c r="C23" s="15">
        <v>11</v>
      </c>
      <c r="D23" s="14">
        <v>5</v>
      </c>
      <c r="E23" s="14" t="e">
        <f>NA()</f>
        <v>#N/A</v>
      </c>
      <c r="F23" s="14" t="e">
        <f>NA()</f>
        <v>#N/A</v>
      </c>
      <c r="G23" s="14" t="e">
        <f>NA()</f>
        <v>#N/A</v>
      </c>
      <c r="H23" s="14" t="e">
        <f>NA()</f>
        <v>#N/A</v>
      </c>
      <c r="I23" s="14">
        <v>5</v>
      </c>
      <c r="J23" s="14">
        <v>5</v>
      </c>
      <c r="K23" s="14" t="s">
        <v>15</v>
      </c>
      <c r="L23" t="s">
        <v>576</v>
      </c>
    </row>
    <row r="24" spans="3:12" x14ac:dyDescent="0.25">
      <c r="C24" s="15">
        <v>12</v>
      </c>
      <c r="D24" s="14">
        <v>6</v>
      </c>
      <c r="E24" s="14" t="e">
        <f>NA()</f>
        <v>#N/A</v>
      </c>
      <c r="F24" s="14" t="e">
        <f>NA()</f>
        <v>#N/A</v>
      </c>
      <c r="G24" s="14" t="e">
        <f>NA()</f>
        <v>#N/A</v>
      </c>
      <c r="H24" s="14" t="e">
        <f>NA()</f>
        <v>#N/A</v>
      </c>
      <c r="I24" s="14">
        <v>2</v>
      </c>
      <c r="J24" s="14">
        <v>2</v>
      </c>
      <c r="K24" s="14" t="s">
        <v>14</v>
      </c>
      <c r="L24" t="s">
        <v>576</v>
      </c>
    </row>
    <row r="25" spans="3:12" x14ac:dyDescent="0.25">
      <c r="C25" s="15">
        <v>13</v>
      </c>
      <c r="D25" s="14">
        <v>6</v>
      </c>
      <c r="E25" s="14" t="e">
        <f>NA()</f>
        <v>#N/A</v>
      </c>
      <c r="F25" s="14" t="e">
        <f>NA()</f>
        <v>#N/A</v>
      </c>
      <c r="G25" s="14" t="e">
        <f>NA()</f>
        <v>#N/A</v>
      </c>
      <c r="H25" s="14" t="e">
        <f>NA()</f>
        <v>#N/A</v>
      </c>
      <c r="I25" s="14">
        <v>6</v>
      </c>
      <c r="J25" s="14">
        <v>4</v>
      </c>
      <c r="K25" s="14" t="s">
        <v>15</v>
      </c>
      <c r="L25" t="s">
        <v>576</v>
      </c>
    </row>
    <row r="26" spans="3:12" x14ac:dyDescent="0.25">
      <c r="C26" s="15">
        <v>14</v>
      </c>
      <c r="D26" s="14">
        <v>7</v>
      </c>
      <c r="E26" s="14" t="e">
        <f>NA()</f>
        <v>#N/A</v>
      </c>
      <c r="F26" s="14" t="e">
        <f>NA()</f>
        <v>#N/A</v>
      </c>
      <c r="G26" s="14" t="e">
        <f>NA()</f>
        <v>#N/A</v>
      </c>
      <c r="H26" s="14" t="e">
        <f>NA()</f>
        <v>#N/A</v>
      </c>
      <c r="I26" s="14">
        <v>75</v>
      </c>
      <c r="J26" s="14">
        <v>17</v>
      </c>
      <c r="K26" s="14" t="s">
        <v>13</v>
      </c>
      <c r="L26" t="s">
        <v>576</v>
      </c>
    </row>
    <row r="27" spans="3:12" x14ac:dyDescent="0.25">
      <c r="C27" s="15">
        <v>15</v>
      </c>
      <c r="D27" s="14">
        <v>7</v>
      </c>
      <c r="E27" s="14" t="e">
        <f>NA()</f>
        <v>#N/A</v>
      </c>
      <c r="F27" s="14" t="e">
        <f>NA()</f>
        <v>#N/A</v>
      </c>
      <c r="G27" s="14" t="e">
        <f>NA()</f>
        <v>#N/A</v>
      </c>
      <c r="H27" s="14" t="e">
        <f>NA()</f>
        <v>#N/A</v>
      </c>
      <c r="I27" s="14">
        <v>2</v>
      </c>
      <c r="J27" s="14">
        <v>2</v>
      </c>
      <c r="K27" s="14" t="s">
        <v>14</v>
      </c>
      <c r="L27" t="s">
        <v>576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2'!$B$10:$B$10" display="Best Pruned Tree Rules (Using Validation Data)" xr:uid="{0163713E-7CB6-4F63-9390-1D0110F368D7}"/>
    <hyperlink ref="D4" location="'CT_FullTree2'!$B$10:$B$10" display="Fully Grown Tree Rules (Using Training Data)" xr:uid="{C39BFBC8-A684-4F06-923D-C5B8C4DC73C3}"/>
    <hyperlink ref="F4" location="'CT_MinErrorTree2'!$B$10:$B$10" display="Min Error Tree Rules (Using Validation Data)" xr:uid="{A8A72D40-3E8E-4253-8813-4CF6A9959BFC}"/>
    <hyperlink ref="H4" location="'CT_Output2'!$B$10:$B$10" display="Inputs" xr:uid="{CF5FBAF3-0B84-4CD4-AF66-A0A2550D5895}"/>
    <hyperlink ref="J4" location="'CT_Output2'!$B$67:$B$67" display="Feature Importance" xr:uid="{10C79431-C184-4D20-A614-99E5466B4D43}"/>
    <hyperlink ref="B5" location="'CT_Stored2'!$B$10:$B$10" display="PMML Model" xr:uid="{95FED058-548A-4651-AF5E-5F1A28F3FAED}"/>
    <hyperlink ref="D5" location="'CT_TrainingScore2'!$B$10:$B$10" display="Training: Classification Summary" xr:uid="{D6806517-B9B1-4875-94DD-F75B2142D8A5}"/>
    <hyperlink ref="F5" location="'CT_ValidationScore2'!$B$10:$B$10" display="Validation: Classification Summary" xr:uid="{ECA1B2B2-1331-41EA-BC0D-94475ED483ED}"/>
  </hyperlink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E188-B349-4067-99C2-0707926B7C08}">
  <dimension ref="B1:Q29"/>
  <sheetViews>
    <sheetView showGridLines="0" workbookViewId="0"/>
  </sheetViews>
  <sheetFormatPr defaultRowHeight="13.2" x14ac:dyDescent="0.25"/>
  <cols>
    <col min="3" max="3" width="9.77734375" customWidth="1"/>
    <col min="4" max="4" width="11" customWidth="1"/>
    <col min="5" max="5" width="13.5546875" customWidth="1"/>
    <col min="6" max="6" width="14.88671875" customWidth="1"/>
    <col min="7" max="7" width="10.33203125" customWidth="1"/>
    <col min="8" max="8" width="15.5546875" customWidth="1"/>
    <col min="9" max="9" width="15.88671875" customWidth="1"/>
    <col min="10" max="10" width="17.33203125" customWidth="1"/>
    <col min="11" max="11" width="11.5546875" customWidth="1"/>
    <col min="12" max="12" width="12.21875" customWidth="1"/>
    <col min="14" max="14" width="24.33203125" bestFit="1" customWidth="1"/>
  </cols>
  <sheetData>
    <row r="1" spans="2:17" ht="18" x14ac:dyDescent="0.35">
      <c r="B1" s="12" t="s">
        <v>564</v>
      </c>
      <c r="N1" t="s">
        <v>672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246</v>
      </c>
      <c r="O5" s="16">
        <v>65</v>
      </c>
      <c r="P5" s="16">
        <v>8</v>
      </c>
      <c r="Q5" s="16">
        <v>319</v>
      </c>
    </row>
    <row r="10" spans="2:17" ht="18" x14ac:dyDescent="0.35">
      <c r="B10" s="13" t="s">
        <v>545</v>
      </c>
    </row>
    <row r="12" spans="2:17" x14ac:dyDescent="0.25">
      <c r="C12" s="15" t="s">
        <v>565</v>
      </c>
      <c r="D12" t="s">
        <v>566</v>
      </c>
      <c r="E12" t="s">
        <v>567</v>
      </c>
      <c r="F12" t="s">
        <v>568</v>
      </c>
      <c r="G12" t="s">
        <v>569</v>
      </c>
      <c r="H12" t="s">
        <v>570</v>
      </c>
      <c r="I12" t="s">
        <v>571</v>
      </c>
      <c r="J12" t="s">
        <v>572</v>
      </c>
      <c r="K12" t="s">
        <v>573</v>
      </c>
      <c r="L12" t="s">
        <v>574</v>
      </c>
    </row>
    <row r="13" spans="2:17" x14ac:dyDescent="0.25">
      <c r="C13" s="15">
        <v>1</v>
      </c>
      <c r="D13" s="14" t="e">
        <f>NA()</f>
        <v>#N/A</v>
      </c>
      <c r="E13" s="14">
        <v>2</v>
      </c>
      <c r="F13" s="14">
        <v>3</v>
      </c>
      <c r="G13" s="14" t="s">
        <v>73</v>
      </c>
      <c r="H13" s="14">
        <v>0.37589</v>
      </c>
      <c r="I13" s="14">
        <v>247</v>
      </c>
      <c r="J13" s="14">
        <v>82</v>
      </c>
      <c r="K13" s="14" t="s">
        <v>14</v>
      </c>
      <c r="L13" t="s">
        <v>575</v>
      </c>
    </row>
    <row r="14" spans="2:17" x14ac:dyDescent="0.25">
      <c r="C14" s="15">
        <v>2</v>
      </c>
      <c r="D14" s="14">
        <v>1</v>
      </c>
      <c r="E14" s="14">
        <v>4</v>
      </c>
      <c r="F14" s="14">
        <v>5</v>
      </c>
      <c r="G14" s="14" t="s">
        <v>67</v>
      </c>
      <c r="H14" s="14">
        <v>0.19012999999999999</v>
      </c>
      <c r="I14" s="14">
        <v>162</v>
      </c>
      <c r="J14" s="14">
        <v>57</v>
      </c>
      <c r="K14" s="14" t="s">
        <v>14</v>
      </c>
      <c r="L14" t="s">
        <v>575</v>
      </c>
    </row>
    <row r="15" spans="2:17" x14ac:dyDescent="0.25">
      <c r="C15" s="15">
        <v>3</v>
      </c>
      <c r="D15" s="14">
        <v>1</v>
      </c>
      <c r="E15" s="14">
        <v>6</v>
      </c>
      <c r="F15" s="14">
        <v>7</v>
      </c>
      <c r="G15" s="14" t="s">
        <v>67</v>
      </c>
      <c r="H15" s="14">
        <v>0.38550000000000001</v>
      </c>
      <c r="I15" s="14">
        <v>85</v>
      </c>
      <c r="J15" s="14">
        <v>25</v>
      </c>
      <c r="K15" s="14" t="s">
        <v>13</v>
      </c>
      <c r="L15" t="s">
        <v>575</v>
      </c>
    </row>
    <row r="16" spans="2:17" x14ac:dyDescent="0.25">
      <c r="C16" s="15">
        <v>4</v>
      </c>
      <c r="D16" s="14">
        <v>2</v>
      </c>
      <c r="E16" s="14">
        <v>8</v>
      </c>
      <c r="F16" s="14">
        <v>9</v>
      </c>
      <c r="G16" s="14" t="s">
        <v>70</v>
      </c>
      <c r="H16" s="14">
        <v>0.19506000000000001</v>
      </c>
      <c r="I16" s="14">
        <v>56</v>
      </c>
      <c r="J16" s="14">
        <v>20</v>
      </c>
      <c r="K16" s="14" t="s">
        <v>15</v>
      </c>
      <c r="L16" t="s">
        <v>575</v>
      </c>
    </row>
    <row r="17" spans="3:12" x14ac:dyDescent="0.25">
      <c r="C17" s="15">
        <v>5</v>
      </c>
      <c r="D17" s="14">
        <v>2</v>
      </c>
      <c r="E17" s="14">
        <v>10</v>
      </c>
      <c r="F17" s="14">
        <v>11</v>
      </c>
      <c r="G17" s="14" t="s">
        <v>70</v>
      </c>
      <c r="H17" s="14">
        <v>0.44973999999999997</v>
      </c>
      <c r="I17" s="14">
        <v>106</v>
      </c>
      <c r="J17" s="14">
        <v>37</v>
      </c>
      <c r="K17" s="14" t="s">
        <v>14</v>
      </c>
      <c r="L17" t="s">
        <v>575</v>
      </c>
    </row>
    <row r="18" spans="3:12" x14ac:dyDescent="0.25">
      <c r="C18" s="15">
        <v>6</v>
      </c>
      <c r="D18" s="14">
        <v>3</v>
      </c>
      <c r="E18" s="14">
        <v>12</v>
      </c>
      <c r="F18" s="14">
        <v>13</v>
      </c>
      <c r="G18" s="14" t="s">
        <v>62</v>
      </c>
      <c r="H18" s="14">
        <v>0.26673000000000002</v>
      </c>
      <c r="I18" s="14">
        <v>8</v>
      </c>
      <c r="J18" s="14">
        <v>6</v>
      </c>
      <c r="K18" s="14" t="s">
        <v>15</v>
      </c>
      <c r="L18" t="s">
        <v>575</v>
      </c>
    </row>
    <row r="19" spans="3:12" x14ac:dyDescent="0.25">
      <c r="C19" s="15">
        <v>7</v>
      </c>
      <c r="D19" s="14">
        <v>3</v>
      </c>
      <c r="E19" s="14">
        <v>14</v>
      </c>
      <c r="F19" s="14">
        <v>15</v>
      </c>
      <c r="G19" s="14" t="s">
        <v>65</v>
      </c>
      <c r="H19" s="14">
        <v>0.71191000000000004</v>
      </c>
      <c r="I19" s="14">
        <v>77</v>
      </c>
      <c r="J19" s="14">
        <v>19</v>
      </c>
      <c r="K19" s="14" t="s">
        <v>13</v>
      </c>
      <c r="L19" t="s">
        <v>575</v>
      </c>
    </row>
    <row r="20" spans="3:12" x14ac:dyDescent="0.25">
      <c r="C20" s="15">
        <v>8</v>
      </c>
      <c r="D20" s="14">
        <v>4</v>
      </c>
      <c r="E20" s="14" t="e">
        <f>NA()</f>
        <v>#N/A</v>
      </c>
      <c r="F20" s="14" t="e">
        <f>NA()</f>
        <v>#N/A</v>
      </c>
      <c r="G20" s="14" t="e">
        <f>NA()</f>
        <v>#N/A</v>
      </c>
      <c r="H20" s="14" t="e">
        <f>NA()</f>
        <v>#N/A</v>
      </c>
      <c r="I20" s="14">
        <v>5</v>
      </c>
      <c r="J20" s="14">
        <v>1</v>
      </c>
      <c r="K20" s="14" t="s">
        <v>14</v>
      </c>
      <c r="L20" t="s">
        <v>576</v>
      </c>
    </row>
    <row r="21" spans="3:12" x14ac:dyDescent="0.25">
      <c r="C21" s="15">
        <v>9</v>
      </c>
      <c r="D21" s="14">
        <v>4</v>
      </c>
      <c r="E21" s="14" t="e">
        <f>NA()</f>
        <v>#N/A</v>
      </c>
      <c r="F21" s="14" t="e">
        <f>NA()</f>
        <v>#N/A</v>
      </c>
      <c r="G21" s="14" t="e">
        <f>NA()</f>
        <v>#N/A</v>
      </c>
      <c r="H21" s="14" t="e">
        <f>NA()</f>
        <v>#N/A</v>
      </c>
      <c r="I21" s="14">
        <v>51</v>
      </c>
      <c r="J21" s="14">
        <v>19</v>
      </c>
      <c r="K21" s="14" t="s">
        <v>15</v>
      </c>
      <c r="L21" t="s">
        <v>576</v>
      </c>
    </row>
    <row r="22" spans="3:12" x14ac:dyDescent="0.25">
      <c r="C22" s="15">
        <v>10</v>
      </c>
      <c r="D22" s="14">
        <v>5</v>
      </c>
      <c r="E22" s="14">
        <v>16</v>
      </c>
      <c r="F22" s="14">
        <v>17</v>
      </c>
      <c r="G22" s="14" t="s">
        <v>72</v>
      </c>
      <c r="H22" s="14">
        <v>6.5454999999999999E-2</v>
      </c>
      <c r="I22" s="14">
        <v>101</v>
      </c>
      <c r="J22" s="14">
        <v>32</v>
      </c>
      <c r="K22" s="14" t="s">
        <v>14</v>
      </c>
      <c r="L22" t="s">
        <v>575</v>
      </c>
    </row>
    <row r="23" spans="3:12" x14ac:dyDescent="0.25">
      <c r="C23" s="15">
        <v>11</v>
      </c>
      <c r="D23" s="14">
        <v>5</v>
      </c>
      <c r="E23" s="14" t="e">
        <f>NA()</f>
        <v>#N/A</v>
      </c>
      <c r="F23" s="14" t="e">
        <f>NA()</f>
        <v>#N/A</v>
      </c>
      <c r="G23" s="14" t="e">
        <f>NA()</f>
        <v>#N/A</v>
      </c>
      <c r="H23" s="14" t="e">
        <f>NA()</f>
        <v>#N/A</v>
      </c>
      <c r="I23" s="14">
        <v>5</v>
      </c>
      <c r="J23" s="14">
        <v>5</v>
      </c>
      <c r="K23" s="14" t="s">
        <v>15</v>
      </c>
      <c r="L23" t="s">
        <v>576</v>
      </c>
    </row>
    <row r="24" spans="3:12" x14ac:dyDescent="0.25">
      <c r="C24" s="15">
        <v>12</v>
      </c>
      <c r="D24" s="14">
        <v>6</v>
      </c>
      <c r="E24" s="14" t="e">
        <f>NA()</f>
        <v>#N/A</v>
      </c>
      <c r="F24" s="14" t="e">
        <f>NA()</f>
        <v>#N/A</v>
      </c>
      <c r="G24" s="14" t="e">
        <f>NA()</f>
        <v>#N/A</v>
      </c>
      <c r="H24" s="14" t="e">
        <f>NA()</f>
        <v>#N/A</v>
      </c>
      <c r="I24" s="14">
        <v>2</v>
      </c>
      <c r="J24" s="14">
        <v>2</v>
      </c>
      <c r="K24" s="14" t="s">
        <v>14</v>
      </c>
      <c r="L24" t="s">
        <v>576</v>
      </c>
    </row>
    <row r="25" spans="3:12" x14ac:dyDescent="0.25">
      <c r="C25" s="15">
        <v>13</v>
      </c>
      <c r="D25" s="14">
        <v>6</v>
      </c>
      <c r="E25" s="14" t="e">
        <f>NA()</f>
        <v>#N/A</v>
      </c>
      <c r="F25" s="14" t="e">
        <f>NA()</f>
        <v>#N/A</v>
      </c>
      <c r="G25" s="14" t="e">
        <f>NA()</f>
        <v>#N/A</v>
      </c>
      <c r="H25" s="14" t="e">
        <f>NA()</f>
        <v>#N/A</v>
      </c>
      <c r="I25" s="14">
        <v>6</v>
      </c>
      <c r="J25" s="14">
        <v>4</v>
      </c>
      <c r="K25" s="14" t="s">
        <v>15</v>
      </c>
      <c r="L25" t="s">
        <v>576</v>
      </c>
    </row>
    <row r="26" spans="3:12" x14ac:dyDescent="0.25">
      <c r="C26" s="15">
        <v>14</v>
      </c>
      <c r="D26" s="14">
        <v>7</v>
      </c>
      <c r="E26" s="14" t="e">
        <f>NA()</f>
        <v>#N/A</v>
      </c>
      <c r="F26" s="14" t="e">
        <f>NA()</f>
        <v>#N/A</v>
      </c>
      <c r="G26" s="14" t="e">
        <f>NA()</f>
        <v>#N/A</v>
      </c>
      <c r="H26" s="14" t="e">
        <f>NA()</f>
        <v>#N/A</v>
      </c>
      <c r="I26" s="14">
        <v>75</v>
      </c>
      <c r="J26" s="14">
        <v>17</v>
      </c>
      <c r="K26" s="14" t="s">
        <v>13</v>
      </c>
      <c r="L26" t="s">
        <v>576</v>
      </c>
    </row>
    <row r="27" spans="3:12" x14ac:dyDescent="0.25">
      <c r="C27" s="15">
        <v>15</v>
      </c>
      <c r="D27" s="14">
        <v>7</v>
      </c>
      <c r="E27" s="14" t="e">
        <f>NA()</f>
        <v>#N/A</v>
      </c>
      <c r="F27" s="14" t="e">
        <f>NA()</f>
        <v>#N/A</v>
      </c>
      <c r="G27" s="14" t="e">
        <f>NA()</f>
        <v>#N/A</v>
      </c>
      <c r="H27" s="14" t="e">
        <f>NA()</f>
        <v>#N/A</v>
      </c>
      <c r="I27" s="14">
        <v>2</v>
      </c>
      <c r="J27" s="14">
        <v>2</v>
      </c>
      <c r="K27" s="14" t="s">
        <v>14</v>
      </c>
      <c r="L27" t="s">
        <v>576</v>
      </c>
    </row>
    <row r="28" spans="3:12" x14ac:dyDescent="0.25">
      <c r="C28" s="15">
        <v>16</v>
      </c>
      <c r="D28" s="14">
        <v>10</v>
      </c>
      <c r="E28" s="14" t="e">
        <f>NA()</f>
        <v>#N/A</v>
      </c>
      <c r="F28" s="14" t="e">
        <f>NA()</f>
        <v>#N/A</v>
      </c>
      <c r="G28" s="14" t="e">
        <f>NA()</f>
        <v>#N/A</v>
      </c>
      <c r="H28" s="14" t="e">
        <f>NA()</f>
        <v>#N/A</v>
      </c>
      <c r="I28" s="14">
        <v>1</v>
      </c>
      <c r="J28" s="14">
        <v>1</v>
      </c>
      <c r="K28" s="14" t="s">
        <v>15</v>
      </c>
      <c r="L28" t="s">
        <v>576</v>
      </c>
    </row>
    <row r="29" spans="3:12" x14ac:dyDescent="0.25">
      <c r="C29" s="15">
        <v>17</v>
      </c>
      <c r="D29" s="14">
        <v>10</v>
      </c>
      <c r="E29" s="14" t="e">
        <f>NA()</f>
        <v>#N/A</v>
      </c>
      <c r="F29" s="14" t="e">
        <f>NA()</f>
        <v>#N/A</v>
      </c>
      <c r="G29" s="14" t="e">
        <f>NA()</f>
        <v>#N/A</v>
      </c>
      <c r="H29" s="14" t="e">
        <f>NA()</f>
        <v>#N/A</v>
      </c>
      <c r="I29" s="14">
        <v>100</v>
      </c>
      <c r="J29" s="14">
        <v>31</v>
      </c>
      <c r="K29" s="14" t="s">
        <v>14</v>
      </c>
      <c r="L29" t="s">
        <v>576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2'!$B$10:$B$10" display="Best Pruned Tree Rules (Using Validation Data)" xr:uid="{695BA7E0-20D8-437B-B2B5-4BDAA42FD5F7}"/>
    <hyperlink ref="D4" location="'CT_FullTree2'!$B$10:$B$10" display="Fully Grown Tree Rules (Using Training Data)" xr:uid="{58DB4D83-ED70-458D-ADC9-87AC139D762E}"/>
    <hyperlink ref="F4" location="'CT_MinErrorTree2'!$B$10:$B$10" display="Min Error Tree Rules (Using Validation Data)" xr:uid="{26EDC875-8241-4C20-9AB1-91FACD9492E6}"/>
    <hyperlink ref="H4" location="'CT_Output2'!$B$10:$B$10" display="Inputs" xr:uid="{25B0E602-923B-4105-B612-C3B5D4589202}"/>
    <hyperlink ref="J4" location="'CT_Output2'!$B$67:$B$67" display="Feature Importance" xr:uid="{1A18BAAF-01B3-4EF1-BB0D-04F2133A3020}"/>
    <hyperlink ref="B5" location="'CT_Stored2'!$B$10:$B$10" display="PMML Model" xr:uid="{4DBE7C7E-305E-4C0E-93D6-011C0B32A25B}"/>
    <hyperlink ref="D5" location="'CT_TrainingScore2'!$B$10:$B$10" display="Training: Classification Summary" xr:uid="{4E4B01BA-5C20-4EF9-BA79-97EA0DF46D90}"/>
    <hyperlink ref="F5" location="'CT_ValidationScore2'!$B$10:$B$10" display="Validation: Classification Summary" xr:uid="{6E6F6437-2CFB-49DA-B457-BA101E9FE686}"/>
  </hyperlink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8AEA-096F-4601-BB75-6C72F0625CC7}">
  <dimension ref="B1:Q28"/>
  <sheetViews>
    <sheetView showGridLines="0" topLeftCell="A6" workbookViewId="0">
      <selection activeCell="F23" sqref="F23"/>
    </sheetView>
  </sheetViews>
  <sheetFormatPr defaultRowHeight="13.2" x14ac:dyDescent="0.25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4" max="14" width="24.33203125" bestFit="1" customWidth="1"/>
  </cols>
  <sheetData>
    <row r="1" spans="2:17" ht="18" x14ac:dyDescent="0.35">
      <c r="B1" s="12" t="s">
        <v>563</v>
      </c>
      <c r="N1" t="s">
        <v>672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246</v>
      </c>
      <c r="O5" s="16">
        <v>65</v>
      </c>
      <c r="P5" s="16">
        <v>8</v>
      </c>
      <c r="Q5" s="16">
        <v>319</v>
      </c>
    </row>
    <row r="10" spans="2:17" ht="18" x14ac:dyDescent="0.35">
      <c r="B10" s="13" t="s">
        <v>547</v>
      </c>
    </row>
    <row r="12" spans="2:17" ht="15.6" x14ac:dyDescent="0.3">
      <c r="C12" s="28" t="s">
        <v>550</v>
      </c>
      <c r="D12" s="28"/>
      <c r="E12" s="28"/>
      <c r="F12" s="28"/>
    </row>
    <row r="13" spans="2:17" x14ac:dyDescent="0.25">
      <c r="C13" s="15" t="s">
        <v>562</v>
      </c>
      <c r="D13" t="s">
        <v>13</v>
      </c>
      <c r="E13" t="s">
        <v>14</v>
      </c>
      <c r="F13" t="s">
        <v>15</v>
      </c>
    </row>
    <row r="14" spans="2:17" x14ac:dyDescent="0.25">
      <c r="C14" s="15" t="s">
        <v>13</v>
      </c>
      <c r="D14" s="14">
        <v>75</v>
      </c>
      <c r="E14" s="14">
        <v>1</v>
      </c>
      <c r="F14">
        <v>0</v>
      </c>
    </row>
    <row r="15" spans="2:17" x14ac:dyDescent="0.25">
      <c r="C15" s="15" t="s">
        <v>14</v>
      </c>
      <c r="D15" s="14">
        <v>0</v>
      </c>
      <c r="E15" s="14">
        <v>108</v>
      </c>
      <c r="F15">
        <v>0</v>
      </c>
    </row>
    <row r="16" spans="2:17" x14ac:dyDescent="0.25">
      <c r="C16" s="15" t="s">
        <v>15</v>
      </c>
      <c r="D16" s="14">
        <v>0</v>
      </c>
      <c r="E16" s="14">
        <v>1</v>
      </c>
      <c r="F16">
        <v>62</v>
      </c>
    </row>
    <row r="18" spans="3:6" ht="15.6" x14ac:dyDescent="0.3">
      <c r="C18" s="28" t="s">
        <v>551</v>
      </c>
      <c r="D18" s="28"/>
      <c r="E18" s="28"/>
      <c r="F18" s="28"/>
    </row>
    <row r="19" spans="3:6" x14ac:dyDescent="0.25">
      <c r="C19" t="s">
        <v>552</v>
      </c>
      <c r="D19" t="s">
        <v>558</v>
      </c>
      <c r="E19" t="s">
        <v>560</v>
      </c>
      <c r="F19" t="s">
        <v>561</v>
      </c>
    </row>
    <row r="20" spans="3:6" x14ac:dyDescent="0.25">
      <c r="C20" s="15" t="s">
        <v>13</v>
      </c>
      <c r="D20">
        <f>SUM($D$14:$F$14)</f>
        <v>76</v>
      </c>
      <c r="E20">
        <f>SUM($D$14:$F$14) - $D$14</f>
        <v>1</v>
      </c>
      <c r="F20">
        <f>IF($D$20=0,"Undefined",$E$20*100 / $D$20)</f>
        <v>1.3157894736842106</v>
      </c>
    </row>
    <row r="21" spans="3:6" x14ac:dyDescent="0.25">
      <c r="C21" s="15" t="s">
        <v>14</v>
      </c>
      <c r="D21">
        <f>SUM($D$15:$F$15)</f>
        <v>108</v>
      </c>
      <c r="E21">
        <f>SUM($D$15:$F$15) - $E$15</f>
        <v>0</v>
      </c>
      <c r="F21">
        <f>IF($D$21=0,"Undefined",$E$21*100 / $D$21)</f>
        <v>0</v>
      </c>
    </row>
    <row r="22" spans="3:6" x14ac:dyDescent="0.25">
      <c r="C22" s="15" t="s">
        <v>15</v>
      </c>
      <c r="D22">
        <f>SUM($D$16:$F$16)</f>
        <v>63</v>
      </c>
      <c r="E22">
        <f>SUM($D$16:$F$16) - $F$16</f>
        <v>1</v>
      </c>
      <c r="F22">
        <f>IF($D$22=0,"Undefined",$E$22*100 / $D$22)</f>
        <v>1.5873015873015872</v>
      </c>
    </row>
    <row r="23" spans="3:6" x14ac:dyDescent="0.25">
      <c r="C23" s="15" t="s">
        <v>553</v>
      </c>
      <c r="D23">
        <f>SUM($D$20:$D$22)</f>
        <v>247</v>
      </c>
      <c r="E23">
        <f>SUM($E$20:$E$22)</f>
        <v>2</v>
      </c>
      <c r="F23">
        <f>IF($D$23=0,"Undefined",$E$23*100 / $D$23)</f>
        <v>0.80971659919028338</v>
      </c>
    </row>
    <row r="25" spans="3:6" ht="15.6" x14ac:dyDescent="0.3">
      <c r="C25" s="28" t="s">
        <v>554</v>
      </c>
      <c r="D25" s="28"/>
    </row>
    <row r="26" spans="3:6" x14ac:dyDescent="0.25">
      <c r="C26" t="s">
        <v>555</v>
      </c>
      <c r="D26" t="s">
        <v>559</v>
      </c>
    </row>
    <row r="27" spans="3:6" x14ac:dyDescent="0.25">
      <c r="C27" t="s">
        <v>556</v>
      </c>
      <c r="D27">
        <v>245</v>
      </c>
    </row>
    <row r="28" spans="3:6" x14ac:dyDescent="0.25">
      <c r="C28" t="s">
        <v>557</v>
      </c>
      <c r="D28">
        <v>99.190283400809719</v>
      </c>
    </row>
  </sheetData>
  <mergeCells count="15">
    <mergeCell ref="C12:F12"/>
    <mergeCell ref="C18:F18"/>
    <mergeCell ref="C25:D25"/>
    <mergeCell ref="B4:C4"/>
    <mergeCell ref="D4:E4"/>
    <mergeCell ref="F4:G4"/>
    <mergeCell ref="B3:K3"/>
    <mergeCell ref="N3:Q3"/>
    <mergeCell ref="H4:I4"/>
    <mergeCell ref="J4:K4"/>
    <mergeCell ref="B5:C5"/>
    <mergeCell ref="D5:E5"/>
    <mergeCell ref="F5:G5"/>
    <mergeCell ref="H5:I5"/>
    <mergeCell ref="J5:K5"/>
  </mergeCells>
  <hyperlinks>
    <hyperlink ref="B4" location="'CT_BestTree2'!$B$10:$B$10" display="Best Pruned Tree Rules (Using Validation Data)" xr:uid="{27F3B132-34C5-4442-B04B-2FCF611B7893}"/>
    <hyperlink ref="D4" location="'CT_FullTree2'!$B$10:$B$10" display="Fully Grown Tree Rules (Using Training Data)" xr:uid="{C5C6350A-4732-4263-80E6-95DFC784357E}"/>
    <hyperlink ref="F4" location="'CT_MinErrorTree2'!$B$10:$B$10" display="Min Error Tree Rules (Using Validation Data)" xr:uid="{5D8E4CBB-10A6-4237-96B3-80C696075152}"/>
    <hyperlink ref="H4" location="'CT_Output2'!$B$10:$B$10" display="Inputs" xr:uid="{970964B5-C5E3-4D9C-B5D1-F77BF4512575}"/>
    <hyperlink ref="J4" location="'CT_Output2'!$B$67:$B$67" display="Feature Importance" xr:uid="{FDB6C838-3A22-434D-906A-8E4841D1FC54}"/>
    <hyperlink ref="B5" location="'CT_Stored2'!$B$10:$B$10" display="PMML Model" xr:uid="{11439D18-3969-485E-BB4C-C6636E8E87D6}"/>
    <hyperlink ref="D5" location="'CT_TrainingScore2'!$B$10:$B$10" display="Training: Classification Summary" xr:uid="{9EE1C679-C8A9-4ABB-8828-4987C2B0690F}"/>
    <hyperlink ref="F5" location="'CT_ValidationScore2'!$B$10:$B$10" display="Validation: Classification Summary" xr:uid="{73A4129F-579B-4DA5-B8A2-CDF15622B036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1436-910D-4F17-BDB5-544312095DE6}">
  <dimension ref="B1:Q28"/>
  <sheetViews>
    <sheetView showGridLines="0" workbookViewId="0">
      <selection activeCell="D28" sqref="D28"/>
    </sheetView>
  </sheetViews>
  <sheetFormatPr defaultRowHeight="13.2" x14ac:dyDescent="0.25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4" max="14" width="24.33203125" bestFit="1" customWidth="1"/>
  </cols>
  <sheetData>
    <row r="1" spans="2:17" ht="18" x14ac:dyDescent="0.35">
      <c r="B1" s="12" t="s">
        <v>549</v>
      </c>
      <c r="N1" t="s">
        <v>672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246</v>
      </c>
      <c r="O5" s="16">
        <v>65</v>
      </c>
      <c r="P5" s="16">
        <v>8</v>
      </c>
      <c r="Q5" s="16">
        <v>319</v>
      </c>
    </row>
    <row r="10" spans="2:17" ht="18" x14ac:dyDescent="0.35">
      <c r="B10" s="13" t="s">
        <v>548</v>
      </c>
    </row>
    <row r="12" spans="2:17" ht="15.6" x14ac:dyDescent="0.3">
      <c r="C12" s="28" t="s">
        <v>550</v>
      </c>
      <c r="D12" s="28"/>
      <c r="E12" s="28"/>
      <c r="F12" s="28"/>
    </row>
    <row r="13" spans="2:17" x14ac:dyDescent="0.25">
      <c r="C13" s="15" t="s">
        <v>562</v>
      </c>
      <c r="D13" t="s">
        <v>13</v>
      </c>
      <c r="E13" t="s">
        <v>14</v>
      </c>
      <c r="F13" t="s">
        <v>15</v>
      </c>
    </row>
    <row r="14" spans="2:17" x14ac:dyDescent="0.25">
      <c r="C14" s="15" t="s">
        <v>13</v>
      </c>
      <c r="D14" s="14">
        <v>17</v>
      </c>
      <c r="E14" s="14">
        <v>2</v>
      </c>
      <c r="F14">
        <v>0</v>
      </c>
    </row>
    <row r="15" spans="2:17" x14ac:dyDescent="0.25">
      <c r="C15" s="15" t="s">
        <v>14</v>
      </c>
      <c r="D15" s="14">
        <v>0</v>
      </c>
      <c r="E15" s="14">
        <v>34</v>
      </c>
      <c r="F15">
        <v>0</v>
      </c>
    </row>
    <row r="16" spans="2:17" x14ac:dyDescent="0.25">
      <c r="C16" s="15" t="s">
        <v>15</v>
      </c>
      <c r="D16" s="14">
        <v>0</v>
      </c>
      <c r="E16" s="14">
        <v>1</v>
      </c>
      <c r="F16">
        <v>28</v>
      </c>
    </row>
    <row r="18" spans="3:6" ht="15.6" x14ac:dyDescent="0.3">
      <c r="C18" s="28" t="s">
        <v>551</v>
      </c>
      <c r="D18" s="28"/>
      <c r="E18" s="28"/>
      <c r="F18" s="28"/>
    </row>
    <row r="19" spans="3:6" x14ac:dyDescent="0.25">
      <c r="C19" t="s">
        <v>552</v>
      </c>
      <c r="D19" t="s">
        <v>558</v>
      </c>
      <c r="E19" t="s">
        <v>560</v>
      </c>
      <c r="F19" t="s">
        <v>561</v>
      </c>
    </row>
    <row r="20" spans="3:6" x14ac:dyDescent="0.25">
      <c r="C20" s="15" t="s">
        <v>13</v>
      </c>
      <c r="D20">
        <f>SUM($D$14:$F$14)</f>
        <v>19</v>
      </c>
      <c r="E20">
        <f>SUM($D$14:$F$14) - $D$14</f>
        <v>2</v>
      </c>
      <c r="F20">
        <f>IF($D$20=0,"Undefined",$E$20*100 / $D$20)</f>
        <v>10.526315789473685</v>
      </c>
    </row>
    <row r="21" spans="3:6" x14ac:dyDescent="0.25">
      <c r="C21" s="15" t="s">
        <v>14</v>
      </c>
      <c r="D21">
        <f>SUM($D$15:$F$15)</f>
        <v>34</v>
      </c>
      <c r="E21">
        <f>SUM($D$15:$F$15) - $E$15</f>
        <v>0</v>
      </c>
      <c r="F21">
        <f>IF($D$21=0,"Undefined",$E$21*100 / $D$21)</f>
        <v>0</v>
      </c>
    </row>
    <row r="22" spans="3:6" x14ac:dyDescent="0.25">
      <c r="C22" s="15" t="s">
        <v>15</v>
      </c>
      <c r="D22">
        <f>SUM($D$16:$F$16)</f>
        <v>29</v>
      </c>
      <c r="E22">
        <f>SUM($D$16:$F$16) - $F$16</f>
        <v>1</v>
      </c>
      <c r="F22">
        <f>IF($D$22=0,"Undefined",$E$22*100 / $D$22)</f>
        <v>3.4482758620689653</v>
      </c>
    </row>
    <row r="23" spans="3:6" x14ac:dyDescent="0.25">
      <c r="C23" s="15" t="s">
        <v>553</v>
      </c>
      <c r="D23">
        <f>SUM($D$20:$D$22)</f>
        <v>82</v>
      </c>
      <c r="E23">
        <f>SUM($E$20:$E$22)</f>
        <v>3</v>
      </c>
      <c r="F23">
        <f>IF($D$23=0,"Undefined",$E$23*100 / $D$23)</f>
        <v>3.6585365853658538</v>
      </c>
    </row>
    <row r="25" spans="3:6" ht="15.6" x14ac:dyDescent="0.3">
      <c r="C25" s="28" t="s">
        <v>554</v>
      </c>
      <c r="D25" s="28"/>
    </row>
    <row r="26" spans="3:6" x14ac:dyDescent="0.25">
      <c r="C26" t="s">
        <v>555</v>
      </c>
      <c r="D26" t="s">
        <v>559</v>
      </c>
    </row>
    <row r="27" spans="3:6" x14ac:dyDescent="0.25">
      <c r="C27" t="s">
        <v>556</v>
      </c>
      <c r="D27">
        <v>79</v>
      </c>
    </row>
    <row r="28" spans="3:6" x14ac:dyDescent="0.25">
      <c r="C28" t="s">
        <v>557</v>
      </c>
      <c r="D28">
        <v>96.341463414634163</v>
      </c>
    </row>
  </sheetData>
  <mergeCells count="15">
    <mergeCell ref="C12:F12"/>
    <mergeCell ref="C18:F18"/>
    <mergeCell ref="C25:D25"/>
    <mergeCell ref="B4:C4"/>
    <mergeCell ref="D4:E4"/>
    <mergeCell ref="F4:G4"/>
    <mergeCell ref="B3:K3"/>
    <mergeCell ref="N3:Q3"/>
    <mergeCell ref="H4:I4"/>
    <mergeCell ref="J4:K4"/>
    <mergeCell ref="B5:C5"/>
    <mergeCell ref="D5:E5"/>
    <mergeCell ref="F5:G5"/>
    <mergeCell ref="H5:I5"/>
    <mergeCell ref="J5:K5"/>
  </mergeCells>
  <hyperlinks>
    <hyperlink ref="B4" location="'CT_BestTree2'!$B$10:$B$10" display="Best Pruned Tree Rules (Using Validation Data)" xr:uid="{773D316E-EA32-41BF-AEE3-0440FDEBCB98}"/>
    <hyperlink ref="D4" location="'CT_FullTree2'!$B$10:$B$10" display="Fully Grown Tree Rules (Using Training Data)" xr:uid="{DCA8EDC1-EEC6-409D-BD43-B51C4AB92CD3}"/>
    <hyperlink ref="F4" location="'CT_MinErrorTree2'!$B$10:$B$10" display="Min Error Tree Rules (Using Validation Data)" xr:uid="{7594972E-3B5D-4216-959D-ACA50437FA83}"/>
    <hyperlink ref="H4" location="'CT_Output2'!$B$10:$B$10" display="Inputs" xr:uid="{1E3B1384-BF55-41AC-8DEA-0F56888AD1AA}"/>
    <hyperlink ref="J4" location="'CT_Output2'!$B$67:$B$67" display="Feature Importance" xr:uid="{D9AD5F52-8368-4552-96D4-734E8096C149}"/>
    <hyperlink ref="B5" location="'CT_Stored2'!$B$10:$B$10" display="PMML Model" xr:uid="{10EDD42E-C892-43C0-A7F3-3DC6A0FC2897}"/>
    <hyperlink ref="D5" location="'CT_TrainingScore2'!$B$10:$B$10" display="Training: Classification Summary" xr:uid="{D247D8A9-971F-4C25-940A-69F8DE2B0C35}"/>
    <hyperlink ref="F5" location="'CT_ValidationScore2'!$B$10:$B$10" display="Validation: Classification Summary" xr:uid="{3E7B1A90-A002-4EC1-A63A-22BB37931F6B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B370-70B9-4658-A0F1-D99DFC1ED6B1}">
  <dimension ref="B1:Q181"/>
  <sheetViews>
    <sheetView showGridLines="0" workbookViewId="0"/>
  </sheetViews>
  <sheetFormatPr defaultRowHeight="13.2" x14ac:dyDescent="0.25"/>
  <cols>
    <col min="14" max="14" width="24.33203125" bestFit="1" customWidth="1"/>
  </cols>
  <sheetData>
    <row r="1" spans="2:17" ht="18" x14ac:dyDescent="0.35">
      <c r="B1" s="12" t="s">
        <v>420</v>
      </c>
      <c r="N1" t="s">
        <v>672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246</v>
      </c>
      <c r="O5" s="16">
        <v>65</v>
      </c>
      <c r="P5" s="16">
        <v>8</v>
      </c>
      <c r="Q5" s="16">
        <v>319</v>
      </c>
    </row>
    <row r="10" spans="2:17" ht="18" x14ac:dyDescent="0.35">
      <c r="B10" s="13" t="s">
        <v>421</v>
      </c>
    </row>
    <row r="12" spans="2:17" x14ac:dyDescent="0.25">
      <c r="B12" t="s">
        <v>422</v>
      </c>
    </row>
    <row r="13" spans="2:17" x14ac:dyDescent="0.25">
      <c r="B13" t="s">
        <v>423</v>
      </c>
    </row>
    <row r="14" spans="2:17" x14ac:dyDescent="0.25">
      <c r="B14" t="s">
        <v>424</v>
      </c>
    </row>
    <row r="15" spans="2:17" x14ac:dyDescent="0.25">
      <c r="B15" t="s">
        <v>425</v>
      </c>
    </row>
    <row r="16" spans="2:17" x14ac:dyDescent="0.25">
      <c r="B16" t="s">
        <v>671</v>
      </c>
    </row>
    <row r="17" spans="2:2" x14ac:dyDescent="0.25">
      <c r="B17" t="s">
        <v>426</v>
      </c>
    </row>
    <row r="18" spans="2:2" x14ac:dyDescent="0.25">
      <c r="B18" t="s">
        <v>427</v>
      </c>
    </row>
    <row r="19" spans="2:2" x14ac:dyDescent="0.25">
      <c r="B19" t="s">
        <v>428</v>
      </c>
    </row>
    <row r="20" spans="2:2" x14ac:dyDescent="0.25">
      <c r="B20" t="s">
        <v>429</v>
      </c>
    </row>
    <row r="21" spans="2:2" x14ac:dyDescent="0.25">
      <c r="B21" t="s">
        <v>430</v>
      </c>
    </row>
    <row r="22" spans="2:2" x14ac:dyDescent="0.25">
      <c r="B22" t="s">
        <v>431</v>
      </c>
    </row>
    <row r="23" spans="2:2" x14ac:dyDescent="0.25">
      <c r="B23" t="s">
        <v>432</v>
      </c>
    </row>
    <row r="24" spans="2:2" x14ac:dyDescent="0.25">
      <c r="B24" t="s">
        <v>433</v>
      </c>
    </row>
    <row r="25" spans="2:2" x14ac:dyDescent="0.25">
      <c r="B25" t="s">
        <v>434</v>
      </c>
    </row>
    <row r="26" spans="2:2" x14ac:dyDescent="0.25">
      <c r="B26" t="s">
        <v>435</v>
      </c>
    </row>
    <row r="27" spans="2:2" x14ac:dyDescent="0.25">
      <c r="B27" t="s">
        <v>436</v>
      </c>
    </row>
    <row r="28" spans="2:2" x14ac:dyDescent="0.25">
      <c r="B28" t="s">
        <v>437</v>
      </c>
    </row>
    <row r="29" spans="2:2" x14ac:dyDescent="0.25">
      <c r="B29" t="s">
        <v>438</v>
      </c>
    </row>
    <row r="30" spans="2:2" x14ac:dyDescent="0.25">
      <c r="B30" t="s">
        <v>439</v>
      </c>
    </row>
    <row r="31" spans="2:2" x14ac:dyDescent="0.25">
      <c r="B31" t="s">
        <v>440</v>
      </c>
    </row>
    <row r="32" spans="2:2" x14ac:dyDescent="0.25">
      <c r="B32" t="s">
        <v>441</v>
      </c>
    </row>
    <row r="33" spans="2:2" x14ac:dyDescent="0.25">
      <c r="B33" t="s">
        <v>442</v>
      </c>
    </row>
    <row r="34" spans="2:2" x14ac:dyDescent="0.25">
      <c r="B34" t="s">
        <v>443</v>
      </c>
    </row>
    <row r="35" spans="2:2" x14ac:dyDescent="0.25">
      <c r="B35" t="s">
        <v>444</v>
      </c>
    </row>
    <row r="36" spans="2:2" x14ac:dyDescent="0.25">
      <c r="B36" t="s">
        <v>445</v>
      </c>
    </row>
    <row r="37" spans="2:2" x14ac:dyDescent="0.25">
      <c r="B37" t="s">
        <v>446</v>
      </c>
    </row>
    <row r="38" spans="2:2" x14ac:dyDescent="0.25">
      <c r="B38" t="s">
        <v>447</v>
      </c>
    </row>
    <row r="39" spans="2:2" x14ac:dyDescent="0.25">
      <c r="B39" t="s">
        <v>448</v>
      </c>
    </row>
    <row r="40" spans="2:2" x14ac:dyDescent="0.25">
      <c r="B40" t="s">
        <v>449</v>
      </c>
    </row>
    <row r="41" spans="2:2" x14ac:dyDescent="0.25">
      <c r="B41" t="s">
        <v>450</v>
      </c>
    </row>
    <row r="42" spans="2:2" x14ac:dyDescent="0.25">
      <c r="B42" t="s">
        <v>451</v>
      </c>
    </row>
    <row r="43" spans="2:2" x14ac:dyDescent="0.25">
      <c r="B43" t="s">
        <v>452</v>
      </c>
    </row>
    <row r="44" spans="2:2" x14ac:dyDescent="0.25">
      <c r="B44" t="s">
        <v>673</v>
      </c>
    </row>
    <row r="45" spans="2:2" x14ac:dyDescent="0.25">
      <c r="B45" t="s">
        <v>454</v>
      </c>
    </row>
    <row r="46" spans="2:2" x14ac:dyDescent="0.25">
      <c r="B46" t="s">
        <v>455</v>
      </c>
    </row>
    <row r="47" spans="2:2" x14ac:dyDescent="0.25">
      <c r="B47" t="s">
        <v>623</v>
      </c>
    </row>
    <row r="48" spans="2:2" x14ac:dyDescent="0.25">
      <c r="B48" t="s">
        <v>624</v>
      </c>
    </row>
    <row r="49" spans="2:2" x14ac:dyDescent="0.25">
      <c r="B49" t="s">
        <v>625</v>
      </c>
    </row>
    <row r="50" spans="2:2" x14ac:dyDescent="0.25">
      <c r="B50" t="s">
        <v>626</v>
      </c>
    </row>
    <row r="51" spans="2:2" x14ac:dyDescent="0.25">
      <c r="B51" t="s">
        <v>454</v>
      </c>
    </row>
    <row r="52" spans="2:2" x14ac:dyDescent="0.25">
      <c r="B52" t="s">
        <v>455</v>
      </c>
    </row>
    <row r="53" spans="2:2" x14ac:dyDescent="0.25">
      <c r="B53" t="s">
        <v>456</v>
      </c>
    </row>
    <row r="54" spans="2:2" x14ac:dyDescent="0.25">
      <c r="B54" t="s">
        <v>457</v>
      </c>
    </row>
    <row r="55" spans="2:2" x14ac:dyDescent="0.25">
      <c r="B55" t="s">
        <v>458</v>
      </c>
    </row>
    <row r="56" spans="2:2" x14ac:dyDescent="0.25">
      <c r="B56" t="s">
        <v>459</v>
      </c>
    </row>
    <row r="57" spans="2:2" x14ac:dyDescent="0.25">
      <c r="B57" t="s">
        <v>454</v>
      </c>
    </row>
    <row r="58" spans="2:2" x14ac:dyDescent="0.25">
      <c r="B58" t="s">
        <v>455</v>
      </c>
    </row>
    <row r="59" spans="2:2" x14ac:dyDescent="0.25">
      <c r="B59" t="s">
        <v>627</v>
      </c>
    </row>
    <row r="60" spans="2:2" x14ac:dyDescent="0.25">
      <c r="B60" t="s">
        <v>628</v>
      </c>
    </row>
    <row r="61" spans="2:2" x14ac:dyDescent="0.25">
      <c r="B61" t="s">
        <v>629</v>
      </c>
    </row>
    <row r="62" spans="2:2" x14ac:dyDescent="0.25">
      <c r="B62" t="s">
        <v>630</v>
      </c>
    </row>
    <row r="63" spans="2:2" x14ac:dyDescent="0.25">
      <c r="B63" t="s">
        <v>454</v>
      </c>
    </row>
    <row r="64" spans="2:2" x14ac:dyDescent="0.25">
      <c r="B64" t="s">
        <v>455</v>
      </c>
    </row>
    <row r="65" spans="2:2" x14ac:dyDescent="0.25">
      <c r="B65" t="s">
        <v>468</v>
      </c>
    </row>
    <row r="66" spans="2:2" x14ac:dyDescent="0.25">
      <c r="B66" t="s">
        <v>469</v>
      </c>
    </row>
    <row r="67" spans="2:2" x14ac:dyDescent="0.25">
      <c r="B67" t="s">
        <v>470</v>
      </c>
    </row>
    <row r="68" spans="2:2" x14ac:dyDescent="0.25">
      <c r="B68" t="s">
        <v>471</v>
      </c>
    </row>
    <row r="69" spans="2:2" x14ac:dyDescent="0.25">
      <c r="B69" t="s">
        <v>454</v>
      </c>
    </row>
    <row r="70" spans="2:2" x14ac:dyDescent="0.25">
      <c r="B70" t="s">
        <v>455</v>
      </c>
    </row>
    <row r="71" spans="2:2" x14ac:dyDescent="0.25">
      <c r="B71" t="s">
        <v>472</v>
      </c>
    </row>
    <row r="72" spans="2:2" x14ac:dyDescent="0.25">
      <c r="B72" t="s">
        <v>473</v>
      </c>
    </row>
    <row r="73" spans="2:2" x14ac:dyDescent="0.25">
      <c r="B73" t="s">
        <v>474</v>
      </c>
    </row>
    <row r="74" spans="2:2" x14ac:dyDescent="0.25">
      <c r="B74" t="s">
        <v>475</v>
      </c>
    </row>
    <row r="75" spans="2:2" x14ac:dyDescent="0.25">
      <c r="B75" t="s">
        <v>631</v>
      </c>
    </row>
    <row r="76" spans="2:2" x14ac:dyDescent="0.25">
      <c r="B76" t="s">
        <v>476</v>
      </c>
    </row>
    <row r="77" spans="2:2" x14ac:dyDescent="0.25">
      <c r="B77" t="s">
        <v>632</v>
      </c>
    </row>
    <row r="78" spans="2:2" x14ac:dyDescent="0.25">
      <c r="B78" t="s">
        <v>479</v>
      </c>
    </row>
    <row r="79" spans="2:2" x14ac:dyDescent="0.25">
      <c r="B79" t="s">
        <v>480</v>
      </c>
    </row>
    <row r="80" spans="2:2" x14ac:dyDescent="0.25">
      <c r="B80" t="s">
        <v>481</v>
      </c>
    </row>
    <row r="81" spans="2:2" x14ac:dyDescent="0.25">
      <c r="B81" t="s">
        <v>482</v>
      </c>
    </row>
    <row r="82" spans="2:2" x14ac:dyDescent="0.25">
      <c r="B82" t="s">
        <v>483</v>
      </c>
    </row>
    <row r="83" spans="2:2" x14ac:dyDescent="0.25">
      <c r="B83" t="s">
        <v>484</v>
      </c>
    </row>
    <row r="84" spans="2:2" x14ac:dyDescent="0.25">
      <c r="B84" t="s">
        <v>485</v>
      </c>
    </row>
    <row r="85" spans="2:2" x14ac:dyDescent="0.25">
      <c r="B85" t="s">
        <v>674</v>
      </c>
    </row>
    <row r="86" spans="2:2" x14ac:dyDescent="0.25">
      <c r="B86" t="s">
        <v>675</v>
      </c>
    </row>
    <row r="87" spans="2:2" x14ac:dyDescent="0.25">
      <c r="B87" t="s">
        <v>676</v>
      </c>
    </row>
    <row r="88" spans="2:2" x14ac:dyDescent="0.25">
      <c r="B88" t="s">
        <v>489</v>
      </c>
    </row>
    <row r="89" spans="2:2" x14ac:dyDescent="0.25">
      <c r="B89" t="s">
        <v>490</v>
      </c>
    </row>
    <row r="90" spans="2:2" x14ac:dyDescent="0.25">
      <c r="B90" t="s">
        <v>677</v>
      </c>
    </row>
    <row r="91" spans="2:2" x14ac:dyDescent="0.25">
      <c r="B91" t="s">
        <v>492</v>
      </c>
    </row>
    <row r="92" spans="2:2" x14ac:dyDescent="0.25">
      <c r="B92" t="s">
        <v>678</v>
      </c>
    </row>
    <row r="93" spans="2:2" x14ac:dyDescent="0.25">
      <c r="B93" t="s">
        <v>679</v>
      </c>
    </row>
    <row r="94" spans="2:2" x14ac:dyDescent="0.25">
      <c r="B94" t="s">
        <v>680</v>
      </c>
    </row>
    <row r="95" spans="2:2" x14ac:dyDescent="0.25">
      <c r="B95" t="s">
        <v>681</v>
      </c>
    </row>
    <row r="96" spans="2:2" x14ac:dyDescent="0.25">
      <c r="B96" t="s">
        <v>497</v>
      </c>
    </row>
    <row r="97" spans="2:2" x14ac:dyDescent="0.25">
      <c r="B97" t="s">
        <v>498</v>
      </c>
    </row>
    <row r="98" spans="2:2" x14ac:dyDescent="0.25">
      <c r="B98" t="s">
        <v>682</v>
      </c>
    </row>
    <row r="99" spans="2:2" x14ac:dyDescent="0.25">
      <c r="B99" t="s">
        <v>683</v>
      </c>
    </row>
    <row r="100" spans="2:2" x14ac:dyDescent="0.25">
      <c r="B100" t="s">
        <v>684</v>
      </c>
    </row>
    <row r="101" spans="2:2" x14ac:dyDescent="0.25">
      <c r="B101" t="s">
        <v>685</v>
      </c>
    </row>
    <row r="102" spans="2:2" x14ac:dyDescent="0.25">
      <c r="B102" t="s">
        <v>503</v>
      </c>
    </row>
    <row r="103" spans="2:2" x14ac:dyDescent="0.25">
      <c r="B103" t="s">
        <v>686</v>
      </c>
    </row>
    <row r="104" spans="2:2" x14ac:dyDescent="0.25">
      <c r="B104" t="s">
        <v>687</v>
      </c>
    </row>
    <row r="105" spans="2:2" x14ac:dyDescent="0.25">
      <c r="B105" t="s">
        <v>688</v>
      </c>
    </row>
    <row r="106" spans="2:2" x14ac:dyDescent="0.25">
      <c r="B106" t="s">
        <v>689</v>
      </c>
    </row>
    <row r="107" spans="2:2" x14ac:dyDescent="0.25">
      <c r="B107" t="s">
        <v>503</v>
      </c>
    </row>
    <row r="108" spans="2:2" x14ac:dyDescent="0.25">
      <c r="B108" t="s">
        <v>686</v>
      </c>
    </row>
    <row r="109" spans="2:2" x14ac:dyDescent="0.25">
      <c r="B109" t="s">
        <v>515</v>
      </c>
    </row>
    <row r="110" spans="2:2" x14ac:dyDescent="0.25">
      <c r="B110" t="s">
        <v>512</v>
      </c>
    </row>
    <row r="111" spans="2:2" x14ac:dyDescent="0.25">
      <c r="B111" t="s">
        <v>690</v>
      </c>
    </row>
    <row r="112" spans="2:2" x14ac:dyDescent="0.25">
      <c r="B112" t="s">
        <v>691</v>
      </c>
    </row>
    <row r="113" spans="2:2" x14ac:dyDescent="0.25">
      <c r="B113" t="s">
        <v>503</v>
      </c>
    </row>
    <row r="114" spans="2:2" x14ac:dyDescent="0.25">
      <c r="B114" t="s">
        <v>511</v>
      </c>
    </row>
    <row r="115" spans="2:2" x14ac:dyDescent="0.25">
      <c r="B115" t="s">
        <v>687</v>
      </c>
    </row>
    <row r="116" spans="2:2" x14ac:dyDescent="0.25">
      <c r="B116" t="s">
        <v>512</v>
      </c>
    </row>
    <row r="117" spans="2:2" x14ac:dyDescent="0.25">
      <c r="B117" t="s">
        <v>512</v>
      </c>
    </row>
    <row r="118" spans="2:2" x14ac:dyDescent="0.25">
      <c r="B118" t="s">
        <v>692</v>
      </c>
    </row>
    <row r="119" spans="2:2" x14ac:dyDescent="0.25">
      <c r="B119" t="s">
        <v>693</v>
      </c>
    </row>
    <row r="120" spans="2:2" x14ac:dyDescent="0.25">
      <c r="B120" t="s">
        <v>498</v>
      </c>
    </row>
    <row r="121" spans="2:2" x14ac:dyDescent="0.25">
      <c r="B121" t="s">
        <v>638</v>
      </c>
    </row>
    <row r="122" spans="2:2" x14ac:dyDescent="0.25">
      <c r="B122" t="s">
        <v>531</v>
      </c>
    </row>
    <row r="123" spans="2:2" x14ac:dyDescent="0.25">
      <c r="B123" t="s">
        <v>694</v>
      </c>
    </row>
    <row r="124" spans="2:2" x14ac:dyDescent="0.25">
      <c r="B124" t="s">
        <v>695</v>
      </c>
    </row>
    <row r="125" spans="2:2" x14ac:dyDescent="0.25">
      <c r="B125" t="s">
        <v>498</v>
      </c>
    </row>
    <row r="126" spans="2:2" x14ac:dyDescent="0.25">
      <c r="B126" t="s">
        <v>638</v>
      </c>
    </row>
    <row r="127" spans="2:2" x14ac:dyDescent="0.25">
      <c r="B127" t="s">
        <v>654</v>
      </c>
    </row>
    <row r="128" spans="2:2" x14ac:dyDescent="0.25">
      <c r="B128" t="s">
        <v>512</v>
      </c>
    </row>
    <row r="129" spans="2:2" x14ac:dyDescent="0.25">
      <c r="B129" t="s">
        <v>696</v>
      </c>
    </row>
    <row r="130" spans="2:2" x14ac:dyDescent="0.25">
      <c r="B130" t="s">
        <v>697</v>
      </c>
    </row>
    <row r="131" spans="2:2" x14ac:dyDescent="0.25">
      <c r="B131" t="s">
        <v>503</v>
      </c>
    </row>
    <row r="132" spans="2:2" x14ac:dyDescent="0.25">
      <c r="B132" t="s">
        <v>511</v>
      </c>
    </row>
    <row r="133" spans="2:2" x14ac:dyDescent="0.25">
      <c r="B133" t="s">
        <v>698</v>
      </c>
    </row>
    <row r="134" spans="2:2" x14ac:dyDescent="0.25">
      <c r="B134" t="s">
        <v>512</v>
      </c>
    </row>
    <row r="135" spans="2:2" x14ac:dyDescent="0.25">
      <c r="B135" t="s">
        <v>512</v>
      </c>
    </row>
    <row r="136" spans="2:2" x14ac:dyDescent="0.25">
      <c r="B136" t="s">
        <v>512</v>
      </c>
    </row>
    <row r="137" spans="2:2" x14ac:dyDescent="0.25">
      <c r="B137" t="s">
        <v>699</v>
      </c>
    </row>
    <row r="138" spans="2:2" x14ac:dyDescent="0.25">
      <c r="B138" t="s">
        <v>528</v>
      </c>
    </row>
    <row r="139" spans="2:2" x14ac:dyDescent="0.25">
      <c r="B139" t="s">
        <v>700</v>
      </c>
    </row>
    <row r="140" spans="2:2" x14ac:dyDescent="0.25">
      <c r="B140" t="s">
        <v>661</v>
      </c>
    </row>
    <row r="141" spans="2:2" x14ac:dyDescent="0.25">
      <c r="B141" t="s">
        <v>531</v>
      </c>
    </row>
    <row r="142" spans="2:2" x14ac:dyDescent="0.25">
      <c r="B142" t="s">
        <v>532</v>
      </c>
    </row>
    <row r="143" spans="2:2" x14ac:dyDescent="0.25">
      <c r="B143" t="s">
        <v>533</v>
      </c>
    </row>
    <row r="144" spans="2:2" x14ac:dyDescent="0.25">
      <c r="B144" t="s">
        <v>503</v>
      </c>
    </row>
    <row r="145" spans="2:2" x14ac:dyDescent="0.25">
      <c r="B145" t="s">
        <v>508</v>
      </c>
    </row>
    <row r="146" spans="2:2" x14ac:dyDescent="0.25">
      <c r="B146" t="s">
        <v>531</v>
      </c>
    </row>
    <row r="147" spans="2:2" x14ac:dyDescent="0.25">
      <c r="B147" t="s">
        <v>534</v>
      </c>
    </row>
    <row r="148" spans="2:2" x14ac:dyDescent="0.25">
      <c r="B148" t="s">
        <v>701</v>
      </c>
    </row>
    <row r="149" spans="2:2" x14ac:dyDescent="0.25">
      <c r="B149" t="s">
        <v>503</v>
      </c>
    </row>
    <row r="150" spans="2:2" x14ac:dyDescent="0.25">
      <c r="B150" t="s">
        <v>508</v>
      </c>
    </row>
    <row r="151" spans="2:2" x14ac:dyDescent="0.25">
      <c r="B151" t="s">
        <v>515</v>
      </c>
    </row>
    <row r="152" spans="2:2" x14ac:dyDescent="0.25">
      <c r="B152" t="s">
        <v>512</v>
      </c>
    </row>
    <row r="153" spans="2:2" x14ac:dyDescent="0.25">
      <c r="B153" t="s">
        <v>536</v>
      </c>
    </row>
    <row r="154" spans="2:2" x14ac:dyDescent="0.25">
      <c r="B154" t="s">
        <v>702</v>
      </c>
    </row>
    <row r="155" spans="2:2" x14ac:dyDescent="0.25">
      <c r="B155" t="s">
        <v>503</v>
      </c>
    </row>
    <row r="156" spans="2:2" x14ac:dyDescent="0.25">
      <c r="B156" t="s">
        <v>511</v>
      </c>
    </row>
    <row r="157" spans="2:2" x14ac:dyDescent="0.25">
      <c r="B157" t="s">
        <v>531</v>
      </c>
    </row>
    <row r="158" spans="2:2" x14ac:dyDescent="0.25">
      <c r="B158" t="s">
        <v>512</v>
      </c>
    </row>
    <row r="159" spans="2:2" x14ac:dyDescent="0.25">
      <c r="B159" t="s">
        <v>512</v>
      </c>
    </row>
    <row r="160" spans="2:2" x14ac:dyDescent="0.25">
      <c r="B160" t="s">
        <v>703</v>
      </c>
    </row>
    <row r="161" spans="2:2" x14ac:dyDescent="0.25">
      <c r="B161" t="s">
        <v>539</v>
      </c>
    </row>
    <row r="162" spans="2:2" x14ac:dyDescent="0.25">
      <c r="B162" t="s">
        <v>700</v>
      </c>
    </row>
    <row r="163" spans="2:2" x14ac:dyDescent="0.25">
      <c r="B163" t="s">
        <v>508</v>
      </c>
    </row>
    <row r="164" spans="2:2" x14ac:dyDescent="0.25">
      <c r="B164" t="s">
        <v>515</v>
      </c>
    </row>
    <row r="165" spans="2:2" x14ac:dyDescent="0.25">
      <c r="B165" t="s">
        <v>704</v>
      </c>
    </row>
    <row r="166" spans="2:2" x14ac:dyDescent="0.25">
      <c r="B166" t="s">
        <v>664</v>
      </c>
    </row>
    <row r="167" spans="2:2" x14ac:dyDescent="0.25">
      <c r="B167" t="s">
        <v>700</v>
      </c>
    </row>
    <row r="168" spans="2:2" x14ac:dyDescent="0.25">
      <c r="B168" t="s">
        <v>511</v>
      </c>
    </row>
    <row r="169" spans="2:2" x14ac:dyDescent="0.25">
      <c r="B169" t="s">
        <v>515</v>
      </c>
    </row>
    <row r="170" spans="2:2" x14ac:dyDescent="0.25">
      <c r="B170" t="s">
        <v>512</v>
      </c>
    </row>
    <row r="171" spans="2:2" x14ac:dyDescent="0.25">
      <c r="B171" t="s">
        <v>513</v>
      </c>
    </row>
    <row r="172" spans="2:2" x14ac:dyDescent="0.25">
      <c r="B172" t="s">
        <v>665</v>
      </c>
    </row>
    <row r="173" spans="2:2" x14ac:dyDescent="0.25">
      <c r="B173" t="s">
        <v>503</v>
      </c>
    </row>
    <row r="174" spans="2:2" x14ac:dyDescent="0.25">
      <c r="B174" t="s">
        <v>508</v>
      </c>
    </row>
    <row r="175" spans="2:2" x14ac:dyDescent="0.25">
      <c r="B175" t="s">
        <v>515</v>
      </c>
    </row>
    <row r="176" spans="2:2" x14ac:dyDescent="0.25">
      <c r="B176" t="s">
        <v>512</v>
      </c>
    </row>
    <row r="177" spans="2:2" x14ac:dyDescent="0.25">
      <c r="B177" t="s">
        <v>512</v>
      </c>
    </row>
    <row r="178" spans="2:2" x14ac:dyDescent="0.25">
      <c r="B178" t="s">
        <v>512</v>
      </c>
    </row>
    <row r="179" spans="2:2" x14ac:dyDescent="0.25">
      <c r="B179" t="s">
        <v>512</v>
      </c>
    </row>
    <row r="180" spans="2:2" x14ac:dyDescent="0.25">
      <c r="B180" t="s">
        <v>541</v>
      </c>
    </row>
    <row r="181" spans="2:2" x14ac:dyDescent="0.25">
      <c r="B181" t="s">
        <v>542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2'!$B$10:$B$10" display="Best Pruned Tree Rules (Using Validation Data)" xr:uid="{CEBC6D90-F2D7-45E7-BC4E-6C0DFE9B2EDC}"/>
    <hyperlink ref="D4" location="'CT_FullTree2'!$B$10:$B$10" display="Fully Grown Tree Rules (Using Training Data)" xr:uid="{4F928528-C7A3-40AE-A8EE-318CDA13370B}"/>
    <hyperlink ref="F4" location="'CT_MinErrorTree2'!$B$10:$B$10" display="Min Error Tree Rules (Using Validation Data)" xr:uid="{C7DA1D8A-BE02-49C1-AF06-BD705C98E16D}"/>
    <hyperlink ref="H4" location="'CT_Output2'!$B$10:$B$10" display="Inputs" xr:uid="{B61DE02F-E254-4BDA-BAC5-7199A6E6D9B0}"/>
    <hyperlink ref="J4" location="'CT_Output2'!$B$67:$B$67" display="Feature Importance" xr:uid="{8F6B62FD-84D4-4F17-AB36-DC433CCCC723}"/>
    <hyperlink ref="B5" location="'CT_Stored2'!$B$10:$B$10" display="PMML Model" xr:uid="{8761283F-B824-451B-8139-A00C36D967B5}"/>
    <hyperlink ref="D5" location="'CT_TrainingScore2'!$B$10:$B$10" display="Training: Classification Summary" xr:uid="{55075B14-A3CC-45DA-B62A-26819F0D641F}"/>
    <hyperlink ref="F5" location="'CT_ValidationScore2'!$B$10:$B$10" display="Validation: Classification Summary" xr:uid="{63A0DEFD-F951-4CB4-99CA-01519A92DA2A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5153-CA65-4FCB-B26F-E803C95CF4E7}">
  <dimension ref="B1:CV365"/>
  <sheetViews>
    <sheetView showGridLines="0" topLeftCell="A26" workbookViewId="0">
      <selection activeCell="H45" sqref="H45"/>
    </sheetView>
  </sheetViews>
  <sheetFormatPr defaultRowHeight="13.2" x14ac:dyDescent="0.25"/>
  <cols>
    <col min="3" max="3" width="11.5546875" customWidth="1"/>
    <col min="4" max="4" width="11.77734375" customWidth="1"/>
    <col min="5" max="5" width="17" customWidth="1"/>
    <col min="6" max="6" width="19.6640625" customWidth="1"/>
    <col min="7" max="7" width="13.88671875" customWidth="1"/>
    <col min="8" max="8" width="22.6640625" customWidth="1"/>
    <col min="9" max="9" width="20.33203125" customWidth="1"/>
    <col min="10" max="10" width="29.109375" bestFit="1" customWidth="1"/>
    <col min="11" max="11" width="19.88671875" customWidth="1"/>
    <col min="12" max="12" width="29.88671875" customWidth="1"/>
    <col min="13" max="13" width="25.33203125" customWidth="1"/>
    <col min="14" max="14" width="23.77734375" customWidth="1"/>
    <col min="15" max="15" width="14" customWidth="1"/>
    <col min="16" max="16" width="23.109375" customWidth="1"/>
    <col min="17" max="17" width="16.6640625" customWidth="1"/>
  </cols>
  <sheetData>
    <row r="1" spans="2:100" ht="18" x14ac:dyDescent="0.35">
      <c r="B1" s="12" t="s">
        <v>403</v>
      </c>
      <c r="N1" t="s">
        <v>619</v>
      </c>
      <c r="CV1" s="19" t="s">
        <v>620</v>
      </c>
    </row>
    <row r="3" spans="2:100" ht="15.6" x14ac:dyDescent="0.3">
      <c r="B3" s="21" t="s">
        <v>30</v>
      </c>
      <c r="C3" s="22"/>
      <c r="D3" s="22"/>
      <c r="E3" s="22"/>
      <c r="F3" s="22"/>
      <c r="G3" s="23"/>
      <c r="J3" s="21" t="s">
        <v>53</v>
      </c>
      <c r="K3" s="22"/>
      <c r="L3" s="22"/>
      <c r="M3" s="23"/>
    </row>
    <row r="4" spans="2:100" ht="13.8" x14ac:dyDescent="0.3">
      <c r="B4" s="20" t="s">
        <v>31</v>
      </c>
      <c r="C4" s="20"/>
      <c r="D4" s="20" t="s">
        <v>404</v>
      </c>
      <c r="E4" s="20"/>
      <c r="F4" s="20" t="s">
        <v>415</v>
      </c>
      <c r="G4" s="20"/>
      <c r="J4" s="18" t="s">
        <v>54</v>
      </c>
      <c r="K4" s="18" t="s">
        <v>55</v>
      </c>
      <c r="L4" s="18" t="s">
        <v>56</v>
      </c>
      <c r="M4" s="18" t="s">
        <v>57</v>
      </c>
    </row>
    <row r="5" spans="2:100" ht="13.8" x14ac:dyDescent="0.3">
      <c r="J5" s="16">
        <v>85</v>
      </c>
      <c r="K5" s="16">
        <v>13</v>
      </c>
      <c r="L5" s="16">
        <v>7</v>
      </c>
      <c r="M5" s="16">
        <v>105</v>
      </c>
    </row>
    <row r="10" spans="2:100" ht="18" x14ac:dyDescent="0.35">
      <c r="B10" s="13" t="s">
        <v>31</v>
      </c>
    </row>
    <row r="12" spans="2:100" ht="15.6" x14ac:dyDescent="0.3">
      <c r="C12" s="28" t="s">
        <v>33</v>
      </c>
      <c r="D12" s="28"/>
      <c r="E12" s="28"/>
      <c r="F12" s="28"/>
      <c r="G12" s="28"/>
      <c r="H12" s="28"/>
      <c r="I12" s="28"/>
    </row>
    <row r="13" spans="2:100" ht="13.8" x14ac:dyDescent="0.3">
      <c r="C13" s="24" t="s">
        <v>34</v>
      </c>
      <c r="D13" s="24"/>
      <c r="E13" s="25"/>
      <c r="F13" s="29" t="s">
        <v>48</v>
      </c>
      <c r="G13" s="29"/>
      <c r="H13" s="29"/>
      <c r="I13" s="29"/>
    </row>
    <row r="14" spans="2:100" ht="13.8" x14ac:dyDescent="0.3">
      <c r="C14" s="24" t="s">
        <v>35</v>
      </c>
      <c r="D14" s="24"/>
      <c r="E14" s="25"/>
      <c r="F14" s="29" t="s">
        <v>410</v>
      </c>
      <c r="G14" s="29"/>
      <c r="H14" s="29"/>
      <c r="I14" s="29"/>
    </row>
    <row r="15" spans="2:100" ht="13.8" x14ac:dyDescent="0.3">
      <c r="C15" s="24" t="s">
        <v>36</v>
      </c>
      <c r="D15" s="24"/>
      <c r="E15" s="25"/>
      <c r="F15" s="29" t="s">
        <v>411</v>
      </c>
      <c r="G15" s="29"/>
      <c r="H15" s="29"/>
      <c r="I15" s="29"/>
    </row>
    <row r="16" spans="2:100" ht="13.8" x14ac:dyDescent="0.3">
      <c r="C16" s="24" t="s">
        <v>37</v>
      </c>
      <c r="D16" s="24"/>
      <c r="E16" s="25"/>
      <c r="F16" s="27">
        <v>329</v>
      </c>
      <c r="G16" s="27"/>
      <c r="H16" s="27"/>
      <c r="I16" s="27"/>
    </row>
    <row r="18" spans="2:19" ht="15.6" x14ac:dyDescent="0.3">
      <c r="C18" s="28" t="s">
        <v>38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</row>
    <row r="19" spans="2:19" ht="13.8" x14ac:dyDescent="0.3">
      <c r="C19" s="24" t="s">
        <v>39</v>
      </c>
      <c r="D19" s="24"/>
      <c r="E19" s="25"/>
      <c r="F19" s="27">
        <v>14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</row>
    <row r="20" spans="2:19" ht="13.8" x14ac:dyDescent="0.3">
      <c r="C20" s="24" t="s">
        <v>40</v>
      </c>
      <c r="D20" s="24"/>
      <c r="E20" s="25"/>
      <c r="F20" s="16" t="s">
        <v>0</v>
      </c>
      <c r="G20" s="16" t="s">
        <v>61</v>
      </c>
      <c r="H20" s="16" t="s">
        <v>62</v>
      </c>
      <c r="I20" s="16" t="s">
        <v>63</v>
      </c>
      <c r="J20" s="16" t="s">
        <v>64</v>
      </c>
      <c r="K20" s="16" t="s">
        <v>65</v>
      </c>
      <c r="L20" s="16" t="s">
        <v>66</v>
      </c>
      <c r="M20" s="16" t="s">
        <v>67</v>
      </c>
      <c r="N20" s="16" t="s">
        <v>68</v>
      </c>
      <c r="O20" s="16" t="s">
        <v>69</v>
      </c>
      <c r="P20" s="16" t="s">
        <v>70</v>
      </c>
      <c r="Q20" s="16" t="s">
        <v>71</v>
      </c>
      <c r="R20" s="16" t="s">
        <v>72</v>
      </c>
      <c r="S20" s="16" t="s">
        <v>73</v>
      </c>
    </row>
    <row r="22" spans="2:19" ht="15.6" x14ac:dyDescent="0.3">
      <c r="C22" s="28" t="s">
        <v>405</v>
      </c>
      <c r="D22" s="28"/>
      <c r="E22" s="28"/>
      <c r="F22" s="28"/>
      <c r="G22" s="28"/>
      <c r="H22" s="28"/>
      <c r="I22" s="28"/>
    </row>
    <row r="23" spans="2:19" ht="13.8" x14ac:dyDescent="0.3">
      <c r="C23" s="24" t="s">
        <v>406</v>
      </c>
      <c r="D23" s="24"/>
      <c r="E23" s="25"/>
      <c r="F23" s="27" t="s">
        <v>412</v>
      </c>
      <c r="G23" s="27"/>
      <c r="H23" s="27"/>
      <c r="I23" s="27"/>
    </row>
    <row r="24" spans="2:19" ht="13.8" x14ac:dyDescent="0.3">
      <c r="C24" s="24" t="s">
        <v>407</v>
      </c>
      <c r="D24" s="24"/>
      <c r="E24" s="25"/>
      <c r="F24" s="27">
        <v>12345</v>
      </c>
      <c r="G24" s="27"/>
      <c r="H24" s="27"/>
      <c r="I24" s="27"/>
    </row>
    <row r="25" spans="2:19" ht="13.8" x14ac:dyDescent="0.3">
      <c r="C25" s="24" t="s">
        <v>408</v>
      </c>
      <c r="D25" s="24"/>
      <c r="E25" s="25"/>
      <c r="F25" s="27">
        <v>0.7</v>
      </c>
      <c r="G25" s="27"/>
      <c r="H25" s="27"/>
      <c r="I25" s="27"/>
    </row>
    <row r="26" spans="2:19" ht="13.8" x14ac:dyDescent="0.3">
      <c r="C26" s="24" t="s">
        <v>409</v>
      </c>
      <c r="D26" s="24"/>
      <c r="E26" s="25"/>
      <c r="F26" s="27">
        <v>0.3</v>
      </c>
      <c r="G26" s="27"/>
      <c r="H26" s="27"/>
      <c r="I26" s="27"/>
    </row>
    <row r="28" spans="2:19" ht="18" x14ac:dyDescent="0.35">
      <c r="B28" s="13" t="s">
        <v>404</v>
      </c>
    </row>
    <row r="30" spans="2:19" x14ac:dyDescent="0.25">
      <c r="C30" s="15" t="s">
        <v>416</v>
      </c>
      <c r="D30" t="s">
        <v>417</v>
      </c>
    </row>
    <row r="31" spans="2:19" x14ac:dyDescent="0.25">
      <c r="C31" s="15" t="s">
        <v>418</v>
      </c>
      <c r="D31">
        <v>230</v>
      </c>
    </row>
    <row r="32" spans="2:19" x14ac:dyDescent="0.25">
      <c r="C32" s="15" t="s">
        <v>419</v>
      </c>
      <c r="D32">
        <v>99</v>
      </c>
    </row>
    <row r="34" spans="2:17" ht="18" x14ac:dyDescent="0.35">
      <c r="B34" s="13" t="s">
        <v>415</v>
      </c>
    </row>
    <row r="36" spans="2:17" x14ac:dyDescent="0.25">
      <c r="C36" s="15" t="s">
        <v>60</v>
      </c>
      <c r="D36" t="s">
        <v>0</v>
      </c>
      <c r="E36" t="s">
        <v>61</v>
      </c>
      <c r="F36" t="s">
        <v>62</v>
      </c>
      <c r="G36" t="s">
        <v>63</v>
      </c>
      <c r="H36" t="s">
        <v>64</v>
      </c>
      <c r="I36" t="s">
        <v>65</v>
      </c>
      <c r="J36" t="s">
        <v>66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</row>
    <row r="37" spans="2:17" x14ac:dyDescent="0.25">
      <c r="C37" s="15" t="s">
        <v>74</v>
      </c>
      <c r="D37" s="14" t="s">
        <v>13</v>
      </c>
      <c r="E37" s="14">
        <v>14.23</v>
      </c>
      <c r="F37" s="14">
        <v>1.71</v>
      </c>
      <c r="G37" s="14">
        <v>2.4300000000000002</v>
      </c>
      <c r="H37" s="14">
        <v>15.6</v>
      </c>
      <c r="I37" s="14">
        <v>127</v>
      </c>
      <c r="J37" s="14">
        <v>2.7999999999999901</v>
      </c>
      <c r="K37" s="14">
        <v>3.06</v>
      </c>
      <c r="L37" s="14">
        <v>0.28000000000000003</v>
      </c>
      <c r="M37" s="14">
        <v>2.29</v>
      </c>
      <c r="N37" s="14">
        <v>5.6399999999999899</v>
      </c>
      <c r="O37" s="14">
        <v>1.04</v>
      </c>
      <c r="P37" s="14">
        <v>3.9199999999999902</v>
      </c>
      <c r="Q37">
        <v>1065</v>
      </c>
    </row>
    <row r="38" spans="2:17" x14ac:dyDescent="0.25">
      <c r="C38" s="15" t="s">
        <v>78</v>
      </c>
      <c r="D38" s="14" t="s">
        <v>13</v>
      </c>
      <c r="E38" s="14">
        <v>13.24</v>
      </c>
      <c r="F38" s="14">
        <v>2.5899999999999901</v>
      </c>
      <c r="G38" s="14">
        <v>2.87</v>
      </c>
      <c r="H38" s="14">
        <v>21</v>
      </c>
      <c r="I38" s="14">
        <v>118</v>
      </c>
      <c r="J38" s="14">
        <v>2.7999999999999901</v>
      </c>
      <c r="K38" s="14">
        <v>2.6899999999999902</v>
      </c>
      <c r="L38" s="14">
        <v>0.39</v>
      </c>
      <c r="M38" s="14">
        <v>1.82</v>
      </c>
      <c r="N38" s="14">
        <v>4.32</v>
      </c>
      <c r="O38" s="14">
        <v>1.04</v>
      </c>
      <c r="P38" s="14">
        <v>2.93</v>
      </c>
      <c r="Q38">
        <v>735</v>
      </c>
    </row>
    <row r="39" spans="2:17" x14ac:dyDescent="0.25">
      <c r="C39" s="15" t="s">
        <v>81</v>
      </c>
      <c r="D39" s="14" t="s">
        <v>13</v>
      </c>
      <c r="E39" s="14">
        <v>14.06</v>
      </c>
      <c r="F39" s="14">
        <v>2.1499999999999901</v>
      </c>
      <c r="G39" s="14">
        <v>2.6099999999999901</v>
      </c>
      <c r="H39" s="14">
        <v>17.600000000000001</v>
      </c>
      <c r="I39" s="14">
        <v>121</v>
      </c>
      <c r="J39" s="14">
        <v>2.6</v>
      </c>
      <c r="K39" s="14">
        <v>2.50999999999999</v>
      </c>
      <c r="L39" s="14">
        <v>0.31</v>
      </c>
      <c r="M39" s="14">
        <v>1.25</v>
      </c>
      <c r="N39" s="14">
        <v>5.0499999999999901</v>
      </c>
      <c r="O39" s="14">
        <v>1.06</v>
      </c>
      <c r="P39" s="14">
        <v>3.58</v>
      </c>
      <c r="Q39">
        <v>1295</v>
      </c>
    </row>
    <row r="40" spans="2:17" x14ac:dyDescent="0.25">
      <c r="C40" s="15" t="s">
        <v>84</v>
      </c>
      <c r="D40" s="14" t="s">
        <v>13</v>
      </c>
      <c r="E40" s="14">
        <v>14.1</v>
      </c>
      <c r="F40" s="14">
        <v>2.16</v>
      </c>
      <c r="G40" s="14">
        <v>2.2999999999999901</v>
      </c>
      <c r="H40" s="14">
        <v>18</v>
      </c>
      <c r="I40" s="14">
        <v>105</v>
      </c>
      <c r="J40" s="14">
        <v>2.95</v>
      </c>
      <c r="K40" s="14">
        <v>3.3199999999999901</v>
      </c>
      <c r="L40" s="14">
        <v>0.22</v>
      </c>
      <c r="M40" s="14">
        <v>2.3799999999999901</v>
      </c>
      <c r="N40" s="14">
        <v>5.75</v>
      </c>
      <c r="O40" s="14">
        <v>1.25</v>
      </c>
      <c r="P40" s="14">
        <v>3.1699999999999902</v>
      </c>
      <c r="Q40">
        <v>1510</v>
      </c>
    </row>
    <row r="41" spans="2:17" x14ac:dyDescent="0.25">
      <c r="C41" s="15" t="s">
        <v>85</v>
      </c>
      <c r="D41" s="14" t="s">
        <v>13</v>
      </c>
      <c r="E41" s="14">
        <v>14.1199999999999</v>
      </c>
      <c r="F41" s="14">
        <v>1.48</v>
      </c>
      <c r="G41" s="14">
        <v>2.3199999999999901</v>
      </c>
      <c r="H41" s="14">
        <v>16.8</v>
      </c>
      <c r="I41" s="14">
        <v>95</v>
      </c>
      <c r="J41" s="14">
        <v>2.2000000000000002</v>
      </c>
      <c r="K41" s="14">
        <v>2.4300000000000002</v>
      </c>
      <c r="L41" s="14">
        <v>0.26</v>
      </c>
      <c r="M41" s="14">
        <v>1.57</v>
      </c>
      <c r="N41" s="14">
        <v>5</v>
      </c>
      <c r="O41" s="14">
        <v>1.1699999999999899</v>
      </c>
      <c r="P41" s="14">
        <v>2.8199999999999901</v>
      </c>
      <c r="Q41">
        <v>1280</v>
      </c>
    </row>
    <row r="42" spans="2:17" x14ac:dyDescent="0.25">
      <c r="C42" s="15" t="s">
        <v>88</v>
      </c>
      <c r="D42" s="14" t="s">
        <v>13</v>
      </c>
      <c r="E42" s="14">
        <v>14.38</v>
      </c>
      <c r="F42" s="14">
        <v>1.87</v>
      </c>
      <c r="G42" s="14">
        <v>2.3799999999999901</v>
      </c>
      <c r="H42" s="14">
        <v>12</v>
      </c>
      <c r="I42" s="14">
        <v>102</v>
      </c>
      <c r="J42" s="14">
        <v>3.2999999999999901</v>
      </c>
      <c r="K42" s="14">
        <v>3.64</v>
      </c>
      <c r="L42" s="14">
        <v>0.28999999999999898</v>
      </c>
      <c r="M42" s="14">
        <v>2.96</v>
      </c>
      <c r="N42" s="14">
        <v>7.5</v>
      </c>
      <c r="O42" s="14">
        <v>1.2</v>
      </c>
      <c r="P42" s="14">
        <v>3</v>
      </c>
      <c r="Q42">
        <v>1547</v>
      </c>
    </row>
    <row r="43" spans="2:17" x14ac:dyDescent="0.25">
      <c r="C43" s="15" t="s">
        <v>89</v>
      </c>
      <c r="D43" s="14" t="s">
        <v>13</v>
      </c>
      <c r="E43" s="14">
        <v>13.63</v>
      </c>
      <c r="F43" s="14">
        <v>1.81</v>
      </c>
      <c r="G43" s="14">
        <v>2.7</v>
      </c>
      <c r="H43" s="14">
        <v>17.1999999999999</v>
      </c>
      <c r="I43" s="14">
        <v>112</v>
      </c>
      <c r="J43" s="14">
        <v>2.85</v>
      </c>
      <c r="K43" s="14">
        <v>2.91</v>
      </c>
      <c r="L43" s="14">
        <v>0.29999999999999899</v>
      </c>
      <c r="M43" s="14">
        <v>1.46</v>
      </c>
      <c r="N43" s="14">
        <v>7.2999999999999901</v>
      </c>
      <c r="O43" s="14">
        <v>1.28</v>
      </c>
      <c r="P43" s="14">
        <v>2.8799999999999901</v>
      </c>
      <c r="Q43">
        <v>1310</v>
      </c>
    </row>
    <row r="44" spans="2:17" x14ac:dyDescent="0.25">
      <c r="C44" s="15" t="s">
        <v>91</v>
      </c>
      <c r="D44" s="14" t="s">
        <v>13</v>
      </c>
      <c r="E44" s="14">
        <v>13.83</v>
      </c>
      <c r="F44" s="14">
        <v>1.57</v>
      </c>
      <c r="G44" s="14">
        <v>2.62</v>
      </c>
      <c r="H44" s="14">
        <v>20</v>
      </c>
      <c r="I44" s="14">
        <v>115</v>
      </c>
      <c r="J44" s="14">
        <v>2.95</v>
      </c>
      <c r="K44" s="14">
        <v>3.3999999999999901</v>
      </c>
      <c r="L44" s="14">
        <v>0.4</v>
      </c>
      <c r="M44" s="14">
        <v>1.72</v>
      </c>
      <c r="N44" s="14">
        <v>6.5999999999999899</v>
      </c>
      <c r="O44" s="14">
        <v>1.1299999999999899</v>
      </c>
      <c r="P44" s="14">
        <v>2.5699999999999901</v>
      </c>
      <c r="Q44">
        <v>1130</v>
      </c>
    </row>
    <row r="45" spans="2:17" x14ac:dyDescent="0.25">
      <c r="C45" s="15" t="s">
        <v>93</v>
      </c>
      <c r="D45" s="14" t="s">
        <v>13</v>
      </c>
      <c r="E45" s="14">
        <v>13.64</v>
      </c>
      <c r="F45" s="14">
        <v>3.1</v>
      </c>
      <c r="G45" s="14">
        <v>2.56</v>
      </c>
      <c r="H45" s="14">
        <v>15.1999999999999</v>
      </c>
      <c r="I45" s="14">
        <v>116</v>
      </c>
      <c r="J45" s="14">
        <v>2.7</v>
      </c>
      <c r="K45" s="14">
        <v>3.02999999999999</v>
      </c>
      <c r="L45" s="14">
        <v>0.17</v>
      </c>
      <c r="M45" s="14">
        <v>1.6599999999999899</v>
      </c>
      <c r="N45" s="14">
        <v>5.0999999999999899</v>
      </c>
      <c r="O45" s="14">
        <v>0.95999999999999897</v>
      </c>
      <c r="P45" s="14">
        <v>3.3599999999999901</v>
      </c>
      <c r="Q45">
        <v>845</v>
      </c>
    </row>
    <row r="46" spans="2:17" x14ac:dyDescent="0.25">
      <c r="C46" s="15" t="s">
        <v>94</v>
      </c>
      <c r="D46" s="14" t="s">
        <v>13</v>
      </c>
      <c r="E46" s="14">
        <v>14.06</v>
      </c>
      <c r="F46" s="14">
        <v>1.6299999999999899</v>
      </c>
      <c r="G46" s="14">
        <v>2.27999999999999</v>
      </c>
      <c r="H46" s="14">
        <v>16</v>
      </c>
      <c r="I46" s="14">
        <v>126</v>
      </c>
      <c r="J46" s="14">
        <v>3</v>
      </c>
      <c r="K46" s="14">
        <v>3.1699999999999902</v>
      </c>
      <c r="L46" s="14">
        <v>0.23999999999999899</v>
      </c>
      <c r="M46" s="14">
        <v>2.1</v>
      </c>
      <c r="N46" s="14">
        <v>5.65</v>
      </c>
      <c r="O46" s="14">
        <v>1.0900000000000001</v>
      </c>
      <c r="P46" s="14">
        <v>3.71</v>
      </c>
      <c r="Q46">
        <v>780</v>
      </c>
    </row>
    <row r="47" spans="2:17" x14ac:dyDescent="0.25">
      <c r="C47" s="15" t="s">
        <v>95</v>
      </c>
      <c r="D47" s="14" t="s">
        <v>13</v>
      </c>
      <c r="E47" s="14">
        <v>12.93</v>
      </c>
      <c r="F47" s="14">
        <v>3.7999999999999901</v>
      </c>
      <c r="G47" s="14">
        <v>2.6499999999999901</v>
      </c>
      <c r="H47" s="14">
        <v>18.600000000000001</v>
      </c>
      <c r="I47" s="14">
        <v>102</v>
      </c>
      <c r="J47" s="14">
        <v>2.41</v>
      </c>
      <c r="K47" s="14">
        <v>2.41</v>
      </c>
      <c r="L47" s="14">
        <v>0.25</v>
      </c>
      <c r="M47" s="14">
        <v>1.98</v>
      </c>
      <c r="N47" s="14">
        <v>4.5</v>
      </c>
      <c r="O47" s="14">
        <v>1.03</v>
      </c>
      <c r="P47" s="14">
        <v>3.52</v>
      </c>
      <c r="Q47">
        <v>770</v>
      </c>
    </row>
    <row r="48" spans="2:17" x14ac:dyDescent="0.25">
      <c r="C48" s="15" t="s">
        <v>96</v>
      </c>
      <c r="D48" s="14" t="s">
        <v>13</v>
      </c>
      <c r="E48" s="14">
        <v>13.71</v>
      </c>
      <c r="F48" s="14">
        <v>1.86</v>
      </c>
      <c r="G48" s="14">
        <v>2.3599999999999901</v>
      </c>
      <c r="H48" s="14">
        <v>16.600000000000001</v>
      </c>
      <c r="I48" s="14">
        <v>101</v>
      </c>
      <c r="J48" s="14">
        <v>2.6099999999999901</v>
      </c>
      <c r="K48" s="14">
        <v>2.8799999999999901</v>
      </c>
      <c r="L48" s="14">
        <v>0.27</v>
      </c>
      <c r="M48" s="14">
        <v>1.68999999999999</v>
      </c>
      <c r="N48" s="14">
        <v>3.7999999999999901</v>
      </c>
      <c r="O48" s="14">
        <v>1.1100000000000001</v>
      </c>
      <c r="P48" s="14">
        <v>4</v>
      </c>
      <c r="Q48">
        <v>1035</v>
      </c>
    </row>
    <row r="49" spans="3:17" x14ac:dyDescent="0.25">
      <c r="C49" s="15" t="s">
        <v>97</v>
      </c>
      <c r="D49" s="14" t="s">
        <v>13</v>
      </c>
      <c r="E49" s="14">
        <v>12.85</v>
      </c>
      <c r="F49" s="14">
        <v>1.6</v>
      </c>
      <c r="G49" s="14">
        <v>2.52</v>
      </c>
      <c r="H49" s="14">
        <v>17.8</v>
      </c>
      <c r="I49" s="14">
        <v>95</v>
      </c>
      <c r="J49" s="14">
        <v>2.48</v>
      </c>
      <c r="K49" s="14">
        <v>2.37</v>
      </c>
      <c r="L49" s="14">
        <v>0.26</v>
      </c>
      <c r="M49" s="14">
        <v>1.46</v>
      </c>
      <c r="N49" s="14">
        <v>3.93</v>
      </c>
      <c r="O49" s="14">
        <v>1.0900000000000001</v>
      </c>
      <c r="P49" s="14">
        <v>3.6299999999999901</v>
      </c>
      <c r="Q49">
        <v>1015</v>
      </c>
    </row>
    <row r="50" spans="3:17" x14ac:dyDescent="0.25">
      <c r="C50" s="15" t="s">
        <v>98</v>
      </c>
      <c r="D50" s="14" t="s">
        <v>13</v>
      </c>
      <c r="E50" s="14">
        <v>13.5</v>
      </c>
      <c r="F50" s="14">
        <v>1.81</v>
      </c>
      <c r="G50" s="14">
        <v>2.6099999999999901</v>
      </c>
      <c r="H50" s="14">
        <v>20</v>
      </c>
      <c r="I50" s="14">
        <v>96</v>
      </c>
      <c r="J50" s="14">
        <v>2.52999999999999</v>
      </c>
      <c r="K50" s="14">
        <v>2.6099999999999901</v>
      </c>
      <c r="L50" s="14">
        <v>0.28000000000000003</v>
      </c>
      <c r="M50" s="14">
        <v>1.6599999999999899</v>
      </c>
      <c r="N50" s="14">
        <v>3.52</v>
      </c>
      <c r="O50" s="14">
        <v>1.1200000000000001</v>
      </c>
      <c r="P50" s="14">
        <v>3.8199999999999901</v>
      </c>
      <c r="Q50">
        <v>845</v>
      </c>
    </row>
    <row r="51" spans="3:17" x14ac:dyDescent="0.25">
      <c r="C51" s="15" t="s">
        <v>99</v>
      </c>
      <c r="D51" s="14" t="s">
        <v>13</v>
      </c>
      <c r="E51" s="14">
        <v>13.05</v>
      </c>
      <c r="F51" s="14">
        <v>2.0499999999999901</v>
      </c>
      <c r="G51" s="14">
        <v>3.22</v>
      </c>
      <c r="H51" s="14">
        <v>25</v>
      </c>
      <c r="I51" s="14">
        <v>124</v>
      </c>
      <c r="J51" s="14">
        <v>2.6299999999999901</v>
      </c>
      <c r="K51" s="14">
        <v>2.68</v>
      </c>
      <c r="L51" s="14">
        <v>0.46999999999999897</v>
      </c>
      <c r="M51" s="14">
        <v>1.9199999999999899</v>
      </c>
      <c r="N51" s="14">
        <v>3.58</v>
      </c>
      <c r="O51" s="14">
        <v>1.1299999999999899</v>
      </c>
      <c r="P51" s="14">
        <v>3.2</v>
      </c>
      <c r="Q51">
        <v>830</v>
      </c>
    </row>
    <row r="52" spans="3:17" x14ac:dyDescent="0.25">
      <c r="C52" s="15" t="s">
        <v>101</v>
      </c>
      <c r="D52" s="14" t="s">
        <v>13</v>
      </c>
      <c r="E52" s="14">
        <v>13.3</v>
      </c>
      <c r="F52" s="14">
        <v>1.72</v>
      </c>
      <c r="G52" s="14">
        <v>2.14</v>
      </c>
      <c r="H52" s="14">
        <v>17</v>
      </c>
      <c r="I52" s="14">
        <v>94</v>
      </c>
      <c r="J52" s="14">
        <v>2.3999999999999901</v>
      </c>
      <c r="K52" s="14">
        <v>2.1899999999999902</v>
      </c>
      <c r="L52" s="14">
        <v>0.27</v>
      </c>
      <c r="M52" s="14">
        <v>1.35</v>
      </c>
      <c r="N52" s="14">
        <v>3.95</v>
      </c>
      <c r="O52" s="14">
        <v>1.02</v>
      </c>
      <c r="P52" s="14">
        <v>2.77</v>
      </c>
      <c r="Q52">
        <v>1285</v>
      </c>
    </row>
    <row r="53" spans="3:17" x14ac:dyDescent="0.25">
      <c r="C53" s="15" t="s">
        <v>102</v>
      </c>
      <c r="D53" s="14" t="s">
        <v>13</v>
      </c>
      <c r="E53" s="14">
        <v>13.8699999999999</v>
      </c>
      <c r="F53" s="14">
        <v>1.8999999999999899</v>
      </c>
      <c r="G53" s="14">
        <v>2.7999999999999901</v>
      </c>
      <c r="H53" s="14">
        <v>19.399999999999899</v>
      </c>
      <c r="I53" s="14">
        <v>107</v>
      </c>
      <c r="J53" s="14">
        <v>2.95</v>
      </c>
      <c r="K53" s="14">
        <v>2.97</v>
      </c>
      <c r="L53" s="14">
        <v>0.37</v>
      </c>
      <c r="M53" s="14">
        <v>1.76</v>
      </c>
      <c r="N53" s="14">
        <v>4.5</v>
      </c>
      <c r="O53" s="14">
        <v>1.25</v>
      </c>
      <c r="P53" s="14">
        <v>3.3999999999999901</v>
      </c>
      <c r="Q53">
        <v>915</v>
      </c>
    </row>
    <row r="54" spans="3:17" x14ac:dyDescent="0.25">
      <c r="C54" s="15" t="s">
        <v>105</v>
      </c>
      <c r="D54" s="14" t="s">
        <v>13</v>
      </c>
      <c r="E54" s="14">
        <v>13.58</v>
      </c>
      <c r="F54" s="14">
        <v>1.6599999999999899</v>
      </c>
      <c r="G54" s="14">
        <v>2.3599999999999901</v>
      </c>
      <c r="H54" s="14">
        <v>19.100000000000001</v>
      </c>
      <c r="I54" s="14">
        <v>106</v>
      </c>
      <c r="J54" s="14">
        <v>2.8599999999999901</v>
      </c>
      <c r="K54" s="14">
        <v>3.1899999999999902</v>
      </c>
      <c r="L54" s="14">
        <v>0.22</v>
      </c>
      <c r="M54" s="14">
        <v>1.95</v>
      </c>
      <c r="N54" s="14">
        <v>6.9</v>
      </c>
      <c r="O54" s="14">
        <v>1.0900000000000001</v>
      </c>
      <c r="P54" s="14">
        <v>2.8799999999999901</v>
      </c>
      <c r="Q54">
        <v>1515</v>
      </c>
    </row>
    <row r="55" spans="3:17" x14ac:dyDescent="0.25">
      <c r="C55" s="15" t="s">
        <v>106</v>
      </c>
      <c r="D55" s="14" t="s">
        <v>13</v>
      </c>
      <c r="E55" s="14">
        <v>13.68</v>
      </c>
      <c r="F55" s="14">
        <v>1.83</v>
      </c>
      <c r="G55" s="14">
        <v>2.3599999999999901</v>
      </c>
      <c r="H55" s="14">
        <v>17.1999999999999</v>
      </c>
      <c r="I55" s="14">
        <v>104</v>
      </c>
      <c r="J55" s="14">
        <v>2.4199999999999902</v>
      </c>
      <c r="K55" s="14">
        <v>2.6899999999999902</v>
      </c>
      <c r="L55" s="14">
        <v>0.41999999999999899</v>
      </c>
      <c r="M55" s="14">
        <v>1.97</v>
      </c>
      <c r="N55" s="14">
        <v>3.8399999999999901</v>
      </c>
      <c r="O55" s="14">
        <v>1.23</v>
      </c>
      <c r="P55" s="14">
        <v>2.87</v>
      </c>
      <c r="Q55">
        <v>990</v>
      </c>
    </row>
    <row r="56" spans="3:17" x14ac:dyDescent="0.25">
      <c r="C56" s="15" t="s">
        <v>108</v>
      </c>
      <c r="D56" s="14" t="s">
        <v>13</v>
      </c>
      <c r="E56" s="14">
        <v>13.51</v>
      </c>
      <c r="F56" s="14">
        <v>1.8</v>
      </c>
      <c r="G56" s="14">
        <v>2.6499999999999901</v>
      </c>
      <c r="H56" s="14">
        <v>19</v>
      </c>
      <c r="I56" s="14">
        <v>110</v>
      </c>
      <c r="J56" s="14">
        <v>2.35</v>
      </c>
      <c r="K56" s="14">
        <v>2.52999999999999</v>
      </c>
      <c r="L56" s="14">
        <v>0.28999999999999898</v>
      </c>
      <c r="M56" s="14">
        <v>1.54</v>
      </c>
      <c r="N56" s="14">
        <v>4.2</v>
      </c>
      <c r="O56" s="14">
        <v>1.1000000000000001</v>
      </c>
      <c r="P56" s="14">
        <v>2.87</v>
      </c>
      <c r="Q56">
        <v>1095</v>
      </c>
    </row>
    <row r="57" spans="3:17" x14ac:dyDescent="0.25">
      <c r="C57" s="15" t="s">
        <v>110</v>
      </c>
      <c r="D57" s="14" t="s">
        <v>13</v>
      </c>
      <c r="E57" s="14">
        <v>13.2799999999999</v>
      </c>
      <c r="F57" s="14">
        <v>1.6399999999999899</v>
      </c>
      <c r="G57" s="14">
        <v>2.8399999999999901</v>
      </c>
      <c r="H57" s="14">
        <v>15.5</v>
      </c>
      <c r="I57" s="14">
        <v>110</v>
      </c>
      <c r="J57" s="14">
        <v>2.6</v>
      </c>
      <c r="K57" s="14">
        <v>2.68</v>
      </c>
      <c r="L57" s="14">
        <v>0.34</v>
      </c>
      <c r="M57" s="14">
        <v>1.36</v>
      </c>
      <c r="N57" s="14">
        <v>4.5999999999999899</v>
      </c>
      <c r="O57" s="14">
        <v>1.0900000000000001</v>
      </c>
      <c r="P57" s="14">
        <v>2.77999999999999</v>
      </c>
      <c r="Q57">
        <v>880</v>
      </c>
    </row>
    <row r="58" spans="3:17" x14ac:dyDescent="0.25">
      <c r="C58" s="15" t="s">
        <v>112</v>
      </c>
      <c r="D58" s="14" t="s">
        <v>13</v>
      </c>
      <c r="E58" s="14">
        <v>13.07</v>
      </c>
      <c r="F58" s="14">
        <v>1.5</v>
      </c>
      <c r="G58" s="14">
        <v>2.1</v>
      </c>
      <c r="H58" s="14">
        <v>15.5</v>
      </c>
      <c r="I58" s="14">
        <v>98</v>
      </c>
      <c r="J58" s="14">
        <v>2.3999999999999901</v>
      </c>
      <c r="K58" s="14">
        <v>2.64</v>
      </c>
      <c r="L58" s="14">
        <v>0.28000000000000003</v>
      </c>
      <c r="M58" s="14">
        <v>1.37</v>
      </c>
      <c r="N58" s="14">
        <v>3.7</v>
      </c>
      <c r="O58" s="14">
        <v>1.1799999999999899</v>
      </c>
      <c r="P58" s="14">
        <v>2.6899999999999902</v>
      </c>
      <c r="Q58">
        <v>1020</v>
      </c>
    </row>
    <row r="59" spans="3:17" x14ac:dyDescent="0.25">
      <c r="C59" s="15" t="s">
        <v>114</v>
      </c>
      <c r="D59" s="14" t="s">
        <v>13</v>
      </c>
      <c r="E59" s="14">
        <v>13.56</v>
      </c>
      <c r="F59" s="14">
        <v>1.71</v>
      </c>
      <c r="G59" s="14">
        <v>2.31</v>
      </c>
      <c r="H59" s="14">
        <v>16.1999999999999</v>
      </c>
      <c r="I59" s="14">
        <v>117</v>
      </c>
      <c r="J59" s="14">
        <v>3.1499999999999901</v>
      </c>
      <c r="K59" s="14">
        <v>3.29</v>
      </c>
      <c r="L59" s="14">
        <v>0.34</v>
      </c>
      <c r="M59" s="14">
        <v>2.3399999999999901</v>
      </c>
      <c r="N59" s="14">
        <v>6.1299999999999901</v>
      </c>
      <c r="O59" s="14">
        <v>0.94999999999999896</v>
      </c>
      <c r="P59" s="14">
        <v>3.3799999999999901</v>
      </c>
      <c r="Q59">
        <v>795</v>
      </c>
    </row>
    <row r="60" spans="3:17" x14ac:dyDescent="0.25">
      <c r="C60" s="15" t="s">
        <v>115</v>
      </c>
      <c r="D60" s="14" t="s">
        <v>13</v>
      </c>
      <c r="E60" s="14">
        <v>13.41</v>
      </c>
      <c r="F60" s="14">
        <v>3.8399999999999901</v>
      </c>
      <c r="G60" s="14">
        <v>2.12</v>
      </c>
      <c r="H60" s="14">
        <v>18.8</v>
      </c>
      <c r="I60" s="14">
        <v>90</v>
      </c>
      <c r="J60" s="14">
        <v>2.4500000000000002</v>
      </c>
      <c r="K60" s="14">
        <v>2.68</v>
      </c>
      <c r="L60" s="14">
        <v>0.27</v>
      </c>
      <c r="M60" s="14">
        <v>1.48</v>
      </c>
      <c r="N60" s="14">
        <v>4.28</v>
      </c>
      <c r="O60" s="14">
        <v>0.91</v>
      </c>
      <c r="P60" s="14">
        <v>3</v>
      </c>
      <c r="Q60">
        <v>1035</v>
      </c>
    </row>
    <row r="61" spans="3:17" x14ac:dyDescent="0.25">
      <c r="C61" s="15" t="s">
        <v>118</v>
      </c>
      <c r="D61" s="14" t="s">
        <v>13</v>
      </c>
      <c r="E61" s="14">
        <v>13.05</v>
      </c>
      <c r="F61" s="14">
        <v>1.77</v>
      </c>
      <c r="G61" s="14">
        <v>2.1</v>
      </c>
      <c r="H61" s="14">
        <v>17</v>
      </c>
      <c r="I61" s="14">
        <v>107</v>
      </c>
      <c r="J61" s="14">
        <v>3</v>
      </c>
      <c r="K61" s="14">
        <v>3</v>
      </c>
      <c r="L61" s="14">
        <v>0.28000000000000003</v>
      </c>
      <c r="M61" s="14">
        <v>2.02999999999999</v>
      </c>
      <c r="N61" s="14">
        <v>5.04</v>
      </c>
      <c r="O61" s="14">
        <v>0.88</v>
      </c>
      <c r="P61" s="14">
        <v>3.35</v>
      </c>
      <c r="Q61">
        <v>885</v>
      </c>
    </row>
    <row r="62" spans="3:17" x14ac:dyDescent="0.25">
      <c r="C62" s="15" t="s">
        <v>120</v>
      </c>
      <c r="D62" s="14" t="s">
        <v>13</v>
      </c>
      <c r="E62" s="14">
        <v>14.38</v>
      </c>
      <c r="F62" s="14">
        <v>3.5899999999999901</v>
      </c>
      <c r="G62" s="14">
        <v>2.27999999999999</v>
      </c>
      <c r="H62" s="14">
        <v>16</v>
      </c>
      <c r="I62" s="14">
        <v>102</v>
      </c>
      <c r="J62" s="14">
        <v>3.25</v>
      </c>
      <c r="K62" s="14">
        <v>3.1699999999999902</v>
      </c>
      <c r="L62" s="14">
        <v>0.27</v>
      </c>
      <c r="M62" s="14">
        <v>2.1899999999999902</v>
      </c>
      <c r="N62" s="14">
        <v>4.9000000000000004</v>
      </c>
      <c r="O62" s="14">
        <v>1.04</v>
      </c>
      <c r="P62" s="14">
        <v>3.4399999999999902</v>
      </c>
      <c r="Q62">
        <v>1065</v>
      </c>
    </row>
    <row r="63" spans="3:17" x14ac:dyDescent="0.25">
      <c r="C63" s="15" t="s">
        <v>121</v>
      </c>
      <c r="D63" s="14" t="s">
        <v>13</v>
      </c>
      <c r="E63" s="14">
        <v>13.9</v>
      </c>
      <c r="F63" s="14">
        <v>1.6799999999999899</v>
      </c>
      <c r="G63" s="14">
        <v>2.12</v>
      </c>
      <c r="H63" s="14">
        <v>16</v>
      </c>
      <c r="I63" s="14">
        <v>101</v>
      </c>
      <c r="J63" s="14">
        <v>3.1</v>
      </c>
      <c r="K63" s="14">
        <v>3.39</v>
      </c>
      <c r="L63" s="14">
        <v>0.20999999999999899</v>
      </c>
      <c r="M63" s="14">
        <v>2.14</v>
      </c>
      <c r="N63" s="14">
        <v>6.0999999999999899</v>
      </c>
      <c r="O63" s="14">
        <v>0.91</v>
      </c>
      <c r="P63" s="14">
        <v>3.33</v>
      </c>
      <c r="Q63">
        <v>985</v>
      </c>
    </row>
    <row r="64" spans="3:17" x14ac:dyDescent="0.25">
      <c r="C64" s="15" t="s">
        <v>122</v>
      </c>
      <c r="D64" s="14" t="s">
        <v>13</v>
      </c>
      <c r="E64" s="14">
        <v>14.1</v>
      </c>
      <c r="F64" s="14">
        <v>2.02</v>
      </c>
      <c r="G64" s="14">
        <v>2.3999999999999901</v>
      </c>
      <c r="H64" s="14">
        <v>18.8</v>
      </c>
      <c r="I64" s="14">
        <v>103</v>
      </c>
      <c r="J64" s="14">
        <v>2.75</v>
      </c>
      <c r="K64" s="14">
        <v>2.9199999999999902</v>
      </c>
      <c r="L64" s="14">
        <v>0.32</v>
      </c>
      <c r="M64" s="14">
        <v>2.3799999999999901</v>
      </c>
      <c r="N64" s="14">
        <v>6.2</v>
      </c>
      <c r="O64" s="14">
        <v>1.07</v>
      </c>
      <c r="P64" s="14">
        <v>2.75</v>
      </c>
      <c r="Q64">
        <v>1060</v>
      </c>
    </row>
    <row r="65" spans="3:17" x14ac:dyDescent="0.25">
      <c r="C65" s="15" t="s">
        <v>127</v>
      </c>
      <c r="D65" s="14" t="s">
        <v>13</v>
      </c>
      <c r="E65" s="14">
        <v>13.77</v>
      </c>
      <c r="F65" s="14">
        <v>1.8999999999999899</v>
      </c>
      <c r="G65" s="14">
        <v>2.68</v>
      </c>
      <c r="H65" s="14">
        <v>17.100000000000001</v>
      </c>
      <c r="I65" s="14">
        <v>115</v>
      </c>
      <c r="J65" s="14">
        <v>3</v>
      </c>
      <c r="K65" s="14">
        <v>2.79</v>
      </c>
      <c r="L65" s="14">
        <v>0.39</v>
      </c>
      <c r="M65" s="14">
        <v>1.6799999999999899</v>
      </c>
      <c r="N65" s="14">
        <v>6.2999999999999901</v>
      </c>
      <c r="O65" s="14">
        <v>1.1299999999999899</v>
      </c>
      <c r="P65" s="14">
        <v>2.93</v>
      </c>
      <c r="Q65">
        <v>1375</v>
      </c>
    </row>
    <row r="66" spans="3:17" x14ac:dyDescent="0.25">
      <c r="C66" s="15" t="s">
        <v>129</v>
      </c>
      <c r="D66" s="14" t="s">
        <v>13</v>
      </c>
      <c r="E66" s="14">
        <v>13.56</v>
      </c>
      <c r="F66" s="14">
        <v>1.73</v>
      </c>
      <c r="G66" s="14">
        <v>2.46</v>
      </c>
      <c r="H66" s="14">
        <v>20.5</v>
      </c>
      <c r="I66" s="14">
        <v>116</v>
      </c>
      <c r="J66" s="14">
        <v>2.96</v>
      </c>
      <c r="K66" s="14">
        <v>2.77999999999999</v>
      </c>
      <c r="L66" s="14">
        <v>0.2</v>
      </c>
      <c r="M66" s="14">
        <v>2.4500000000000002</v>
      </c>
      <c r="N66" s="14">
        <v>6.25</v>
      </c>
      <c r="O66" s="14">
        <v>0.97999999999999898</v>
      </c>
      <c r="P66" s="14">
        <v>3.02999999999999</v>
      </c>
      <c r="Q66">
        <v>1120</v>
      </c>
    </row>
    <row r="67" spans="3:17" x14ac:dyDescent="0.25">
      <c r="C67" s="15" t="s">
        <v>130</v>
      </c>
      <c r="D67" s="14" t="s">
        <v>13</v>
      </c>
      <c r="E67" s="14">
        <v>14.22</v>
      </c>
      <c r="F67" s="14">
        <v>1.7</v>
      </c>
      <c r="G67" s="14">
        <v>2.2999999999999901</v>
      </c>
      <c r="H67" s="14">
        <v>16.3</v>
      </c>
      <c r="I67" s="14">
        <v>118</v>
      </c>
      <c r="J67" s="14">
        <v>3.2</v>
      </c>
      <c r="K67" s="14">
        <v>3</v>
      </c>
      <c r="L67" s="14">
        <v>0.26</v>
      </c>
      <c r="M67" s="14">
        <v>2.02999999999999</v>
      </c>
      <c r="N67" s="14">
        <v>6.3799999999999901</v>
      </c>
      <c r="O67" s="14">
        <v>0.93999999999999895</v>
      </c>
      <c r="P67" s="14">
        <v>3.31</v>
      </c>
      <c r="Q67">
        <v>970</v>
      </c>
    </row>
    <row r="68" spans="3:17" x14ac:dyDescent="0.25">
      <c r="C68" s="15" t="s">
        <v>132</v>
      </c>
      <c r="D68" s="14" t="s">
        <v>13</v>
      </c>
      <c r="E68" s="14">
        <v>13.72</v>
      </c>
      <c r="F68" s="14">
        <v>1.4299999999999899</v>
      </c>
      <c r="G68" s="14">
        <v>2.5</v>
      </c>
      <c r="H68" s="14">
        <v>16.6999999999999</v>
      </c>
      <c r="I68" s="14">
        <v>108</v>
      </c>
      <c r="J68" s="14">
        <v>3.3999999999999901</v>
      </c>
      <c r="K68" s="14">
        <v>3.6699999999999902</v>
      </c>
      <c r="L68" s="14">
        <v>0.19</v>
      </c>
      <c r="M68" s="14">
        <v>2.04</v>
      </c>
      <c r="N68" s="14">
        <v>6.7999999999999901</v>
      </c>
      <c r="O68" s="14">
        <v>0.89</v>
      </c>
      <c r="P68" s="14">
        <v>2.87</v>
      </c>
      <c r="Q68">
        <v>1285</v>
      </c>
    </row>
    <row r="69" spans="3:17" x14ac:dyDescent="0.25">
      <c r="C69" s="15" t="s">
        <v>133</v>
      </c>
      <c r="D69" s="14" t="s">
        <v>14</v>
      </c>
      <c r="E69" s="14">
        <v>12.3699999999999</v>
      </c>
      <c r="F69" s="14">
        <v>0.93999999999999895</v>
      </c>
      <c r="G69" s="14">
        <v>1.36</v>
      </c>
      <c r="H69" s="14">
        <v>10.6</v>
      </c>
      <c r="I69" s="14">
        <v>88</v>
      </c>
      <c r="J69" s="14">
        <v>1.98</v>
      </c>
      <c r="K69" s="14">
        <v>0.56999999999999895</v>
      </c>
      <c r="L69" s="14">
        <v>0.28000000000000003</v>
      </c>
      <c r="M69" s="14">
        <v>0.41999999999999899</v>
      </c>
      <c r="N69" s="14">
        <v>1.95</v>
      </c>
      <c r="O69" s="14">
        <v>1.05</v>
      </c>
      <c r="P69" s="14">
        <v>1.82</v>
      </c>
      <c r="Q69">
        <v>520</v>
      </c>
    </row>
    <row r="70" spans="3:17" x14ac:dyDescent="0.25">
      <c r="C70" s="15" t="s">
        <v>134</v>
      </c>
      <c r="D70" s="14" t="s">
        <v>14</v>
      </c>
      <c r="E70" s="14">
        <v>12.33</v>
      </c>
      <c r="F70" s="14">
        <v>1.1000000000000001</v>
      </c>
      <c r="G70" s="14">
        <v>2.27999999999999</v>
      </c>
      <c r="H70" s="14">
        <v>16</v>
      </c>
      <c r="I70" s="14">
        <v>101</v>
      </c>
      <c r="J70" s="14">
        <v>2.0499999999999901</v>
      </c>
      <c r="K70" s="14">
        <v>1.0900000000000001</v>
      </c>
      <c r="L70" s="14">
        <v>0.63</v>
      </c>
      <c r="M70" s="14">
        <v>0.40999999999999898</v>
      </c>
      <c r="N70" s="14">
        <v>3.27</v>
      </c>
      <c r="O70" s="14">
        <v>1.25</v>
      </c>
      <c r="P70" s="14">
        <v>1.6699999999999899</v>
      </c>
      <c r="Q70">
        <v>680</v>
      </c>
    </row>
    <row r="71" spans="3:17" x14ac:dyDescent="0.25">
      <c r="C71" s="15" t="s">
        <v>135</v>
      </c>
      <c r="D71" s="14" t="s">
        <v>14</v>
      </c>
      <c r="E71" s="14">
        <v>12.64</v>
      </c>
      <c r="F71" s="14">
        <v>1.36</v>
      </c>
      <c r="G71" s="14">
        <v>2.02</v>
      </c>
      <c r="H71" s="14">
        <v>16.8</v>
      </c>
      <c r="I71" s="14">
        <v>100</v>
      </c>
      <c r="J71" s="14">
        <v>2.02</v>
      </c>
      <c r="K71" s="14">
        <v>1.4099999999999899</v>
      </c>
      <c r="L71" s="14">
        <v>0.53</v>
      </c>
      <c r="M71" s="14">
        <v>0.62</v>
      </c>
      <c r="N71" s="14">
        <v>5.75</v>
      </c>
      <c r="O71" s="14">
        <v>0.97999999999999898</v>
      </c>
      <c r="P71" s="14">
        <v>1.59</v>
      </c>
      <c r="Q71">
        <v>450</v>
      </c>
    </row>
    <row r="72" spans="3:17" x14ac:dyDescent="0.25">
      <c r="C72" s="15" t="s">
        <v>138</v>
      </c>
      <c r="D72" s="14" t="s">
        <v>14</v>
      </c>
      <c r="E72" s="14">
        <v>12.17</v>
      </c>
      <c r="F72" s="14">
        <v>1.45</v>
      </c>
      <c r="G72" s="14">
        <v>2.52999999999999</v>
      </c>
      <c r="H72" s="14">
        <v>19</v>
      </c>
      <c r="I72" s="14">
        <v>104</v>
      </c>
      <c r="J72" s="14">
        <v>1.8899999999999899</v>
      </c>
      <c r="K72" s="14">
        <v>1.75</v>
      </c>
      <c r="L72" s="14">
        <v>0.45</v>
      </c>
      <c r="M72" s="14">
        <v>1.03</v>
      </c>
      <c r="N72" s="14">
        <v>2.95</v>
      </c>
      <c r="O72" s="14">
        <v>1.45</v>
      </c>
      <c r="P72" s="14">
        <v>2.23</v>
      </c>
      <c r="Q72">
        <v>355</v>
      </c>
    </row>
    <row r="73" spans="3:17" x14ac:dyDescent="0.25">
      <c r="C73" s="15" t="s">
        <v>139</v>
      </c>
      <c r="D73" s="14" t="s">
        <v>14</v>
      </c>
      <c r="E73" s="14">
        <v>12.3699999999999</v>
      </c>
      <c r="F73" s="14">
        <v>1.21</v>
      </c>
      <c r="G73" s="14">
        <v>2.56</v>
      </c>
      <c r="H73" s="14">
        <v>18.100000000000001</v>
      </c>
      <c r="I73" s="14">
        <v>98</v>
      </c>
      <c r="J73" s="14">
        <v>2.4199999999999902</v>
      </c>
      <c r="K73" s="14">
        <v>2.6499999999999901</v>
      </c>
      <c r="L73" s="14">
        <v>0.37</v>
      </c>
      <c r="M73" s="14">
        <v>2.08</v>
      </c>
      <c r="N73" s="14">
        <v>4.5999999999999899</v>
      </c>
      <c r="O73" s="14">
        <v>1.18999999999999</v>
      </c>
      <c r="P73" s="14">
        <v>2.2999999999999901</v>
      </c>
      <c r="Q73">
        <v>678</v>
      </c>
    </row>
    <row r="74" spans="3:17" x14ac:dyDescent="0.25">
      <c r="C74" s="15" t="s">
        <v>141</v>
      </c>
      <c r="D74" s="14" t="s">
        <v>14</v>
      </c>
      <c r="E74" s="14">
        <v>12.3699999999999</v>
      </c>
      <c r="F74" s="14">
        <v>1.1699999999999899</v>
      </c>
      <c r="G74" s="14">
        <v>1.9199999999999899</v>
      </c>
      <c r="H74" s="14">
        <v>19.600000000000001</v>
      </c>
      <c r="I74" s="14">
        <v>78</v>
      </c>
      <c r="J74" s="14">
        <v>2.1099999999999901</v>
      </c>
      <c r="K74" s="14">
        <v>2</v>
      </c>
      <c r="L74" s="14">
        <v>0.27</v>
      </c>
      <c r="M74" s="14">
        <v>1.04</v>
      </c>
      <c r="N74" s="14">
        <v>4.6799999999999899</v>
      </c>
      <c r="O74" s="14">
        <v>1.1200000000000001</v>
      </c>
      <c r="P74" s="14">
        <v>3.48</v>
      </c>
      <c r="Q74">
        <v>510</v>
      </c>
    </row>
    <row r="75" spans="3:17" x14ac:dyDescent="0.25">
      <c r="C75" s="15" t="s">
        <v>144</v>
      </c>
      <c r="D75" s="14" t="s">
        <v>14</v>
      </c>
      <c r="E75" s="14">
        <v>12.2899999999999</v>
      </c>
      <c r="F75" s="14">
        <v>1.61</v>
      </c>
      <c r="G75" s="14">
        <v>2.21</v>
      </c>
      <c r="H75" s="14">
        <v>20.399999999999899</v>
      </c>
      <c r="I75" s="14">
        <v>103</v>
      </c>
      <c r="J75" s="14">
        <v>1.1000000000000001</v>
      </c>
      <c r="K75" s="14">
        <v>1.02</v>
      </c>
      <c r="L75" s="14">
        <v>0.37</v>
      </c>
      <c r="M75" s="14">
        <v>1.46</v>
      </c>
      <c r="N75" s="14">
        <v>3.0499999999999901</v>
      </c>
      <c r="O75" s="14">
        <v>0.90600000000000003</v>
      </c>
      <c r="P75" s="14">
        <v>1.82</v>
      </c>
      <c r="Q75">
        <v>870</v>
      </c>
    </row>
    <row r="76" spans="3:17" x14ac:dyDescent="0.25">
      <c r="C76" s="15" t="s">
        <v>146</v>
      </c>
      <c r="D76" s="14" t="s">
        <v>14</v>
      </c>
      <c r="E76" s="14">
        <v>13.49</v>
      </c>
      <c r="F76" s="14">
        <v>1.6599999999999899</v>
      </c>
      <c r="G76" s="14">
        <v>2.2400000000000002</v>
      </c>
      <c r="H76" s="14">
        <v>24</v>
      </c>
      <c r="I76" s="14">
        <v>87</v>
      </c>
      <c r="J76" s="14">
        <v>1.8799999999999899</v>
      </c>
      <c r="K76" s="14">
        <v>1.84</v>
      </c>
      <c r="L76" s="14">
        <v>0.27</v>
      </c>
      <c r="M76" s="14">
        <v>1.03</v>
      </c>
      <c r="N76" s="14">
        <v>3.74</v>
      </c>
      <c r="O76" s="14">
        <v>0.97999999999999898</v>
      </c>
      <c r="P76" s="14">
        <v>2.77999999999999</v>
      </c>
      <c r="Q76">
        <v>472</v>
      </c>
    </row>
    <row r="77" spans="3:17" x14ac:dyDescent="0.25">
      <c r="C77" s="15" t="s">
        <v>149</v>
      </c>
      <c r="D77" s="14" t="s">
        <v>14</v>
      </c>
      <c r="E77" s="14">
        <v>11.66</v>
      </c>
      <c r="F77" s="14">
        <v>1.8799999999999899</v>
      </c>
      <c r="G77" s="14">
        <v>1.9199999999999899</v>
      </c>
      <c r="H77" s="14">
        <v>16</v>
      </c>
      <c r="I77" s="14">
        <v>97</v>
      </c>
      <c r="J77" s="14">
        <v>1.61</v>
      </c>
      <c r="K77" s="14">
        <v>1.57</v>
      </c>
      <c r="L77" s="14">
        <v>0.34</v>
      </c>
      <c r="M77" s="14">
        <v>1.1499999999999899</v>
      </c>
      <c r="N77" s="14">
        <v>3.7999999999999901</v>
      </c>
      <c r="O77" s="14">
        <v>1.23</v>
      </c>
      <c r="P77" s="14">
        <v>2.14</v>
      </c>
      <c r="Q77">
        <v>428</v>
      </c>
    </row>
    <row r="78" spans="3:17" x14ac:dyDescent="0.25">
      <c r="C78" s="15" t="s">
        <v>151</v>
      </c>
      <c r="D78" s="14" t="s">
        <v>14</v>
      </c>
      <c r="E78" s="14">
        <v>11.84</v>
      </c>
      <c r="F78" s="14">
        <v>2.89</v>
      </c>
      <c r="G78" s="14">
        <v>2.23</v>
      </c>
      <c r="H78" s="14">
        <v>18</v>
      </c>
      <c r="I78" s="14">
        <v>112</v>
      </c>
      <c r="J78" s="14">
        <v>1.72</v>
      </c>
      <c r="K78" s="14">
        <v>1.32</v>
      </c>
      <c r="L78" s="14">
        <v>0.42999999999999899</v>
      </c>
      <c r="M78" s="14">
        <v>0.94999999999999896</v>
      </c>
      <c r="N78" s="14">
        <v>2.6499999999999901</v>
      </c>
      <c r="O78" s="14">
        <v>0.95999999999999897</v>
      </c>
      <c r="P78" s="14">
        <v>2.52</v>
      </c>
      <c r="Q78">
        <v>500</v>
      </c>
    </row>
    <row r="79" spans="3:17" x14ac:dyDescent="0.25">
      <c r="C79" s="15" t="s">
        <v>153</v>
      </c>
      <c r="D79" s="14" t="s">
        <v>14</v>
      </c>
      <c r="E79" s="14">
        <v>12.6999999999999</v>
      </c>
      <c r="F79" s="14">
        <v>3.87</v>
      </c>
      <c r="G79" s="14">
        <v>2.3999999999999901</v>
      </c>
      <c r="H79" s="14">
        <v>23</v>
      </c>
      <c r="I79" s="14">
        <v>101</v>
      </c>
      <c r="J79" s="14">
        <v>2.83</v>
      </c>
      <c r="K79" s="14">
        <v>2.5499999999999901</v>
      </c>
      <c r="L79" s="14">
        <v>0.42999999999999899</v>
      </c>
      <c r="M79" s="14">
        <v>1.95</v>
      </c>
      <c r="N79" s="14">
        <v>2.5699999999999901</v>
      </c>
      <c r="O79" s="14">
        <v>1.18999999999999</v>
      </c>
      <c r="P79" s="14">
        <v>3.1299999999999901</v>
      </c>
      <c r="Q79">
        <v>463</v>
      </c>
    </row>
    <row r="80" spans="3:17" x14ac:dyDescent="0.25">
      <c r="C80" s="15" t="s">
        <v>154</v>
      </c>
      <c r="D80" s="14" t="s">
        <v>14</v>
      </c>
      <c r="E80" s="14">
        <v>12</v>
      </c>
      <c r="F80" s="14">
        <v>0.92</v>
      </c>
      <c r="G80" s="14">
        <v>2</v>
      </c>
      <c r="H80" s="14">
        <v>19</v>
      </c>
      <c r="I80" s="14">
        <v>86</v>
      </c>
      <c r="J80" s="14">
        <v>2.4199999999999902</v>
      </c>
      <c r="K80" s="14">
        <v>2.25999999999999</v>
      </c>
      <c r="L80" s="14">
        <v>0.29999999999999899</v>
      </c>
      <c r="M80" s="14">
        <v>1.4299999999999899</v>
      </c>
      <c r="N80" s="14">
        <v>2.5</v>
      </c>
      <c r="O80" s="14">
        <v>1.3799999999999899</v>
      </c>
      <c r="P80" s="14">
        <v>3.12</v>
      </c>
      <c r="Q80">
        <v>278</v>
      </c>
    </row>
    <row r="81" spans="3:17" x14ac:dyDescent="0.25">
      <c r="C81" s="15" t="s">
        <v>155</v>
      </c>
      <c r="D81" s="14" t="s">
        <v>14</v>
      </c>
      <c r="E81" s="14">
        <v>12.72</v>
      </c>
      <c r="F81" s="14">
        <v>1.81</v>
      </c>
      <c r="G81" s="14">
        <v>2.2000000000000002</v>
      </c>
      <c r="H81" s="14">
        <v>18.8</v>
      </c>
      <c r="I81" s="14">
        <v>86</v>
      </c>
      <c r="J81" s="14">
        <v>2.2000000000000002</v>
      </c>
      <c r="K81" s="14">
        <v>2.52999999999999</v>
      </c>
      <c r="L81" s="14">
        <v>0.26</v>
      </c>
      <c r="M81" s="14">
        <v>1.77</v>
      </c>
      <c r="N81" s="14">
        <v>3.8999999999999901</v>
      </c>
      <c r="O81" s="14">
        <v>1.1599999999999899</v>
      </c>
      <c r="P81" s="14">
        <v>3.14</v>
      </c>
      <c r="Q81">
        <v>714</v>
      </c>
    </row>
    <row r="82" spans="3:17" x14ac:dyDescent="0.25">
      <c r="C82" s="15" t="s">
        <v>156</v>
      </c>
      <c r="D82" s="14" t="s">
        <v>14</v>
      </c>
      <c r="E82" s="14">
        <v>12.08</v>
      </c>
      <c r="F82" s="14">
        <v>1.1299999999999899</v>
      </c>
      <c r="G82" s="14">
        <v>2.50999999999999</v>
      </c>
      <c r="H82" s="14">
        <v>24</v>
      </c>
      <c r="I82" s="14">
        <v>78</v>
      </c>
      <c r="J82" s="14">
        <v>2</v>
      </c>
      <c r="K82" s="14">
        <v>1.58</v>
      </c>
      <c r="L82" s="14">
        <v>0.4</v>
      </c>
      <c r="M82" s="14">
        <v>1.3999999999999899</v>
      </c>
      <c r="N82" s="14">
        <v>2.2000000000000002</v>
      </c>
      <c r="O82" s="14">
        <v>1.31</v>
      </c>
      <c r="P82" s="14">
        <v>2.72</v>
      </c>
      <c r="Q82">
        <v>630</v>
      </c>
    </row>
    <row r="83" spans="3:17" x14ac:dyDescent="0.25">
      <c r="C83" s="15" t="s">
        <v>157</v>
      </c>
      <c r="D83" s="14" t="s">
        <v>14</v>
      </c>
      <c r="E83" s="14">
        <v>13.05</v>
      </c>
      <c r="F83" s="14">
        <v>3.8599999999999901</v>
      </c>
      <c r="G83" s="14">
        <v>2.3199999999999901</v>
      </c>
      <c r="H83" s="14">
        <v>22.5</v>
      </c>
      <c r="I83" s="14">
        <v>85</v>
      </c>
      <c r="J83" s="14">
        <v>1.6499999999999899</v>
      </c>
      <c r="K83" s="14">
        <v>1.59</v>
      </c>
      <c r="L83" s="14">
        <v>0.60999999999999899</v>
      </c>
      <c r="M83" s="14">
        <v>1.62</v>
      </c>
      <c r="N83" s="14">
        <v>4.7999999999999901</v>
      </c>
      <c r="O83" s="14">
        <v>0.83999999999999897</v>
      </c>
      <c r="P83" s="14">
        <v>2.00999999999999</v>
      </c>
      <c r="Q83">
        <v>515</v>
      </c>
    </row>
    <row r="84" spans="3:17" x14ac:dyDescent="0.25">
      <c r="C84" s="15" t="s">
        <v>161</v>
      </c>
      <c r="D84" s="14" t="s">
        <v>14</v>
      </c>
      <c r="E84" s="14">
        <v>11.65</v>
      </c>
      <c r="F84" s="14">
        <v>1.6699999999999899</v>
      </c>
      <c r="G84" s="14">
        <v>2.62</v>
      </c>
      <c r="H84" s="14">
        <v>26</v>
      </c>
      <c r="I84" s="14">
        <v>88</v>
      </c>
      <c r="J84" s="14">
        <v>1.9199999999999899</v>
      </c>
      <c r="K84" s="14">
        <v>1.61</v>
      </c>
      <c r="L84" s="14">
        <v>0.4</v>
      </c>
      <c r="M84" s="14">
        <v>1.34</v>
      </c>
      <c r="N84" s="14">
        <v>2.6</v>
      </c>
      <c r="O84" s="14">
        <v>1.36</v>
      </c>
      <c r="P84" s="14">
        <v>3.21</v>
      </c>
      <c r="Q84">
        <v>562</v>
      </c>
    </row>
    <row r="85" spans="3:17" x14ac:dyDescent="0.25">
      <c r="C85" s="15" t="s">
        <v>162</v>
      </c>
      <c r="D85" s="14" t="s">
        <v>14</v>
      </c>
      <c r="E85" s="14">
        <v>11.64</v>
      </c>
      <c r="F85" s="14">
        <v>2.06</v>
      </c>
      <c r="G85" s="14">
        <v>2.46</v>
      </c>
      <c r="H85" s="14">
        <v>21.6</v>
      </c>
      <c r="I85" s="14">
        <v>84</v>
      </c>
      <c r="J85" s="14">
        <v>1.95</v>
      </c>
      <c r="K85" s="14">
        <v>1.68999999999999</v>
      </c>
      <c r="L85" s="14">
        <v>0.47999999999999898</v>
      </c>
      <c r="M85" s="14">
        <v>1.35</v>
      </c>
      <c r="N85" s="14">
        <v>2.7999999999999901</v>
      </c>
      <c r="O85" s="14">
        <v>1</v>
      </c>
      <c r="P85" s="14">
        <v>2.75</v>
      </c>
      <c r="Q85">
        <v>680</v>
      </c>
    </row>
    <row r="86" spans="3:17" x14ac:dyDescent="0.25">
      <c r="C86" s="15" t="s">
        <v>164</v>
      </c>
      <c r="D86" s="14" t="s">
        <v>14</v>
      </c>
      <c r="E86" s="14">
        <v>12.08</v>
      </c>
      <c r="F86" s="14">
        <v>1.83</v>
      </c>
      <c r="G86" s="14">
        <v>2.3199999999999901</v>
      </c>
      <c r="H86" s="14">
        <v>18.5</v>
      </c>
      <c r="I86" s="14">
        <v>81</v>
      </c>
      <c r="J86" s="14">
        <v>1.6</v>
      </c>
      <c r="K86" s="14">
        <v>1.5</v>
      </c>
      <c r="L86" s="14">
        <v>0.52</v>
      </c>
      <c r="M86" s="14">
        <v>1.6399999999999899</v>
      </c>
      <c r="N86" s="14">
        <v>2.3999999999999901</v>
      </c>
      <c r="O86" s="14">
        <v>1.08</v>
      </c>
      <c r="P86" s="14">
        <v>2.27</v>
      </c>
      <c r="Q86">
        <v>480</v>
      </c>
    </row>
    <row r="87" spans="3:17" x14ac:dyDescent="0.25">
      <c r="C87" s="15" t="s">
        <v>165</v>
      </c>
      <c r="D87" s="14" t="s">
        <v>14</v>
      </c>
      <c r="E87" s="14">
        <v>12</v>
      </c>
      <c r="F87" s="14">
        <v>1.51</v>
      </c>
      <c r="G87" s="14">
        <v>2.4199999999999902</v>
      </c>
      <c r="H87" s="14">
        <v>22</v>
      </c>
      <c r="I87" s="14">
        <v>86</v>
      </c>
      <c r="J87" s="14">
        <v>1.45</v>
      </c>
      <c r="K87" s="14">
        <v>1.25</v>
      </c>
      <c r="L87" s="14">
        <v>0.5</v>
      </c>
      <c r="M87" s="14">
        <v>1.6299999999999899</v>
      </c>
      <c r="N87" s="14">
        <v>3.6</v>
      </c>
      <c r="O87" s="14">
        <v>1.05</v>
      </c>
      <c r="P87" s="14">
        <v>2.6499999999999901</v>
      </c>
      <c r="Q87">
        <v>450</v>
      </c>
    </row>
    <row r="88" spans="3:17" x14ac:dyDescent="0.25">
      <c r="C88" s="15" t="s">
        <v>168</v>
      </c>
      <c r="D88" s="14" t="s">
        <v>14</v>
      </c>
      <c r="E88" s="14">
        <v>11.6199999999999</v>
      </c>
      <c r="F88" s="14">
        <v>1.99</v>
      </c>
      <c r="G88" s="14">
        <v>2.27999999999999</v>
      </c>
      <c r="H88" s="14">
        <v>18</v>
      </c>
      <c r="I88" s="14">
        <v>98</v>
      </c>
      <c r="J88" s="14">
        <v>3.02</v>
      </c>
      <c r="K88" s="14">
        <v>2.25999999999999</v>
      </c>
      <c r="L88" s="14">
        <v>0.17</v>
      </c>
      <c r="M88" s="14">
        <v>1.35</v>
      </c>
      <c r="N88" s="14">
        <v>3.25</v>
      </c>
      <c r="O88" s="14">
        <v>1.1599999999999899</v>
      </c>
      <c r="P88" s="14">
        <v>2.96</v>
      </c>
      <c r="Q88">
        <v>345</v>
      </c>
    </row>
    <row r="89" spans="3:17" x14ac:dyDescent="0.25">
      <c r="C89" s="15" t="s">
        <v>170</v>
      </c>
      <c r="D89" s="14" t="s">
        <v>14</v>
      </c>
      <c r="E89" s="14">
        <v>11.81</v>
      </c>
      <c r="F89" s="14">
        <v>2.12</v>
      </c>
      <c r="G89" s="14">
        <v>2.74</v>
      </c>
      <c r="H89" s="14">
        <v>21.5</v>
      </c>
      <c r="I89" s="14">
        <v>134</v>
      </c>
      <c r="J89" s="14">
        <v>1.6</v>
      </c>
      <c r="K89" s="14">
        <v>0.98999999999999899</v>
      </c>
      <c r="L89" s="14">
        <v>0.14000000000000001</v>
      </c>
      <c r="M89" s="14">
        <v>1.56</v>
      </c>
      <c r="N89" s="14">
        <v>2.5</v>
      </c>
      <c r="O89" s="14">
        <v>0.94999999999999896</v>
      </c>
      <c r="P89" s="14">
        <v>2.25999999999999</v>
      </c>
      <c r="Q89">
        <v>625</v>
      </c>
    </row>
    <row r="90" spans="3:17" x14ac:dyDescent="0.25">
      <c r="C90" s="15" t="s">
        <v>171</v>
      </c>
      <c r="D90" s="14" t="s">
        <v>14</v>
      </c>
      <c r="E90" s="14">
        <v>12.2899999999999</v>
      </c>
      <c r="F90" s="14">
        <v>1.4099999999999899</v>
      </c>
      <c r="G90" s="14">
        <v>1.98</v>
      </c>
      <c r="H90" s="14">
        <v>16</v>
      </c>
      <c r="I90" s="14">
        <v>85</v>
      </c>
      <c r="J90" s="14">
        <v>2.5499999999999901</v>
      </c>
      <c r="K90" s="14">
        <v>2.5</v>
      </c>
      <c r="L90" s="14">
        <v>0.28999999999999898</v>
      </c>
      <c r="M90" s="14">
        <v>1.77</v>
      </c>
      <c r="N90" s="14">
        <v>2.8999999999999901</v>
      </c>
      <c r="O90" s="14">
        <v>1.23</v>
      </c>
      <c r="P90" s="14">
        <v>2.74</v>
      </c>
      <c r="Q90">
        <v>428</v>
      </c>
    </row>
    <row r="91" spans="3:17" x14ac:dyDescent="0.25">
      <c r="C91" s="15" t="s">
        <v>173</v>
      </c>
      <c r="D91" s="14" t="s">
        <v>14</v>
      </c>
      <c r="E91" s="14">
        <v>12.2899999999999</v>
      </c>
      <c r="F91" s="14">
        <v>3.1699999999999902</v>
      </c>
      <c r="G91" s="14">
        <v>2.21</v>
      </c>
      <c r="H91" s="14">
        <v>18</v>
      </c>
      <c r="I91" s="14">
        <v>88</v>
      </c>
      <c r="J91" s="14">
        <v>2.85</v>
      </c>
      <c r="K91" s="14">
        <v>2.99</v>
      </c>
      <c r="L91" s="14">
        <v>0.45</v>
      </c>
      <c r="M91" s="14">
        <v>2.81</v>
      </c>
      <c r="N91" s="14">
        <v>2.2999999999999901</v>
      </c>
      <c r="O91" s="14">
        <v>1.4199999999999899</v>
      </c>
      <c r="P91" s="14">
        <v>2.83</v>
      </c>
      <c r="Q91">
        <v>406</v>
      </c>
    </row>
    <row r="92" spans="3:17" x14ac:dyDescent="0.25">
      <c r="C92" s="15" t="s">
        <v>179</v>
      </c>
      <c r="D92" s="14" t="s">
        <v>14</v>
      </c>
      <c r="E92" s="14">
        <v>12.42</v>
      </c>
      <c r="F92" s="14">
        <v>2.5499999999999901</v>
      </c>
      <c r="G92" s="14">
        <v>2.27</v>
      </c>
      <c r="H92" s="14">
        <v>22</v>
      </c>
      <c r="I92" s="14">
        <v>90</v>
      </c>
      <c r="J92" s="14">
        <v>1.6799999999999899</v>
      </c>
      <c r="K92" s="14">
        <v>1.84</v>
      </c>
      <c r="L92" s="14">
        <v>0.66</v>
      </c>
      <c r="M92" s="14">
        <v>1.4199999999999899</v>
      </c>
      <c r="N92" s="14">
        <v>2.7</v>
      </c>
      <c r="O92" s="14">
        <v>0.85999999999999899</v>
      </c>
      <c r="P92" s="14">
        <v>3.2999999999999901</v>
      </c>
      <c r="Q92">
        <v>315</v>
      </c>
    </row>
    <row r="93" spans="3:17" x14ac:dyDescent="0.25">
      <c r="C93" s="15" t="s">
        <v>180</v>
      </c>
      <c r="D93" s="14" t="s">
        <v>14</v>
      </c>
      <c r="E93" s="14">
        <v>12.25</v>
      </c>
      <c r="F93" s="14">
        <v>1.73</v>
      </c>
      <c r="G93" s="14">
        <v>2.12</v>
      </c>
      <c r="H93" s="14">
        <v>19</v>
      </c>
      <c r="I93" s="14">
        <v>80</v>
      </c>
      <c r="J93" s="14">
        <v>1.6499999999999899</v>
      </c>
      <c r="K93" s="14">
        <v>2.02999999999999</v>
      </c>
      <c r="L93" s="14">
        <v>0.37</v>
      </c>
      <c r="M93" s="14">
        <v>1.6299999999999899</v>
      </c>
      <c r="N93" s="14">
        <v>3.3999999999999901</v>
      </c>
      <c r="O93" s="14">
        <v>1</v>
      </c>
      <c r="P93" s="14">
        <v>3.1699999999999902</v>
      </c>
      <c r="Q93">
        <v>510</v>
      </c>
    </row>
    <row r="94" spans="3:17" x14ac:dyDescent="0.25">
      <c r="C94" s="15" t="s">
        <v>181</v>
      </c>
      <c r="D94" s="14" t="s">
        <v>14</v>
      </c>
      <c r="E94" s="14">
        <v>12.72</v>
      </c>
      <c r="F94" s="14">
        <v>1.75</v>
      </c>
      <c r="G94" s="14">
        <v>2.27999999999999</v>
      </c>
      <c r="H94" s="14">
        <v>22.5</v>
      </c>
      <c r="I94" s="14">
        <v>84</v>
      </c>
      <c r="J94" s="14">
        <v>1.3799999999999899</v>
      </c>
      <c r="K94" s="14">
        <v>1.76</v>
      </c>
      <c r="L94" s="14">
        <v>0.47999999999999898</v>
      </c>
      <c r="M94" s="14">
        <v>1.6299999999999899</v>
      </c>
      <c r="N94" s="14">
        <v>3.2999999999999901</v>
      </c>
      <c r="O94" s="14">
        <v>0.88</v>
      </c>
      <c r="P94" s="14">
        <v>2.4199999999999902</v>
      </c>
      <c r="Q94">
        <v>488</v>
      </c>
    </row>
    <row r="95" spans="3:17" x14ac:dyDescent="0.25">
      <c r="C95" s="15" t="s">
        <v>182</v>
      </c>
      <c r="D95" s="14" t="s">
        <v>14</v>
      </c>
      <c r="E95" s="14">
        <v>12.22</v>
      </c>
      <c r="F95" s="14">
        <v>1.29</v>
      </c>
      <c r="G95" s="14">
        <v>1.93999999999999</v>
      </c>
      <c r="H95" s="14">
        <v>19</v>
      </c>
      <c r="I95" s="14">
        <v>92</v>
      </c>
      <c r="J95" s="14">
        <v>2.3599999999999901</v>
      </c>
      <c r="K95" s="14">
        <v>2.04</v>
      </c>
      <c r="L95" s="14">
        <v>0.39</v>
      </c>
      <c r="M95" s="14">
        <v>2.08</v>
      </c>
      <c r="N95" s="14">
        <v>2.7</v>
      </c>
      <c r="O95" s="14">
        <v>0.85999999999999899</v>
      </c>
      <c r="P95" s="14">
        <v>3.02</v>
      </c>
      <c r="Q95">
        <v>312</v>
      </c>
    </row>
    <row r="96" spans="3:17" x14ac:dyDescent="0.25">
      <c r="C96" s="15" t="s">
        <v>183</v>
      </c>
      <c r="D96" s="14" t="s">
        <v>14</v>
      </c>
      <c r="E96" s="14">
        <v>11.6099999999999</v>
      </c>
      <c r="F96" s="14">
        <v>1.35</v>
      </c>
      <c r="G96" s="14">
        <v>2.7</v>
      </c>
      <c r="H96" s="14">
        <v>20</v>
      </c>
      <c r="I96" s="14">
        <v>94</v>
      </c>
      <c r="J96" s="14">
        <v>2.74</v>
      </c>
      <c r="K96" s="14">
        <v>2.9199999999999902</v>
      </c>
      <c r="L96" s="14">
        <v>0.28999999999999898</v>
      </c>
      <c r="M96" s="14">
        <v>2.4900000000000002</v>
      </c>
      <c r="N96" s="14">
        <v>2.6499999999999901</v>
      </c>
      <c r="O96" s="14">
        <v>0.95999999999999897</v>
      </c>
      <c r="P96" s="14">
        <v>3.25999999999999</v>
      </c>
      <c r="Q96">
        <v>680</v>
      </c>
    </row>
    <row r="97" spans="3:17" x14ac:dyDescent="0.25">
      <c r="C97" s="15" t="s">
        <v>185</v>
      </c>
      <c r="D97" s="14" t="s">
        <v>14</v>
      </c>
      <c r="E97" s="14">
        <v>12.52</v>
      </c>
      <c r="F97" s="14">
        <v>2.4300000000000002</v>
      </c>
      <c r="G97" s="14">
        <v>2.1699999999999902</v>
      </c>
      <c r="H97" s="14">
        <v>21</v>
      </c>
      <c r="I97" s="14">
        <v>88</v>
      </c>
      <c r="J97" s="14">
        <v>2.5499999999999901</v>
      </c>
      <c r="K97" s="14">
        <v>2.27</v>
      </c>
      <c r="L97" s="14">
        <v>0.26</v>
      </c>
      <c r="M97" s="14">
        <v>1.22</v>
      </c>
      <c r="N97" s="14">
        <v>2</v>
      </c>
      <c r="O97" s="14">
        <v>0.9</v>
      </c>
      <c r="P97" s="14">
        <v>2.77999999999999</v>
      </c>
      <c r="Q97">
        <v>325</v>
      </c>
    </row>
    <row r="98" spans="3:17" x14ac:dyDescent="0.25">
      <c r="C98" s="15" t="s">
        <v>186</v>
      </c>
      <c r="D98" s="14" t="s">
        <v>14</v>
      </c>
      <c r="E98" s="14">
        <v>11.76</v>
      </c>
      <c r="F98" s="14">
        <v>2.68</v>
      </c>
      <c r="G98" s="14">
        <v>2.9199999999999902</v>
      </c>
      <c r="H98" s="14">
        <v>20</v>
      </c>
      <c r="I98" s="14">
        <v>103</v>
      </c>
      <c r="J98" s="14">
        <v>1.75</v>
      </c>
      <c r="K98" s="14">
        <v>2.02999999999999</v>
      </c>
      <c r="L98" s="14">
        <v>0.59999999999999898</v>
      </c>
      <c r="M98" s="14">
        <v>1.05</v>
      </c>
      <c r="N98" s="14">
        <v>3.7999999999999901</v>
      </c>
      <c r="O98" s="14">
        <v>1.23</v>
      </c>
      <c r="P98" s="14">
        <v>2.5</v>
      </c>
      <c r="Q98">
        <v>607</v>
      </c>
    </row>
    <row r="99" spans="3:17" x14ac:dyDescent="0.25">
      <c r="C99" s="15" t="s">
        <v>187</v>
      </c>
      <c r="D99" s="14" t="s">
        <v>14</v>
      </c>
      <c r="E99" s="14">
        <v>11.41</v>
      </c>
      <c r="F99" s="14">
        <v>0.73999999999999899</v>
      </c>
      <c r="G99" s="14">
        <v>2.5</v>
      </c>
      <c r="H99" s="14">
        <v>21</v>
      </c>
      <c r="I99" s="14">
        <v>88</v>
      </c>
      <c r="J99" s="14">
        <v>2.48</v>
      </c>
      <c r="K99" s="14">
        <v>2.00999999999999</v>
      </c>
      <c r="L99" s="14">
        <v>0.41999999999999899</v>
      </c>
      <c r="M99" s="14">
        <v>1.43999999999999</v>
      </c>
      <c r="N99" s="14">
        <v>3.08</v>
      </c>
      <c r="O99" s="14">
        <v>1.1000000000000001</v>
      </c>
      <c r="P99" s="14">
        <v>2.31</v>
      </c>
      <c r="Q99">
        <v>434</v>
      </c>
    </row>
    <row r="100" spans="3:17" x14ac:dyDescent="0.25">
      <c r="C100" s="15" t="s">
        <v>188</v>
      </c>
      <c r="D100" s="14" t="s">
        <v>14</v>
      </c>
      <c r="E100" s="14">
        <v>12.08</v>
      </c>
      <c r="F100" s="14">
        <v>1.3899999999999899</v>
      </c>
      <c r="G100" s="14">
        <v>2.5</v>
      </c>
      <c r="H100" s="14">
        <v>22.5</v>
      </c>
      <c r="I100" s="14">
        <v>84</v>
      </c>
      <c r="J100" s="14">
        <v>2.56</v>
      </c>
      <c r="K100" s="14">
        <v>2.29</v>
      </c>
      <c r="L100" s="14">
        <v>0.42999999999999899</v>
      </c>
      <c r="M100" s="14">
        <v>1.04</v>
      </c>
      <c r="N100" s="14">
        <v>2.8999999999999901</v>
      </c>
      <c r="O100" s="14">
        <v>0.93</v>
      </c>
      <c r="P100" s="14">
        <v>3.1899999999999902</v>
      </c>
      <c r="Q100">
        <v>385</v>
      </c>
    </row>
    <row r="101" spans="3:17" x14ac:dyDescent="0.25">
      <c r="C101" s="15" t="s">
        <v>191</v>
      </c>
      <c r="D101" s="14" t="s">
        <v>14</v>
      </c>
      <c r="E101" s="14">
        <v>12.42</v>
      </c>
      <c r="F101" s="14">
        <v>1.61</v>
      </c>
      <c r="G101" s="14">
        <v>2.1899999999999902</v>
      </c>
      <c r="H101" s="14">
        <v>22.5</v>
      </c>
      <c r="I101" s="14">
        <v>108</v>
      </c>
      <c r="J101" s="14">
        <v>2</v>
      </c>
      <c r="K101" s="14">
        <v>2.0899999999999901</v>
      </c>
      <c r="L101" s="14">
        <v>0.34</v>
      </c>
      <c r="M101" s="14">
        <v>1.61</v>
      </c>
      <c r="N101" s="14">
        <v>2.06</v>
      </c>
      <c r="O101" s="14">
        <v>1.06</v>
      </c>
      <c r="P101" s="14">
        <v>2.96</v>
      </c>
      <c r="Q101">
        <v>345</v>
      </c>
    </row>
    <row r="102" spans="3:17" x14ac:dyDescent="0.25">
      <c r="C102" s="15" t="s">
        <v>192</v>
      </c>
      <c r="D102" s="14" t="s">
        <v>14</v>
      </c>
      <c r="E102" s="14">
        <v>12.77</v>
      </c>
      <c r="F102" s="14">
        <v>3.43</v>
      </c>
      <c r="G102" s="14">
        <v>1.98</v>
      </c>
      <c r="H102" s="14">
        <v>16</v>
      </c>
      <c r="I102" s="14">
        <v>80</v>
      </c>
      <c r="J102" s="14">
        <v>1.6299999999999899</v>
      </c>
      <c r="K102" s="14">
        <v>1.25</v>
      </c>
      <c r="L102" s="14">
        <v>0.42999999999999899</v>
      </c>
      <c r="M102" s="14">
        <v>0.82999999999999896</v>
      </c>
      <c r="N102" s="14">
        <v>3.3999999999999901</v>
      </c>
      <c r="O102" s="14">
        <v>0.69999999999999896</v>
      </c>
      <c r="P102" s="14">
        <v>2.12</v>
      </c>
      <c r="Q102">
        <v>372</v>
      </c>
    </row>
    <row r="103" spans="3:17" x14ac:dyDescent="0.25">
      <c r="C103" s="15" t="s">
        <v>193</v>
      </c>
      <c r="D103" s="14" t="s">
        <v>14</v>
      </c>
      <c r="E103" s="14">
        <v>12</v>
      </c>
      <c r="F103" s="14">
        <v>3.43</v>
      </c>
      <c r="G103" s="14">
        <v>2</v>
      </c>
      <c r="H103" s="14">
        <v>19</v>
      </c>
      <c r="I103" s="14">
        <v>87</v>
      </c>
      <c r="J103" s="14">
        <v>2</v>
      </c>
      <c r="K103" s="14">
        <v>1.6399999999999899</v>
      </c>
      <c r="L103" s="14">
        <v>0.37</v>
      </c>
      <c r="M103" s="14">
        <v>1.87</v>
      </c>
      <c r="N103" s="14">
        <v>1.28</v>
      </c>
      <c r="O103" s="14">
        <v>0.93</v>
      </c>
      <c r="P103" s="14">
        <v>3.0499999999999901</v>
      </c>
      <c r="Q103">
        <v>564</v>
      </c>
    </row>
    <row r="104" spans="3:17" x14ac:dyDescent="0.25">
      <c r="C104" s="15" t="s">
        <v>195</v>
      </c>
      <c r="D104" s="14" t="s">
        <v>14</v>
      </c>
      <c r="E104" s="14">
        <v>11.56</v>
      </c>
      <c r="F104" s="14">
        <v>2.0499999999999901</v>
      </c>
      <c r="G104" s="14">
        <v>3.23</v>
      </c>
      <c r="H104" s="14">
        <v>28.5</v>
      </c>
      <c r="I104" s="14">
        <v>119</v>
      </c>
      <c r="J104" s="14">
        <v>3.18</v>
      </c>
      <c r="K104" s="14">
        <v>5.08</v>
      </c>
      <c r="L104" s="14">
        <v>0.46999999999999897</v>
      </c>
      <c r="M104" s="14">
        <v>1.87</v>
      </c>
      <c r="N104" s="14">
        <v>6</v>
      </c>
      <c r="O104" s="14">
        <v>0.93</v>
      </c>
      <c r="P104" s="14">
        <v>3.6899999999999902</v>
      </c>
      <c r="Q104">
        <v>465</v>
      </c>
    </row>
    <row r="105" spans="3:17" x14ac:dyDescent="0.25">
      <c r="C105" s="15" t="s">
        <v>196</v>
      </c>
      <c r="D105" s="14" t="s">
        <v>14</v>
      </c>
      <c r="E105" s="14">
        <v>12.42</v>
      </c>
      <c r="F105" s="14">
        <v>4.4299999999999899</v>
      </c>
      <c r="G105" s="14">
        <v>2.73</v>
      </c>
      <c r="H105" s="14">
        <v>26.5</v>
      </c>
      <c r="I105" s="14">
        <v>102</v>
      </c>
      <c r="J105" s="14">
        <v>2.2000000000000002</v>
      </c>
      <c r="K105" s="14">
        <v>2.1299999999999901</v>
      </c>
      <c r="L105" s="14">
        <v>0.42999999999999899</v>
      </c>
      <c r="M105" s="14">
        <v>1.71</v>
      </c>
      <c r="N105" s="14">
        <v>2.08</v>
      </c>
      <c r="O105" s="14">
        <v>0.92</v>
      </c>
      <c r="P105" s="14">
        <v>3.12</v>
      </c>
      <c r="Q105">
        <v>365</v>
      </c>
    </row>
    <row r="106" spans="3:17" x14ac:dyDescent="0.25">
      <c r="C106" s="15" t="s">
        <v>201</v>
      </c>
      <c r="D106" s="14" t="s">
        <v>14</v>
      </c>
      <c r="E106" s="14">
        <v>11.7899999999999</v>
      </c>
      <c r="F106" s="14">
        <v>2.1299999999999901</v>
      </c>
      <c r="G106" s="14">
        <v>2.77999999999999</v>
      </c>
      <c r="H106" s="14">
        <v>28.5</v>
      </c>
      <c r="I106" s="14">
        <v>92</v>
      </c>
      <c r="J106" s="14">
        <v>2.1299999999999901</v>
      </c>
      <c r="K106" s="14">
        <v>2.2400000000000002</v>
      </c>
      <c r="L106" s="14">
        <v>0.57999999999999896</v>
      </c>
      <c r="M106" s="14">
        <v>1.76</v>
      </c>
      <c r="N106" s="14">
        <v>3</v>
      </c>
      <c r="O106" s="14">
        <v>0.96999999999999897</v>
      </c>
      <c r="P106" s="14">
        <v>2.4399999999999902</v>
      </c>
      <c r="Q106">
        <v>466</v>
      </c>
    </row>
    <row r="107" spans="3:17" x14ac:dyDescent="0.25">
      <c r="C107" s="15" t="s">
        <v>202</v>
      </c>
      <c r="D107" s="14" t="s">
        <v>14</v>
      </c>
      <c r="E107" s="14">
        <v>12.3699999999999</v>
      </c>
      <c r="F107" s="14">
        <v>1.6299999999999899</v>
      </c>
      <c r="G107" s="14">
        <v>2.2999999999999901</v>
      </c>
      <c r="H107" s="14">
        <v>24.5</v>
      </c>
      <c r="I107" s="14">
        <v>88</v>
      </c>
      <c r="J107" s="14">
        <v>2.2200000000000002</v>
      </c>
      <c r="K107" s="14">
        <v>2.4500000000000002</v>
      </c>
      <c r="L107" s="14">
        <v>0.4</v>
      </c>
      <c r="M107" s="14">
        <v>1.8999999999999899</v>
      </c>
      <c r="N107" s="14">
        <v>2.12</v>
      </c>
      <c r="O107" s="14">
        <v>0.89</v>
      </c>
      <c r="P107" s="14">
        <v>2.77999999999999</v>
      </c>
      <c r="Q107">
        <v>342</v>
      </c>
    </row>
    <row r="108" spans="3:17" x14ac:dyDescent="0.25">
      <c r="C108" s="15" t="s">
        <v>203</v>
      </c>
      <c r="D108" s="14" t="s">
        <v>14</v>
      </c>
      <c r="E108" s="14">
        <v>12.0399999999999</v>
      </c>
      <c r="F108" s="14">
        <v>4.2999999999999901</v>
      </c>
      <c r="G108" s="14">
        <v>2.3799999999999901</v>
      </c>
      <c r="H108" s="14">
        <v>22</v>
      </c>
      <c r="I108" s="14">
        <v>80</v>
      </c>
      <c r="J108" s="14">
        <v>2.1</v>
      </c>
      <c r="K108" s="14">
        <v>1.75</v>
      </c>
      <c r="L108" s="14">
        <v>0.41999999999999899</v>
      </c>
      <c r="M108" s="14">
        <v>1.35</v>
      </c>
      <c r="N108" s="14">
        <v>2.6</v>
      </c>
      <c r="O108" s="14">
        <v>0.79</v>
      </c>
      <c r="P108" s="14">
        <v>2.5699999999999901</v>
      </c>
      <c r="Q108">
        <v>580</v>
      </c>
    </row>
    <row r="109" spans="3:17" x14ac:dyDescent="0.25">
      <c r="C109" s="15" t="s">
        <v>205</v>
      </c>
      <c r="D109" s="14" t="s">
        <v>15</v>
      </c>
      <c r="E109" s="14">
        <v>12.88</v>
      </c>
      <c r="F109" s="14">
        <v>2.99</v>
      </c>
      <c r="G109" s="14">
        <v>2.3999999999999901</v>
      </c>
      <c r="H109" s="14">
        <v>20</v>
      </c>
      <c r="I109" s="14">
        <v>104</v>
      </c>
      <c r="J109" s="14">
        <v>1.3</v>
      </c>
      <c r="K109" s="14">
        <v>1.22</v>
      </c>
      <c r="L109" s="14">
        <v>0.23999999999999899</v>
      </c>
      <c r="M109" s="14">
        <v>0.82999999999999896</v>
      </c>
      <c r="N109" s="14">
        <v>5.4</v>
      </c>
      <c r="O109" s="14">
        <v>0.73999999999999899</v>
      </c>
      <c r="P109" s="14">
        <v>1.4199999999999899</v>
      </c>
      <c r="Q109">
        <v>530</v>
      </c>
    </row>
    <row r="110" spans="3:17" x14ac:dyDescent="0.25">
      <c r="C110" s="15" t="s">
        <v>206</v>
      </c>
      <c r="D110" s="14" t="s">
        <v>15</v>
      </c>
      <c r="E110" s="14">
        <v>12.81</v>
      </c>
      <c r="F110" s="14">
        <v>2.31</v>
      </c>
      <c r="G110" s="14">
        <v>2.3999999999999901</v>
      </c>
      <c r="H110" s="14">
        <v>24</v>
      </c>
      <c r="I110" s="14">
        <v>98</v>
      </c>
      <c r="J110" s="14">
        <v>1.1499999999999899</v>
      </c>
      <c r="K110" s="14">
        <v>1.0900000000000001</v>
      </c>
      <c r="L110" s="14">
        <v>0.27</v>
      </c>
      <c r="M110" s="14">
        <v>0.82999999999999896</v>
      </c>
      <c r="N110" s="14">
        <v>5.7</v>
      </c>
      <c r="O110" s="14">
        <v>0.66</v>
      </c>
      <c r="P110" s="14">
        <v>1.36</v>
      </c>
      <c r="Q110">
        <v>560</v>
      </c>
    </row>
    <row r="111" spans="3:17" x14ac:dyDescent="0.25">
      <c r="C111" s="15" t="s">
        <v>207</v>
      </c>
      <c r="D111" s="14" t="s">
        <v>15</v>
      </c>
      <c r="E111" s="14">
        <v>12.6999999999999</v>
      </c>
      <c r="F111" s="14">
        <v>3.5499999999999901</v>
      </c>
      <c r="G111" s="14">
        <v>2.3599999999999901</v>
      </c>
      <c r="H111" s="14">
        <v>21.5</v>
      </c>
      <c r="I111" s="14">
        <v>106</v>
      </c>
      <c r="J111" s="14">
        <v>1.7</v>
      </c>
      <c r="K111" s="14">
        <v>1.2</v>
      </c>
      <c r="L111" s="14">
        <v>0.17</v>
      </c>
      <c r="M111" s="14">
        <v>0.83999999999999897</v>
      </c>
      <c r="N111" s="14">
        <v>5</v>
      </c>
      <c r="O111" s="14">
        <v>0.78</v>
      </c>
      <c r="P111" s="14">
        <v>1.29</v>
      </c>
      <c r="Q111">
        <v>600</v>
      </c>
    </row>
    <row r="112" spans="3:17" x14ac:dyDescent="0.25">
      <c r="C112" s="15" t="s">
        <v>209</v>
      </c>
      <c r="D112" s="14" t="s">
        <v>15</v>
      </c>
      <c r="E112" s="14">
        <v>12.6</v>
      </c>
      <c r="F112" s="14">
        <v>2.46</v>
      </c>
      <c r="G112" s="14">
        <v>2.2000000000000002</v>
      </c>
      <c r="H112" s="14">
        <v>18.5</v>
      </c>
      <c r="I112" s="14">
        <v>94</v>
      </c>
      <c r="J112" s="14">
        <v>1.62</v>
      </c>
      <c r="K112" s="14">
        <v>0.66</v>
      </c>
      <c r="L112" s="14">
        <v>0.63</v>
      </c>
      <c r="M112" s="14">
        <v>0.93999999999999895</v>
      </c>
      <c r="N112" s="14">
        <v>7.0999999999999899</v>
      </c>
      <c r="O112" s="14">
        <v>0.72999999999999898</v>
      </c>
      <c r="P112" s="14">
        <v>1.58</v>
      </c>
      <c r="Q112">
        <v>695</v>
      </c>
    </row>
    <row r="113" spans="3:17" x14ac:dyDescent="0.25">
      <c r="C113" s="15" t="s">
        <v>214</v>
      </c>
      <c r="D113" s="14" t="s">
        <v>15</v>
      </c>
      <c r="E113" s="14">
        <v>12.93</v>
      </c>
      <c r="F113" s="14">
        <v>2.81</v>
      </c>
      <c r="G113" s="14">
        <v>2.7</v>
      </c>
      <c r="H113" s="14">
        <v>21</v>
      </c>
      <c r="I113" s="14">
        <v>96</v>
      </c>
      <c r="J113" s="14">
        <v>1.54</v>
      </c>
      <c r="K113" s="14">
        <v>0.5</v>
      </c>
      <c r="L113" s="14">
        <v>0.53</v>
      </c>
      <c r="M113" s="14">
        <v>0.75</v>
      </c>
      <c r="N113" s="14">
        <v>4.5999999999999899</v>
      </c>
      <c r="O113" s="14">
        <v>0.77</v>
      </c>
      <c r="P113" s="14">
        <v>2.31</v>
      </c>
      <c r="Q113">
        <v>600</v>
      </c>
    </row>
    <row r="114" spans="3:17" x14ac:dyDescent="0.25">
      <c r="C114" s="15" t="s">
        <v>215</v>
      </c>
      <c r="D114" s="14" t="s">
        <v>15</v>
      </c>
      <c r="E114" s="14">
        <v>13.3599999999999</v>
      </c>
      <c r="F114" s="14">
        <v>2.56</v>
      </c>
      <c r="G114" s="14">
        <v>2.35</v>
      </c>
      <c r="H114" s="14">
        <v>20</v>
      </c>
      <c r="I114" s="14">
        <v>89</v>
      </c>
      <c r="J114" s="14">
        <v>1.3999999999999899</v>
      </c>
      <c r="K114" s="14">
        <v>0.5</v>
      </c>
      <c r="L114" s="14">
        <v>0.37</v>
      </c>
      <c r="M114" s="14">
        <v>0.64</v>
      </c>
      <c r="N114" s="14">
        <v>5.5999999999999899</v>
      </c>
      <c r="O114" s="14">
        <v>0.69999999999999896</v>
      </c>
      <c r="P114" s="14">
        <v>2.4700000000000002</v>
      </c>
      <c r="Q114">
        <v>780</v>
      </c>
    </row>
    <row r="115" spans="3:17" x14ac:dyDescent="0.25">
      <c r="C115" s="15" t="s">
        <v>216</v>
      </c>
      <c r="D115" s="14" t="s">
        <v>15</v>
      </c>
      <c r="E115" s="14">
        <v>13.52</v>
      </c>
      <c r="F115" s="14">
        <v>3.1699999999999902</v>
      </c>
      <c r="G115" s="14">
        <v>2.72</v>
      </c>
      <c r="H115" s="14">
        <v>23.5</v>
      </c>
      <c r="I115" s="14">
        <v>97</v>
      </c>
      <c r="J115" s="14">
        <v>1.55</v>
      </c>
      <c r="K115" s="14">
        <v>0.52</v>
      </c>
      <c r="L115" s="14">
        <v>0.5</v>
      </c>
      <c r="M115" s="14">
        <v>0.55000000000000004</v>
      </c>
      <c r="N115" s="14">
        <v>4.3499999999999899</v>
      </c>
      <c r="O115" s="14">
        <v>0.89</v>
      </c>
      <c r="P115" s="14">
        <v>2.06</v>
      </c>
      <c r="Q115">
        <v>520</v>
      </c>
    </row>
    <row r="116" spans="3:17" x14ac:dyDescent="0.25">
      <c r="C116" s="15" t="s">
        <v>218</v>
      </c>
      <c r="D116" s="14" t="s">
        <v>15</v>
      </c>
      <c r="E116" s="14">
        <v>12.25</v>
      </c>
      <c r="F116" s="14">
        <v>3.8799999999999901</v>
      </c>
      <c r="G116" s="14">
        <v>2.2000000000000002</v>
      </c>
      <c r="H116" s="14">
        <v>18.5</v>
      </c>
      <c r="I116" s="14">
        <v>112</v>
      </c>
      <c r="J116" s="14">
        <v>1.3799999999999899</v>
      </c>
      <c r="K116" s="14">
        <v>0.78</v>
      </c>
      <c r="L116" s="14">
        <v>0.28999999999999898</v>
      </c>
      <c r="M116" s="14">
        <v>1.1399999999999899</v>
      </c>
      <c r="N116" s="14">
        <v>8.2100000000000009</v>
      </c>
      <c r="O116" s="14">
        <v>0.65</v>
      </c>
      <c r="P116" s="14">
        <v>2</v>
      </c>
      <c r="Q116">
        <v>855</v>
      </c>
    </row>
    <row r="117" spans="3:17" x14ac:dyDescent="0.25">
      <c r="C117" s="15" t="s">
        <v>219</v>
      </c>
      <c r="D117" s="14" t="s">
        <v>15</v>
      </c>
      <c r="E117" s="14">
        <v>13.16</v>
      </c>
      <c r="F117" s="14">
        <v>3.5699999999999901</v>
      </c>
      <c r="G117" s="14">
        <v>2.1499999999999901</v>
      </c>
      <c r="H117" s="14">
        <v>21</v>
      </c>
      <c r="I117" s="14">
        <v>102</v>
      </c>
      <c r="J117" s="14">
        <v>1.5</v>
      </c>
      <c r="K117" s="14">
        <v>0.55000000000000004</v>
      </c>
      <c r="L117" s="14">
        <v>0.42999999999999899</v>
      </c>
      <c r="M117" s="14">
        <v>1.3</v>
      </c>
      <c r="N117" s="14">
        <v>4</v>
      </c>
      <c r="O117" s="14">
        <v>0.59999999999999898</v>
      </c>
      <c r="P117" s="14">
        <v>1.6799999999999899</v>
      </c>
      <c r="Q117">
        <v>830</v>
      </c>
    </row>
    <row r="118" spans="3:17" x14ac:dyDescent="0.25">
      <c r="C118" s="15" t="s">
        <v>221</v>
      </c>
      <c r="D118" s="14" t="s">
        <v>15</v>
      </c>
      <c r="E118" s="14">
        <v>12.8699999999999</v>
      </c>
      <c r="F118" s="14">
        <v>4.6100000000000003</v>
      </c>
      <c r="G118" s="14">
        <v>2.48</v>
      </c>
      <c r="H118" s="14">
        <v>21.5</v>
      </c>
      <c r="I118" s="14">
        <v>86</v>
      </c>
      <c r="J118" s="14">
        <v>1.7</v>
      </c>
      <c r="K118" s="14">
        <v>0.65</v>
      </c>
      <c r="L118" s="14">
        <v>0.46999999999999897</v>
      </c>
      <c r="M118" s="14">
        <v>0.85999999999999899</v>
      </c>
      <c r="N118" s="14">
        <v>7.65</v>
      </c>
      <c r="O118" s="14">
        <v>0.54</v>
      </c>
      <c r="P118" s="14">
        <v>1.86</v>
      </c>
      <c r="Q118">
        <v>625</v>
      </c>
    </row>
    <row r="119" spans="3:17" x14ac:dyDescent="0.25">
      <c r="C119" s="15" t="s">
        <v>223</v>
      </c>
      <c r="D119" s="14" t="s">
        <v>15</v>
      </c>
      <c r="E119" s="14">
        <v>13.08</v>
      </c>
      <c r="F119" s="14">
        <v>3.8999999999999901</v>
      </c>
      <c r="G119" s="14">
        <v>2.3599999999999901</v>
      </c>
      <c r="H119" s="14">
        <v>21.5</v>
      </c>
      <c r="I119" s="14">
        <v>113</v>
      </c>
      <c r="J119" s="14">
        <v>1.4099999999999899</v>
      </c>
      <c r="K119" s="14">
        <v>1.3899999999999899</v>
      </c>
      <c r="L119" s="14">
        <v>0.34</v>
      </c>
      <c r="M119" s="14">
        <v>1.1399999999999899</v>
      </c>
      <c r="N119" s="14">
        <v>9.4</v>
      </c>
      <c r="O119" s="14">
        <v>0.56999999999999895</v>
      </c>
      <c r="P119" s="14">
        <v>1.33</v>
      </c>
      <c r="Q119">
        <v>550</v>
      </c>
    </row>
    <row r="120" spans="3:17" x14ac:dyDescent="0.25">
      <c r="C120" s="15" t="s">
        <v>226</v>
      </c>
      <c r="D120" s="14" t="s">
        <v>15</v>
      </c>
      <c r="E120" s="14">
        <v>13.1099999999999</v>
      </c>
      <c r="F120" s="14">
        <v>1.8999999999999899</v>
      </c>
      <c r="G120" s="14">
        <v>2.75</v>
      </c>
      <c r="H120" s="14">
        <v>25.5</v>
      </c>
      <c r="I120" s="14">
        <v>116</v>
      </c>
      <c r="J120" s="14">
        <v>2.2000000000000002</v>
      </c>
      <c r="K120" s="14">
        <v>1.28</v>
      </c>
      <c r="L120" s="14">
        <v>0.26</v>
      </c>
      <c r="M120" s="14">
        <v>1.56</v>
      </c>
      <c r="N120" s="14">
        <v>7.0999999999999899</v>
      </c>
      <c r="O120" s="14">
        <v>0.60999999999999899</v>
      </c>
      <c r="P120" s="14">
        <v>1.33</v>
      </c>
      <c r="Q120">
        <v>425</v>
      </c>
    </row>
    <row r="121" spans="3:17" x14ac:dyDescent="0.25">
      <c r="C121" s="15" t="s">
        <v>229</v>
      </c>
      <c r="D121" s="14" t="s">
        <v>15</v>
      </c>
      <c r="E121" s="14">
        <v>13.17</v>
      </c>
      <c r="F121" s="14">
        <v>5.19</v>
      </c>
      <c r="G121" s="14">
        <v>2.3199999999999901</v>
      </c>
      <c r="H121" s="14">
        <v>22</v>
      </c>
      <c r="I121" s="14">
        <v>93</v>
      </c>
      <c r="J121" s="14">
        <v>1.74</v>
      </c>
      <c r="K121" s="14">
        <v>0.63</v>
      </c>
      <c r="L121" s="14">
        <v>0.60999999999999899</v>
      </c>
      <c r="M121" s="14">
        <v>1.55</v>
      </c>
      <c r="N121" s="14">
        <v>7.9</v>
      </c>
      <c r="O121" s="14">
        <v>0.59999999999999898</v>
      </c>
      <c r="P121" s="14">
        <v>1.48</v>
      </c>
      <c r="Q121">
        <v>725</v>
      </c>
    </row>
    <row r="122" spans="3:17" x14ac:dyDescent="0.25">
      <c r="C122" s="15" t="s">
        <v>230</v>
      </c>
      <c r="D122" s="14" t="s">
        <v>15</v>
      </c>
      <c r="E122" s="14">
        <v>13.84</v>
      </c>
      <c r="F122" s="14">
        <v>4.12</v>
      </c>
      <c r="G122" s="14">
        <v>2.3799999999999901</v>
      </c>
      <c r="H122" s="14">
        <v>19.5</v>
      </c>
      <c r="I122" s="14">
        <v>89</v>
      </c>
      <c r="J122" s="14">
        <v>1.8</v>
      </c>
      <c r="K122" s="14">
        <v>0.82999999999999896</v>
      </c>
      <c r="L122" s="14">
        <v>0.47999999999999898</v>
      </c>
      <c r="M122" s="14">
        <v>1.56</v>
      </c>
      <c r="N122" s="14">
        <v>9.0099999999999891</v>
      </c>
      <c r="O122" s="14">
        <v>0.56999999999999895</v>
      </c>
      <c r="P122" s="14">
        <v>1.6399999999999899</v>
      </c>
      <c r="Q122">
        <v>480</v>
      </c>
    </row>
    <row r="123" spans="3:17" x14ac:dyDescent="0.25">
      <c r="C123" s="15" t="s">
        <v>231</v>
      </c>
      <c r="D123" s="14" t="s">
        <v>15</v>
      </c>
      <c r="E123" s="14">
        <v>12.4499999999999</v>
      </c>
      <c r="F123" s="14">
        <v>3.02999999999999</v>
      </c>
      <c r="G123" s="14">
        <v>2.64</v>
      </c>
      <c r="H123" s="14">
        <v>27</v>
      </c>
      <c r="I123" s="14">
        <v>97</v>
      </c>
      <c r="J123" s="14">
        <v>1.8999999999999899</v>
      </c>
      <c r="K123" s="14">
        <v>0.57999999999999896</v>
      </c>
      <c r="L123" s="14">
        <v>0.63</v>
      </c>
      <c r="M123" s="14">
        <v>1.1399999999999899</v>
      </c>
      <c r="N123" s="14">
        <v>7.5</v>
      </c>
      <c r="O123" s="14">
        <v>0.67</v>
      </c>
      <c r="P123" s="14">
        <v>1.73</v>
      </c>
      <c r="Q123">
        <v>880</v>
      </c>
    </row>
    <row r="124" spans="3:17" x14ac:dyDescent="0.25">
      <c r="C124" s="15" t="s">
        <v>232</v>
      </c>
      <c r="D124" s="14" t="s">
        <v>15</v>
      </c>
      <c r="E124" s="14">
        <v>14.34</v>
      </c>
      <c r="F124" s="14">
        <v>1.6799999999999899</v>
      </c>
      <c r="G124" s="14">
        <v>2.7</v>
      </c>
      <c r="H124" s="14">
        <v>25</v>
      </c>
      <c r="I124" s="14">
        <v>98</v>
      </c>
      <c r="J124" s="14">
        <v>2.7999999999999901</v>
      </c>
      <c r="K124" s="14">
        <v>1.31</v>
      </c>
      <c r="L124" s="14">
        <v>0.53</v>
      </c>
      <c r="M124" s="14">
        <v>2.7</v>
      </c>
      <c r="N124" s="14">
        <v>13</v>
      </c>
      <c r="O124" s="14">
        <v>0.56999999999999895</v>
      </c>
      <c r="P124" s="14">
        <v>1.96</v>
      </c>
      <c r="Q124">
        <v>660</v>
      </c>
    </row>
    <row r="125" spans="3:17" x14ac:dyDescent="0.25">
      <c r="C125" s="15" t="s">
        <v>234</v>
      </c>
      <c r="D125" s="14" t="s">
        <v>15</v>
      </c>
      <c r="E125" s="14">
        <v>12.3599999999999</v>
      </c>
      <c r="F125" s="14">
        <v>3.83</v>
      </c>
      <c r="G125" s="14">
        <v>2.3799999999999901</v>
      </c>
      <c r="H125" s="14">
        <v>21</v>
      </c>
      <c r="I125" s="14">
        <v>88</v>
      </c>
      <c r="J125" s="14">
        <v>2.2999999999999901</v>
      </c>
      <c r="K125" s="14">
        <v>0.92</v>
      </c>
      <c r="L125" s="14">
        <v>0.5</v>
      </c>
      <c r="M125" s="14">
        <v>1.04</v>
      </c>
      <c r="N125" s="14">
        <v>7.65</v>
      </c>
      <c r="O125" s="14">
        <v>0.56000000000000005</v>
      </c>
      <c r="P125" s="14">
        <v>1.58</v>
      </c>
      <c r="Q125">
        <v>520</v>
      </c>
    </row>
    <row r="126" spans="3:17" x14ac:dyDescent="0.25">
      <c r="C126" s="15" t="s">
        <v>237</v>
      </c>
      <c r="D126" s="14" t="s">
        <v>15</v>
      </c>
      <c r="E126" s="14">
        <v>12.96</v>
      </c>
      <c r="F126" s="14">
        <v>3.45</v>
      </c>
      <c r="G126" s="14">
        <v>2.35</v>
      </c>
      <c r="H126" s="14">
        <v>18.5</v>
      </c>
      <c r="I126" s="14">
        <v>106</v>
      </c>
      <c r="J126" s="14">
        <v>1.3899999999999899</v>
      </c>
      <c r="K126" s="14">
        <v>0.69999999999999896</v>
      </c>
      <c r="L126" s="14">
        <v>0.4</v>
      </c>
      <c r="M126" s="14">
        <v>0.93999999999999895</v>
      </c>
      <c r="N126" s="14">
        <v>5.28</v>
      </c>
      <c r="O126" s="14">
        <v>0.68</v>
      </c>
      <c r="P126" s="14">
        <v>1.75</v>
      </c>
      <c r="Q126">
        <v>675</v>
      </c>
    </row>
    <row r="127" spans="3:17" x14ac:dyDescent="0.25">
      <c r="C127" s="15" t="s">
        <v>239</v>
      </c>
      <c r="D127" s="14" t="s">
        <v>15</v>
      </c>
      <c r="E127" s="14">
        <v>13.73</v>
      </c>
      <c r="F127" s="14">
        <v>4.3600000000000003</v>
      </c>
      <c r="G127" s="14">
        <v>2.25999999999999</v>
      </c>
      <c r="H127" s="14">
        <v>22.5</v>
      </c>
      <c r="I127" s="14">
        <v>88</v>
      </c>
      <c r="J127" s="14">
        <v>1.28</v>
      </c>
      <c r="K127" s="14">
        <v>0.46999999999999897</v>
      </c>
      <c r="L127" s="14">
        <v>0.52</v>
      </c>
      <c r="M127" s="14">
        <v>1.1499999999999899</v>
      </c>
      <c r="N127" s="14">
        <v>6.62</v>
      </c>
      <c r="O127" s="14">
        <v>0.78</v>
      </c>
      <c r="P127" s="14">
        <v>1.75</v>
      </c>
      <c r="Q127">
        <v>520</v>
      </c>
    </row>
    <row r="128" spans="3:17" x14ac:dyDescent="0.25">
      <c r="C128" s="15" t="s">
        <v>240</v>
      </c>
      <c r="D128" s="14" t="s">
        <v>15</v>
      </c>
      <c r="E128" s="14">
        <v>13.4499999999999</v>
      </c>
      <c r="F128" s="14">
        <v>3.7</v>
      </c>
      <c r="G128" s="14">
        <v>2.6</v>
      </c>
      <c r="H128" s="14">
        <v>23</v>
      </c>
      <c r="I128" s="14">
        <v>111</v>
      </c>
      <c r="J128" s="14">
        <v>1.7</v>
      </c>
      <c r="K128" s="14">
        <v>0.92</v>
      </c>
      <c r="L128" s="14">
        <v>0.42999999999999899</v>
      </c>
      <c r="M128" s="14">
        <v>1.46</v>
      </c>
      <c r="N128" s="14">
        <v>10.68</v>
      </c>
      <c r="O128" s="14">
        <v>0.84999999999999898</v>
      </c>
      <c r="P128" s="14">
        <v>1.56</v>
      </c>
      <c r="Q128">
        <v>695</v>
      </c>
    </row>
    <row r="129" spans="3:17" x14ac:dyDescent="0.25">
      <c r="C129" s="15" t="s">
        <v>241</v>
      </c>
      <c r="D129" s="14" t="s">
        <v>15</v>
      </c>
      <c r="E129" s="14">
        <v>12.82</v>
      </c>
      <c r="F129" s="14">
        <v>3.37</v>
      </c>
      <c r="G129" s="14">
        <v>2.2999999999999901</v>
      </c>
      <c r="H129" s="14">
        <v>19.5</v>
      </c>
      <c r="I129" s="14">
        <v>88</v>
      </c>
      <c r="J129" s="14">
        <v>1.48</v>
      </c>
      <c r="K129" s="14">
        <v>0.66</v>
      </c>
      <c r="L129" s="14">
        <v>0.4</v>
      </c>
      <c r="M129" s="14">
        <v>0.96999999999999897</v>
      </c>
      <c r="N129" s="14">
        <v>10.26</v>
      </c>
      <c r="O129" s="14">
        <v>0.71999999999999897</v>
      </c>
      <c r="P129" s="14">
        <v>1.75</v>
      </c>
      <c r="Q129">
        <v>685</v>
      </c>
    </row>
    <row r="130" spans="3:17" x14ac:dyDescent="0.25">
      <c r="C130" s="15" t="s">
        <v>242</v>
      </c>
      <c r="D130" s="14" t="s">
        <v>15</v>
      </c>
      <c r="E130" s="14">
        <v>13.58</v>
      </c>
      <c r="F130" s="14">
        <v>2.58</v>
      </c>
      <c r="G130" s="14">
        <v>2.6899999999999902</v>
      </c>
      <c r="H130" s="14">
        <v>24.5</v>
      </c>
      <c r="I130" s="14">
        <v>105</v>
      </c>
      <c r="J130" s="14">
        <v>1.55</v>
      </c>
      <c r="K130" s="14">
        <v>0.83999999999999897</v>
      </c>
      <c r="L130" s="14">
        <v>0.39</v>
      </c>
      <c r="M130" s="14">
        <v>1.54</v>
      </c>
      <c r="N130" s="14">
        <v>8.66</v>
      </c>
      <c r="O130" s="14">
        <v>0.73999999999999899</v>
      </c>
      <c r="P130" s="14">
        <v>1.8</v>
      </c>
      <c r="Q130">
        <v>750</v>
      </c>
    </row>
    <row r="131" spans="3:17" x14ac:dyDescent="0.25">
      <c r="C131" s="15" t="s">
        <v>244</v>
      </c>
      <c r="D131" s="14" t="s">
        <v>15</v>
      </c>
      <c r="E131" s="14">
        <v>12.1999999999999</v>
      </c>
      <c r="F131" s="14">
        <v>3.02999999999999</v>
      </c>
      <c r="G131" s="14">
        <v>2.3199999999999901</v>
      </c>
      <c r="H131" s="14">
        <v>19</v>
      </c>
      <c r="I131" s="14">
        <v>96</v>
      </c>
      <c r="J131" s="14">
        <v>1.25</v>
      </c>
      <c r="K131" s="14">
        <v>0.48999999999999899</v>
      </c>
      <c r="L131" s="14">
        <v>0.4</v>
      </c>
      <c r="M131" s="14">
        <v>0.72999999999999898</v>
      </c>
      <c r="N131" s="14">
        <v>5.5</v>
      </c>
      <c r="O131" s="14">
        <v>0.66</v>
      </c>
      <c r="P131" s="14">
        <v>1.83</v>
      </c>
      <c r="Q131">
        <v>510</v>
      </c>
    </row>
    <row r="132" spans="3:17" x14ac:dyDescent="0.25">
      <c r="C132" s="15" t="s">
        <v>247</v>
      </c>
      <c r="D132" s="14" t="s">
        <v>15</v>
      </c>
      <c r="E132" s="14">
        <v>13.71</v>
      </c>
      <c r="F132" s="14">
        <v>5.65</v>
      </c>
      <c r="G132" s="14">
        <v>2.4500000000000002</v>
      </c>
      <c r="H132" s="14">
        <v>20.5</v>
      </c>
      <c r="I132" s="14">
        <v>95</v>
      </c>
      <c r="J132" s="14">
        <v>1.6799999999999899</v>
      </c>
      <c r="K132" s="14">
        <v>0.60999999999999899</v>
      </c>
      <c r="L132" s="14">
        <v>0.52</v>
      </c>
      <c r="M132" s="14">
        <v>1.06</v>
      </c>
      <c r="N132" s="14">
        <v>7.7</v>
      </c>
      <c r="O132" s="14">
        <v>0.64</v>
      </c>
      <c r="P132" s="14">
        <v>1.74</v>
      </c>
      <c r="Q132">
        <v>740</v>
      </c>
    </row>
    <row r="133" spans="3:17" x14ac:dyDescent="0.25">
      <c r="C133" s="15" t="s">
        <v>252</v>
      </c>
      <c r="D133" s="14" t="s">
        <v>13</v>
      </c>
      <c r="E133" s="14">
        <v>12.85</v>
      </c>
      <c r="F133" s="14">
        <v>1.6</v>
      </c>
      <c r="G133" s="14">
        <v>2.52</v>
      </c>
      <c r="H133" s="14">
        <v>17.8</v>
      </c>
      <c r="I133" s="14">
        <v>95</v>
      </c>
      <c r="J133" s="14">
        <v>2.48</v>
      </c>
      <c r="K133" s="14">
        <v>2.37</v>
      </c>
      <c r="L133" s="14">
        <v>0.26</v>
      </c>
      <c r="M133" s="14">
        <v>1.46</v>
      </c>
      <c r="N133" s="14">
        <v>3.93</v>
      </c>
      <c r="O133" s="14">
        <v>1.0900000000000001</v>
      </c>
      <c r="P133" s="14">
        <v>3.6299999999999901</v>
      </c>
      <c r="Q133">
        <v>1015</v>
      </c>
    </row>
    <row r="134" spans="3:17" x14ac:dyDescent="0.25">
      <c r="C134" s="15" t="s">
        <v>254</v>
      </c>
      <c r="D134" s="14" t="s">
        <v>13</v>
      </c>
      <c r="E134" s="14">
        <v>13.05</v>
      </c>
      <c r="F134" s="14">
        <v>2.0499999999999901</v>
      </c>
      <c r="G134" s="14">
        <v>3.22</v>
      </c>
      <c r="H134" s="14">
        <v>25</v>
      </c>
      <c r="I134" s="14">
        <v>124</v>
      </c>
      <c r="J134" s="14">
        <v>2.6299999999999901</v>
      </c>
      <c r="K134" s="14">
        <v>2.68</v>
      </c>
      <c r="L134" s="14">
        <v>0.46999999999999897</v>
      </c>
      <c r="M134" s="14">
        <v>1.9199999999999899</v>
      </c>
      <c r="N134" s="14">
        <v>3.58</v>
      </c>
      <c r="O134" s="14">
        <v>1.1299999999999899</v>
      </c>
      <c r="P134" s="14">
        <v>3.2</v>
      </c>
      <c r="Q134">
        <v>830</v>
      </c>
    </row>
    <row r="135" spans="3:17" x14ac:dyDescent="0.25">
      <c r="C135" s="15" t="s">
        <v>255</v>
      </c>
      <c r="D135" s="14" t="s">
        <v>13</v>
      </c>
      <c r="E135" s="14">
        <v>13.39</v>
      </c>
      <c r="F135" s="14">
        <v>1.77</v>
      </c>
      <c r="G135" s="14">
        <v>2.62</v>
      </c>
      <c r="H135" s="14">
        <v>16.100000000000001</v>
      </c>
      <c r="I135" s="14">
        <v>93</v>
      </c>
      <c r="J135" s="14">
        <v>2.85</v>
      </c>
      <c r="K135" s="14">
        <v>2.9399999999999902</v>
      </c>
      <c r="L135" s="14">
        <v>0.34</v>
      </c>
      <c r="M135" s="14">
        <v>1.45</v>
      </c>
      <c r="N135" s="14">
        <v>4.7999999999999901</v>
      </c>
      <c r="O135" s="14">
        <v>0.92</v>
      </c>
      <c r="P135" s="14">
        <v>3.22</v>
      </c>
      <c r="Q135">
        <v>1195</v>
      </c>
    </row>
    <row r="136" spans="3:17" x14ac:dyDescent="0.25">
      <c r="C136" s="15" t="s">
        <v>258</v>
      </c>
      <c r="D136" s="14" t="s">
        <v>13</v>
      </c>
      <c r="E136" s="14">
        <v>14.02</v>
      </c>
      <c r="F136" s="14">
        <v>1.6799999999999899</v>
      </c>
      <c r="G136" s="14">
        <v>2.21</v>
      </c>
      <c r="H136" s="14">
        <v>16</v>
      </c>
      <c r="I136" s="14">
        <v>96</v>
      </c>
      <c r="J136" s="14">
        <v>2.6499999999999901</v>
      </c>
      <c r="K136" s="14">
        <v>2.33</v>
      </c>
      <c r="L136" s="14">
        <v>0.26</v>
      </c>
      <c r="M136" s="14">
        <v>1.98</v>
      </c>
      <c r="N136" s="14">
        <v>4.7</v>
      </c>
      <c r="O136" s="14">
        <v>1.04</v>
      </c>
      <c r="P136" s="14">
        <v>3.5899999999999901</v>
      </c>
      <c r="Q136">
        <v>1035</v>
      </c>
    </row>
    <row r="137" spans="3:17" x14ac:dyDescent="0.25">
      <c r="C137" s="15" t="s">
        <v>259</v>
      </c>
      <c r="D137" s="14" t="s">
        <v>13</v>
      </c>
      <c r="E137" s="14">
        <v>13.73</v>
      </c>
      <c r="F137" s="14">
        <v>1.5</v>
      </c>
      <c r="G137" s="14">
        <v>2.7</v>
      </c>
      <c r="H137" s="14">
        <v>22.5</v>
      </c>
      <c r="I137" s="14">
        <v>101</v>
      </c>
      <c r="J137" s="14">
        <v>3</v>
      </c>
      <c r="K137" s="14">
        <v>3.25</v>
      </c>
      <c r="L137" s="14">
        <v>0.28999999999999898</v>
      </c>
      <c r="M137" s="14">
        <v>2.3799999999999901</v>
      </c>
      <c r="N137" s="14">
        <v>5.7</v>
      </c>
      <c r="O137" s="14">
        <v>1.18999999999999</v>
      </c>
      <c r="P137" s="14">
        <v>2.71</v>
      </c>
      <c r="Q137">
        <v>1285</v>
      </c>
    </row>
    <row r="138" spans="3:17" x14ac:dyDescent="0.25">
      <c r="C138" s="15" t="s">
        <v>260</v>
      </c>
      <c r="D138" s="14" t="s">
        <v>13</v>
      </c>
      <c r="E138" s="14">
        <v>13.58</v>
      </c>
      <c r="F138" s="14">
        <v>1.6599999999999899</v>
      </c>
      <c r="G138" s="14">
        <v>2.3599999999999901</v>
      </c>
      <c r="H138" s="14">
        <v>19.100000000000001</v>
      </c>
      <c r="I138" s="14">
        <v>106</v>
      </c>
      <c r="J138" s="14">
        <v>2.8599999999999901</v>
      </c>
      <c r="K138" s="14">
        <v>3.1899999999999902</v>
      </c>
      <c r="L138" s="14">
        <v>0.22</v>
      </c>
      <c r="M138" s="14">
        <v>1.95</v>
      </c>
      <c r="N138" s="14">
        <v>6.9</v>
      </c>
      <c r="O138" s="14">
        <v>1.0900000000000001</v>
      </c>
      <c r="P138" s="14">
        <v>2.8799999999999901</v>
      </c>
      <c r="Q138">
        <v>1515</v>
      </c>
    </row>
    <row r="139" spans="3:17" x14ac:dyDescent="0.25">
      <c r="C139" s="15" t="s">
        <v>261</v>
      </c>
      <c r="D139" s="14" t="s">
        <v>13</v>
      </c>
      <c r="E139" s="14">
        <v>13.68</v>
      </c>
      <c r="F139" s="14">
        <v>1.83</v>
      </c>
      <c r="G139" s="14">
        <v>2.3599999999999901</v>
      </c>
      <c r="H139" s="14">
        <v>17.1999999999999</v>
      </c>
      <c r="I139" s="14">
        <v>104</v>
      </c>
      <c r="J139" s="14">
        <v>2.4199999999999902</v>
      </c>
      <c r="K139" s="14">
        <v>2.6899999999999902</v>
      </c>
      <c r="L139" s="14">
        <v>0.41999999999999899</v>
      </c>
      <c r="M139" s="14">
        <v>1.97</v>
      </c>
      <c r="N139" s="14">
        <v>3.8399999999999901</v>
      </c>
      <c r="O139" s="14">
        <v>1.23</v>
      </c>
      <c r="P139" s="14">
        <v>2.87</v>
      </c>
      <c r="Q139">
        <v>990</v>
      </c>
    </row>
    <row r="140" spans="3:17" x14ac:dyDescent="0.25">
      <c r="C140" s="15" t="s">
        <v>262</v>
      </c>
      <c r="D140" s="14" t="s">
        <v>13</v>
      </c>
      <c r="E140" s="14">
        <v>13.76</v>
      </c>
      <c r="F140" s="14">
        <v>1.53</v>
      </c>
      <c r="G140" s="14">
        <v>2.7</v>
      </c>
      <c r="H140" s="14">
        <v>19.5</v>
      </c>
      <c r="I140" s="14">
        <v>132</v>
      </c>
      <c r="J140" s="14">
        <v>2.95</v>
      </c>
      <c r="K140" s="14">
        <v>2.74</v>
      </c>
      <c r="L140" s="14">
        <v>0.5</v>
      </c>
      <c r="M140" s="14">
        <v>1.35</v>
      </c>
      <c r="N140" s="14">
        <v>5.4</v>
      </c>
      <c r="O140" s="14">
        <v>1.25</v>
      </c>
      <c r="P140" s="14">
        <v>3</v>
      </c>
      <c r="Q140">
        <v>1235</v>
      </c>
    </row>
    <row r="141" spans="3:17" x14ac:dyDescent="0.25">
      <c r="C141" s="15" t="s">
        <v>263</v>
      </c>
      <c r="D141" s="14" t="s">
        <v>13</v>
      </c>
      <c r="E141" s="14">
        <v>13.51</v>
      </c>
      <c r="F141" s="14">
        <v>1.8</v>
      </c>
      <c r="G141" s="14">
        <v>2.6499999999999901</v>
      </c>
      <c r="H141" s="14">
        <v>19</v>
      </c>
      <c r="I141" s="14">
        <v>110</v>
      </c>
      <c r="J141" s="14">
        <v>2.35</v>
      </c>
      <c r="K141" s="14">
        <v>2.52999999999999</v>
      </c>
      <c r="L141" s="14">
        <v>0.28999999999999898</v>
      </c>
      <c r="M141" s="14">
        <v>1.54</v>
      </c>
      <c r="N141" s="14">
        <v>4.2</v>
      </c>
      <c r="O141" s="14">
        <v>1.1000000000000001</v>
      </c>
      <c r="P141" s="14">
        <v>2.87</v>
      </c>
      <c r="Q141">
        <v>1095</v>
      </c>
    </row>
    <row r="142" spans="3:17" x14ac:dyDescent="0.25">
      <c r="C142" s="15" t="s">
        <v>265</v>
      </c>
      <c r="D142" s="14" t="s">
        <v>13</v>
      </c>
      <c r="E142" s="14">
        <v>13.2799999999999</v>
      </c>
      <c r="F142" s="14">
        <v>1.6399999999999899</v>
      </c>
      <c r="G142" s="14">
        <v>2.8399999999999901</v>
      </c>
      <c r="H142" s="14">
        <v>15.5</v>
      </c>
      <c r="I142" s="14">
        <v>110</v>
      </c>
      <c r="J142" s="14">
        <v>2.6</v>
      </c>
      <c r="K142" s="14">
        <v>2.68</v>
      </c>
      <c r="L142" s="14">
        <v>0.34</v>
      </c>
      <c r="M142" s="14">
        <v>1.36</v>
      </c>
      <c r="N142" s="14">
        <v>4.5999999999999899</v>
      </c>
      <c r="O142" s="14">
        <v>1.0900000000000001</v>
      </c>
      <c r="P142" s="14">
        <v>2.77999999999999</v>
      </c>
      <c r="Q142">
        <v>880</v>
      </c>
    </row>
    <row r="143" spans="3:17" x14ac:dyDescent="0.25">
      <c r="C143" s="15" t="s">
        <v>266</v>
      </c>
      <c r="D143" s="14" t="s">
        <v>13</v>
      </c>
      <c r="E143" s="14">
        <v>13.05</v>
      </c>
      <c r="F143" s="14">
        <v>1.6499999999999899</v>
      </c>
      <c r="G143" s="14">
        <v>2.5499999999999901</v>
      </c>
      <c r="H143" s="14">
        <v>18</v>
      </c>
      <c r="I143" s="14">
        <v>98</v>
      </c>
      <c r="J143" s="14">
        <v>2.4500000000000002</v>
      </c>
      <c r="K143" s="14">
        <v>2.4300000000000002</v>
      </c>
      <c r="L143" s="14">
        <v>0.28999999999999898</v>
      </c>
      <c r="M143" s="14">
        <v>1.43999999999999</v>
      </c>
      <c r="N143" s="14">
        <v>4.25</v>
      </c>
      <c r="O143" s="14">
        <v>1.1200000000000001</v>
      </c>
      <c r="P143" s="14">
        <v>2.50999999999999</v>
      </c>
      <c r="Q143">
        <v>1105</v>
      </c>
    </row>
    <row r="144" spans="3:17" x14ac:dyDescent="0.25">
      <c r="C144" s="15" t="s">
        <v>268</v>
      </c>
      <c r="D144" s="14" t="s">
        <v>13</v>
      </c>
      <c r="E144" s="14">
        <v>14.22</v>
      </c>
      <c r="F144" s="14">
        <v>3.99</v>
      </c>
      <c r="G144" s="14">
        <v>2.50999999999999</v>
      </c>
      <c r="H144" s="14">
        <v>13.1999999999999</v>
      </c>
      <c r="I144" s="14">
        <v>128</v>
      </c>
      <c r="J144" s="14">
        <v>3</v>
      </c>
      <c r="K144" s="14">
        <v>3.04</v>
      </c>
      <c r="L144" s="14">
        <v>0.2</v>
      </c>
      <c r="M144" s="14">
        <v>2.08</v>
      </c>
      <c r="N144" s="14">
        <v>5.0999999999999899</v>
      </c>
      <c r="O144" s="14">
        <v>0.89</v>
      </c>
      <c r="P144" s="14">
        <v>3.52999999999999</v>
      </c>
      <c r="Q144">
        <v>760</v>
      </c>
    </row>
    <row r="145" spans="3:17" x14ac:dyDescent="0.25">
      <c r="C145" s="15" t="s">
        <v>269</v>
      </c>
      <c r="D145" s="14" t="s">
        <v>13</v>
      </c>
      <c r="E145" s="14">
        <v>13.56</v>
      </c>
      <c r="F145" s="14">
        <v>1.71</v>
      </c>
      <c r="G145" s="14">
        <v>2.31</v>
      </c>
      <c r="H145" s="14">
        <v>16.1999999999999</v>
      </c>
      <c r="I145" s="14">
        <v>117</v>
      </c>
      <c r="J145" s="14">
        <v>3.1499999999999901</v>
      </c>
      <c r="K145" s="14">
        <v>3.29</v>
      </c>
      <c r="L145" s="14">
        <v>0.34</v>
      </c>
      <c r="M145" s="14">
        <v>2.3399999999999901</v>
      </c>
      <c r="N145" s="14">
        <v>6.1299999999999901</v>
      </c>
      <c r="O145" s="14">
        <v>0.94999999999999896</v>
      </c>
      <c r="P145" s="14">
        <v>3.3799999999999901</v>
      </c>
      <c r="Q145">
        <v>795</v>
      </c>
    </row>
    <row r="146" spans="3:17" x14ac:dyDescent="0.25">
      <c r="C146" s="15" t="s">
        <v>273</v>
      </c>
      <c r="D146" s="14" t="s">
        <v>13</v>
      </c>
      <c r="E146" s="14">
        <v>13.05</v>
      </c>
      <c r="F146" s="14">
        <v>1.77</v>
      </c>
      <c r="G146" s="14">
        <v>2.1</v>
      </c>
      <c r="H146" s="14">
        <v>17</v>
      </c>
      <c r="I146" s="14">
        <v>107</v>
      </c>
      <c r="J146" s="14">
        <v>3</v>
      </c>
      <c r="K146" s="14">
        <v>3</v>
      </c>
      <c r="L146" s="14">
        <v>0.28000000000000003</v>
      </c>
      <c r="M146" s="14">
        <v>2.02999999999999</v>
      </c>
      <c r="N146" s="14">
        <v>5.04</v>
      </c>
      <c r="O146" s="14">
        <v>0.88</v>
      </c>
      <c r="P146" s="14">
        <v>3.35</v>
      </c>
      <c r="Q146">
        <v>885</v>
      </c>
    </row>
    <row r="147" spans="3:17" x14ac:dyDescent="0.25">
      <c r="C147" s="15" t="s">
        <v>274</v>
      </c>
      <c r="D147" s="14" t="s">
        <v>13</v>
      </c>
      <c r="E147" s="14">
        <v>14.21</v>
      </c>
      <c r="F147" s="14">
        <v>4.04</v>
      </c>
      <c r="G147" s="14">
        <v>2.4399999999999902</v>
      </c>
      <c r="H147" s="14">
        <v>18.899999999999899</v>
      </c>
      <c r="I147" s="14">
        <v>111</v>
      </c>
      <c r="J147" s="14">
        <v>2.85</v>
      </c>
      <c r="K147" s="14">
        <v>2.6499999999999901</v>
      </c>
      <c r="L147" s="14">
        <v>0.29999999999999899</v>
      </c>
      <c r="M147" s="14">
        <v>1.25</v>
      </c>
      <c r="N147" s="14">
        <v>5.24</v>
      </c>
      <c r="O147" s="14">
        <v>0.87</v>
      </c>
      <c r="P147" s="14">
        <v>3.33</v>
      </c>
      <c r="Q147">
        <v>1080</v>
      </c>
    </row>
    <row r="148" spans="3:17" x14ac:dyDescent="0.25">
      <c r="C148" s="15" t="s">
        <v>275</v>
      </c>
      <c r="D148" s="14" t="s">
        <v>13</v>
      </c>
      <c r="E148" s="14">
        <v>14.38</v>
      </c>
      <c r="F148" s="14">
        <v>3.5899999999999901</v>
      </c>
      <c r="G148" s="14">
        <v>2.27999999999999</v>
      </c>
      <c r="H148" s="14">
        <v>16</v>
      </c>
      <c r="I148" s="14">
        <v>102</v>
      </c>
      <c r="J148" s="14">
        <v>3.25</v>
      </c>
      <c r="K148" s="14">
        <v>3.1699999999999902</v>
      </c>
      <c r="L148" s="14">
        <v>0.27</v>
      </c>
      <c r="M148" s="14">
        <v>2.1899999999999902</v>
      </c>
      <c r="N148" s="14">
        <v>4.9000000000000004</v>
      </c>
      <c r="O148" s="14">
        <v>1.04</v>
      </c>
      <c r="P148" s="14">
        <v>3.4399999999999902</v>
      </c>
      <c r="Q148">
        <v>1065</v>
      </c>
    </row>
    <row r="149" spans="3:17" x14ac:dyDescent="0.25">
      <c r="C149" s="15" t="s">
        <v>278</v>
      </c>
      <c r="D149" s="14" t="s">
        <v>13</v>
      </c>
      <c r="E149" s="14">
        <v>13.94</v>
      </c>
      <c r="F149" s="14">
        <v>1.73</v>
      </c>
      <c r="G149" s="14">
        <v>2.27</v>
      </c>
      <c r="H149" s="14">
        <v>17.399999999999899</v>
      </c>
      <c r="I149" s="14">
        <v>108</v>
      </c>
      <c r="J149" s="14">
        <v>2.8799999999999901</v>
      </c>
      <c r="K149" s="14">
        <v>3.54</v>
      </c>
      <c r="L149" s="14">
        <v>0.32</v>
      </c>
      <c r="M149" s="14">
        <v>2.08</v>
      </c>
      <c r="N149" s="14">
        <v>8.9</v>
      </c>
      <c r="O149" s="14">
        <v>1.1200000000000001</v>
      </c>
      <c r="P149" s="14">
        <v>3.1</v>
      </c>
      <c r="Q149">
        <v>1260</v>
      </c>
    </row>
    <row r="150" spans="3:17" x14ac:dyDescent="0.25">
      <c r="C150" s="15" t="s">
        <v>282</v>
      </c>
      <c r="D150" s="14" t="s">
        <v>13</v>
      </c>
      <c r="E150" s="14">
        <v>13.77</v>
      </c>
      <c r="F150" s="14">
        <v>1.8999999999999899</v>
      </c>
      <c r="G150" s="14">
        <v>2.68</v>
      </c>
      <c r="H150" s="14">
        <v>17.100000000000001</v>
      </c>
      <c r="I150" s="14">
        <v>115</v>
      </c>
      <c r="J150" s="14">
        <v>3</v>
      </c>
      <c r="K150" s="14">
        <v>2.79</v>
      </c>
      <c r="L150" s="14">
        <v>0.39</v>
      </c>
      <c r="M150" s="14">
        <v>1.6799999999999899</v>
      </c>
      <c r="N150" s="14">
        <v>6.2999999999999901</v>
      </c>
      <c r="O150" s="14">
        <v>1.1299999999999899</v>
      </c>
      <c r="P150" s="14">
        <v>2.93</v>
      </c>
      <c r="Q150">
        <v>1375</v>
      </c>
    </row>
    <row r="151" spans="3:17" x14ac:dyDescent="0.25">
      <c r="C151" s="15" t="s">
        <v>283</v>
      </c>
      <c r="D151" s="14" t="s">
        <v>13</v>
      </c>
      <c r="E151" s="14">
        <v>13.74</v>
      </c>
      <c r="F151" s="14">
        <v>1.6699999999999899</v>
      </c>
      <c r="G151" s="14">
        <v>2.25</v>
      </c>
      <c r="H151" s="14">
        <v>16.399999999999899</v>
      </c>
      <c r="I151" s="14">
        <v>118</v>
      </c>
      <c r="J151" s="14">
        <v>2.6</v>
      </c>
      <c r="K151" s="14">
        <v>2.8999999999999901</v>
      </c>
      <c r="L151" s="14">
        <v>0.20999999999999899</v>
      </c>
      <c r="M151" s="14">
        <v>1.62</v>
      </c>
      <c r="N151" s="14">
        <v>5.8499999999999899</v>
      </c>
      <c r="O151" s="14">
        <v>0.92</v>
      </c>
      <c r="P151" s="14">
        <v>3.2</v>
      </c>
      <c r="Q151">
        <v>1060</v>
      </c>
    </row>
    <row r="152" spans="3:17" x14ac:dyDescent="0.25">
      <c r="C152" s="15" t="s">
        <v>284</v>
      </c>
      <c r="D152" s="14" t="s">
        <v>13</v>
      </c>
      <c r="E152" s="14">
        <v>13.56</v>
      </c>
      <c r="F152" s="14">
        <v>1.73</v>
      </c>
      <c r="G152" s="14">
        <v>2.46</v>
      </c>
      <c r="H152" s="14">
        <v>20.5</v>
      </c>
      <c r="I152" s="14">
        <v>116</v>
      </c>
      <c r="J152" s="14">
        <v>2.96</v>
      </c>
      <c r="K152" s="14">
        <v>2.77999999999999</v>
      </c>
      <c r="L152" s="14">
        <v>0.2</v>
      </c>
      <c r="M152" s="14">
        <v>2.4500000000000002</v>
      </c>
      <c r="N152" s="14">
        <v>6.25</v>
      </c>
      <c r="O152" s="14">
        <v>0.97999999999999898</v>
      </c>
      <c r="P152" s="14">
        <v>3.02999999999999</v>
      </c>
      <c r="Q152">
        <v>1120</v>
      </c>
    </row>
    <row r="153" spans="3:17" x14ac:dyDescent="0.25">
      <c r="C153" s="15" t="s">
        <v>285</v>
      </c>
      <c r="D153" s="14" t="s">
        <v>13</v>
      </c>
      <c r="E153" s="14">
        <v>14.22</v>
      </c>
      <c r="F153" s="14">
        <v>1.7</v>
      </c>
      <c r="G153" s="14">
        <v>2.2999999999999901</v>
      </c>
      <c r="H153" s="14">
        <v>16.3</v>
      </c>
      <c r="I153" s="14">
        <v>118</v>
      </c>
      <c r="J153" s="14">
        <v>3.2</v>
      </c>
      <c r="K153" s="14">
        <v>3</v>
      </c>
      <c r="L153" s="14">
        <v>0.26</v>
      </c>
      <c r="M153" s="14">
        <v>2.02999999999999</v>
      </c>
      <c r="N153" s="14">
        <v>6.3799999999999901</v>
      </c>
      <c r="O153" s="14">
        <v>0.93999999999999895</v>
      </c>
      <c r="P153" s="14">
        <v>3.31</v>
      </c>
      <c r="Q153">
        <v>970</v>
      </c>
    </row>
    <row r="154" spans="3:17" x14ac:dyDescent="0.25">
      <c r="C154" s="15" t="s">
        <v>287</v>
      </c>
      <c r="D154" s="14" t="s">
        <v>13</v>
      </c>
      <c r="E154" s="14">
        <v>13.72</v>
      </c>
      <c r="F154" s="14">
        <v>1.4299999999999899</v>
      </c>
      <c r="G154" s="14">
        <v>2.5</v>
      </c>
      <c r="H154" s="14">
        <v>16.6999999999999</v>
      </c>
      <c r="I154" s="14">
        <v>108</v>
      </c>
      <c r="J154" s="14">
        <v>3.3999999999999901</v>
      </c>
      <c r="K154" s="14">
        <v>3.6699999999999902</v>
      </c>
      <c r="L154" s="14">
        <v>0.19</v>
      </c>
      <c r="M154" s="14">
        <v>2.04</v>
      </c>
      <c r="N154" s="14">
        <v>6.7999999999999901</v>
      </c>
      <c r="O154" s="14">
        <v>0.89</v>
      </c>
      <c r="P154" s="14">
        <v>2.87</v>
      </c>
      <c r="Q154">
        <v>1285</v>
      </c>
    </row>
    <row r="155" spans="3:17" x14ac:dyDescent="0.25">
      <c r="C155" s="15" t="s">
        <v>288</v>
      </c>
      <c r="D155" s="14" t="s">
        <v>14</v>
      </c>
      <c r="E155" s="14">
        <v>12.3699999999999</v>
      </c>
      <c r="F155" s="14">
        <v>0.93999999999999895</v>
      </c>
      <c r="G155" s="14">
        <v>1.36</v>
      </c>
      <c r="H155" s="14">
        <v>10.6</v>
      </c>
      <c r="I155" s="14">
        <v>88</v>
      </c>
      <c r="J155" s="14">
        <v>1.98</v>
      </c>
      <c r="K155" s="14">
        <v>0.56999999999999895</v>
      </c>
      <c r="L155" s="14">
        <v>0.28000000000000003</v>
      </c>
      <c r="M155" s="14">
        <v>0.41999999999999899</v>
      </c>
      <c r="N155" s="14">
        <v>1.95</v>
      </c>
      <c r="O155" s="14">
        <v>1.05</v>
      </c>
      <c r="P155" s="14">
        <v>1.82</v>
      </c>
      <c r="Q155">
        <v>520</v>
      </c>
    </row>
    <row r="156" spans="3:17" x14ac:dyDescent="0.25">
      <c r="C156" s="15" t="s">
        <v>290</v>
      </c>
      <c r="D156" s="14" t="s">
        <v>14</v>
      </c>
      <c r="E156" s="14">
        <v>12.64</v>
      </c>
      <c r="F156" s="14">
        <v>1.36</v>
      </c>
      <c r="G156" s="14">
        <v>2.02</v>
      </c>
      <c r="H156" s="14">
        <v>16.8</v>
      </c>
      <c r="I156" s="14">
        <v>100</v>
      </c>
      <c r="J156" s="14">
        <v>2.02</v>
      </c>
      <c r="K156" s="14">
        <v>1.4099999999999899</v>
      </c>
      <c r="L156" s="14">
        <v>0.53</v>
      </c>
      <c r="M156" s="14">
        <v>0.62</v>
      </c>
      <c r="N156" s="14">
        <v>5.75</v>
      </c>
      <c r="O156" s="14">
        <v>0.97999999999999898</v>
      </c>
      <c r="P156" s="14">
        <v>1.59</v>
      </c>
      <c r="Q156">
        <v>450</v>
      </c>
    </row>
    <row r="157" spans="3:17" x14ac:dyDescent="0.25">
      <c r="C157" s="15" t="s">
        <v>291</v>
      </c>
      <c r="D157" s="14" t="s">
        <v>14</v>
      </c>
      <c r="E157" s="14">
        <v>13.67</v>
      </c>
      <c r="F157" s="14">
        <v>1.25</v>
      </c>
      <c r="G157" s="14">
        <v>1.9199999999999899</v>
      </c>
      <c r="H157" s="14">
        <v>18</v>
      </c>
      <c r="I157" s="14">
        <v>94</v>
      </c>
      <c r="J157" s="14">
        <v>2.1</v>
      </c>
      <c r="K157" s="14">
        <v>1.79</v>
      </c>
      <c r="L157" s="14">
        <v>0.32</v>
      </c>
      <c r="M157" s="14">
        <v>0.72999999999999898</v>
      </c>
      <c r="N157" s="14">
        <v>3.7999999999999901</v>
      </c>
      <c r="O157" s="14">
        <v>1.23</v>
      </c>
      <c r="P157" s="14">
        <v>2.46</v>
      </c>
      <c r="Q157">
        <v>630</v>
      </c>
    </row>
    <row r="158" spans="3:17" x14ac:dyDescent="0.25">
      <c r="C158" s="15" t="s">
        <v>292</v>
      </c>
      <c r="D158" s="14" t="s">
        <v>14</v>
      </c>
      <c r="E158" s="14">
        <v>12.3699999999999</v>
      </c>
      <c r="F158" s="14">
        <v>1.1299999999999899</v>
      </c>
      <c r="G158" s="14">
        <v>2.16</v>
      </c>
      <c r="H158" s="14">
        <v>19</v>
      </c>
      <c r="I158" s="14">
        <v>87</v>
      </c>
      <c r="J158" s="14">
        <v>3.5</v>
      </c>
      <c r="K158" s="14">
        <v>3.1</v>
      </c>
      <c r="L158" s="14">
        <v>0.19</v>
      </c>
      <c r="M158" s="14">
        <v>1.87</v>
      </c>
      <c r="N158" s="14">
        <v>4.45</v>
      </c>
      <c r="O158" s="14">
        <v>1.22</v>
      </c>
      <c r="P158" s="14">
        <v>2.87</v>
      </c>
      <c r="Q158">
        <v>420</v>
      </c>
    </row>
    <row r="159" spans="3:17" x14ac:dyDescent="0.25">
      <c r="C159" s="15" t="s">
        <v>293</v>
      </c>
      <c r="D159" s="14" t="s">
        <v>14</v>
      </c>
      <c r="E159" s="14">
        <v>12.17</v>
      </c>
      <c r="F159" s="14">
        <v>1.45</v>
      </c>
      <c r="G159" s="14">
        <v>2.52999999999999</v>
      </c>
      <c r="H159" s="14">
        <v>19</v>
      </c>
      <c r="I159" s="14">
        <v>104</v>
      </c>
      <c r="J159" s="14">
        <v>1.8899999999999899</v>
      </c>
      <c r="K159" s="14">
        <v>1.75</v>
      </c>
      <c r="L159" s="14">
        <v>0.45</v>
      </c>
      <c r="M159" s="14">
        <v>1.03</v>
      </c>
      <c r="N159" s="14">
        <v>2.95</v>
      </c>
      <c r="O159" s="14">
        <v>1.45</v>
      </c>
      <c r="P159" s="14">
        <v>2.23</v>
      </c>
      <c r="Q159">
        <v>355</v>
      </c>
    </row>
    <row r="160" spans="3:17" x14ac:dyDescent="0.25">
      <c r="C160" s="15" t="s">
        <v>294</v>
      </c>
      <c r="D160" s="14" t="s">
        <v>14</v>
      </c>
      <c r="E160" s="14">
        <v>12.3699999999999</v>
      </c>
      <c r="F160" s="14">
        <v>1.21</v>
      </c>
      <c r="G160" s="14">
        <v>2.56</v>
      </c>
      <c r="H160" s="14">
        <v>18.100000000000001</v>
      </c>
      <c r="I160" s="14">
        <v>98</v>
      </c>
      <c r="J160" s="14">
        <v>2.4199999999999902</v>
      </c>
      <c r="K160" s="14">
        <v>2.6499999999999901</v>
      </c>
      <c r="L160" s="14">
        <v>0.37</v>
      </c>
      <c r="M160" s="14">
        <v>2.08</v>
      </c>
      <c r="N160" s="14">
        <v>4.5999999999999899</v>
      </c>
      <c r="O160" s="14">
        <v>1.18999999999999</v>
      </c>
      <c r="P160" s="14">
        <v>2.2999999999999901</v>
      </c>
      <c r="Q160">
        <v>678</v>
      </c>
    </row>
    <row r="161" spans="3:17" x14ac:dyDescent="0.25">
      <c r="C161" s="15" t="s">
        <v>303</v>
      </c>
      <c r="D161" s="14" t="s">
        <v>14</v>
      </c>
      <c r="E161" s="14">
        <v>11.96</v>
      </c>
      <c r="F161" s="14">
        <v>1.0900000000000001</v>
      </c>
      <c r="G161" s="14">
        <v>2.2999999999999901</v>
      </c>
      <c r="H161" s="14">
        <v>21</v>
      </c>
      <c r="I161" s="14">
        <v>101</v>
      </c>
      <c r="J161" s="14">
        <v>3.3799999999999901</v>
      </c>
      <c r="K161" s="14">
        <v>2.14</v>
      </c>
      <c r="L161" s="14">
        <v>0.13</v>
      </c>
      <c r="M161" s="14">
        <v>1.6499999999999899</v>
      </c>
      <c r="N161" s="14">
        <v>3.21</v>
      </c>
      <c r="O161" s="14">
        <v>0.98999999999999899</v>
      </c>
      <c r="P161" s="14">
        <v>3.1299999999999901</v>
      </c>
      <c r="Q161">
        <v>886</v>
      </c>
    </row>
    <row r="162" spans="3:17" x14ac:dyDescent="0.25">
      <c r="C162" s="15" t="s">
        <v>305</v>
      </c>
      <c r="D162" s="14" t="s">
        <v>14</v>
      </c>
      <c r="E162" s="14">
        <v>13.0299999999999</v>
      </c>
      <c r="F162" s="14">
        <v>0.9</v>
      </c>
      <c r="G162" s="14">
        <v>1.71</v>
      </c>
      <c r="H162" s="14">
        <v>16</v>
      </c>
      <c r="I162" s="14">
        <v>86</v>
      </c>
      <c r="J162" s="14">
        <v>1.95</v>
      </c>
      <c r="K162" s="14">
        <v>2.02999999999999</v>
      </c>
      <c r="L162" s="14">
        <v>0.23999999999999899</v>
      </c>
      <c r="M162" s="14">
        <v>1.46</v>
      </c>
      <c r="N162" s="14">
        <v>4.5999999999999899</v>
      </c>
      <c r="O162" s="14">
        <v>1.18999999999999</v>
      </c>
      <c r="P162" s="14">
        <v>2.48</v>
      </c>
      <c r="Q162">
        <v>392</v>
      </c>
    </row>
    <row r="163" spans="3:17" x14ac:dyDescent="0.25">
      <c r="C163" s="15" t="s">
        <v>307</v>
      </c>
      <c r="D163" s="14" t="s">
        <v>14</v>
      </c>
      <c r="E163" s="14">
        <v>12.33</v>
      </c>
      <c r="F163" s="14">
        <v>0.98999999999999899</v>
      </c>
      <c r="G163" s="14">
        <v>1.95</v>
      </c>
      <c r="H163" s="14">
        <v>14.8</v>
      </c>
      <c r="I163" s="14">
        <v>136</v>
      </c>
      <c r="J163" s="14">
        <v>1.8999999999999899</v>
      </c>
      <c r="K163" s="14">
        <v>1.85</v>
      </c>
      <c r="L163" s="14">
        <v>0.34999999999999898</v>
      </c>
      <c r="M163" s="14">
        <v>2.75999999999999</v>
      </c>
      <c r="N163" s="14">
        <v>3.3999999999999901</v>
      </c>
      <c r="O163" s="14">
        <v>1.06</v>
      </c>
      <c r="P163" s="14">
        <v>2.31</v>
      </c>
      <c r="Q163">
        <v>750</v>
      </c>
    </row>
    <row r="164" spans="3:17" x14ac:dyDescent="0.25">
      <c r="C164" s="15" t="s">
        <v>312</v>
      </c>
      <c r="D164" s="14" t="s">
        <v>14</v>
      </c>
      <c r="E164" s="14">
        <v>13.05</v>
      </c>
      <c r="F164" s="14">
        <v>3.8599999999999901</v>
      </c>
      <c r="G164" s="14">
        <v>2.3199999999999901</v>
      </c>
      <c r="H164" s="14">
        <v>22.5</v>
      </c>
      <c r="I164" s="14">
        <v>85</v>
      </c>
      <c r="J164" s="14">
        <v>1.6499999999999899</v>
      </c>
      <c r="K164" s="14">
        <v>1.59</v>
      </c>
      <c r="L164" s="14">
        <v>0.60999999999999899</v>
      </c>
      <c r="M164" s="14">
        <v>1.62</v>
      </c>
      <c r="N164" s="14">
        <v>4.7999999999999901</v>
      </c>
      <c r="O164" s="14">
        <v>0.83999999999999897</v>
      </c>
      <c r="P164" s="14">
        <v>2.00999999999999</v>
      </c>
      <c r="Q164">
        <v>515</v>
      </c>
    </row>
    <row r="165" spans="3:17" x14ac:dyDescent="0.25">
      <c r="C165" s="15" t="s">
        <v>313</v>
      </c>
      <c r="D165" s="14" t="s">
        <v>14</v>
      </c>
      <c r="E165" s="14">
        <v>11.84</v>
      </c>
      <c r="F165" s="14">
        <v>0.89</v>
      </c>
      <c r="G165" s="14">
        <v>2.58</v>
      </c>
      <c r="H165" s="14">
        <v>18</v>
      </c>
      <c r="I165" s="14">
        <v>94</v>
      </c>
      <c r="J165" s="14">
        <v>2.2000000000000002</v>
      </c>
      <c r="K165" s="14">
        <v>2.21</v>
      </c>
      <c r="L165" s="14">
        <v>0.22</v>
      </c>
      <c r="M165" s="14">
        <v>2.35</v>
      </c>
      <c r="N165" s="14">
        <v>3.0499999999999901</v>
      </c>
      <c r="O165" s="14">
        <v>0.79</v>
      </c>
      <c r="P165" s="14">
        <v>3.08</v>
      </c>
      <c r="Q165">
        <v>520</v>
      </c>
    </row>
    <row r="166" spans="3:17" x14ac:dyDescent="0.25">
      <c r="C166" s="15" t="s">
        <v>314</v>
      </c>
      <c r="D166" s="14" t="s">
        <v>14</v>
      </c>
      <c r="E166" s="14">
        <v>12.67</v>
      </c>
      <c r="F166" s="14">
        <v>0.97999999999999898</v>
      </c>
      <c r="G166" s="14">
        <v>2.2400000000000002</v>
      </c>
      <c r="H166" s="14">
        <v>18</v>
      </c>
      <c r="I166" s="14">
        <v>99</v>
      </c>
      <c r="J166" s="14">
        <v>2.2000000000000002</v>
      </c>
      <c r="K166" s="14">
        <v>1.93999999999999</v>
      </c>
      <c r="L166" s="14">
        <v>0.29999999999999899</v>
      </c>
      <c r="M166" s="14">
        <v>1.46</v>
      </c>
      <c r="N166" s="14">
        <v>2.62</v>
      </c>
      <c r="O166" s="14">
        <v>1.23</v>
      </c>
      <c r="P166" s="14">
        <v>3.16</v>
      </c>
      <c r="Q166">
        <v>450</v>
      </c>
    </row>
    <row r="167" spans="3:17" x14ac:dyDescent="0.25">
      <c r="C167" s="15" t="s">
        <v>315</v>
      </c>
      <c r="D167" s="14" t="s">
        <v>14</v>
      </c>
      <c r="E167" s="14">
        <v>12.16</v>
      </c>
      <c r="F167" s="14">
        <v>1.61</v>
      </c>
      <c r="G167" s="14">
        <v>2.31</v>
      </c>
      <c r="H167" s="14">
        <v>22.8</v>
      </c>
      <c r="I167" s="14">
        <v>90</v>
      </c>
      <c r="J167" s="14">
        <v>1.78</v>
      </c>
      <c r="K167" s="14">
        <v>1.68999999999999</v>
      </c>
      <c r="L167" s="14">
        <v>0.42999999999999899</v>
      </c>
      <c r="M167" s="14">
        <v>1.56</v>
      </c>
      <c r="N167" s="14">
        <v>2.4500000000000002</v>
      </c>
      <c r="O167" s="14">
        <v>1.33</v>
      </c>
      <c r="P167" s="14">
        <v>2.25999999999999</v>
      </c>
      <c r="Q167">
        <v>495</v>
      </c>
    </row>
    <row r="168" spans="3:17" x14ac:dyDescent="0.25">
      <c r="C168" s="15" t="s">
        <v>317</v>
      </c>
      <c r="D168" s="14" t="s">
        <v>14</v>
      </c>
      <c r="E168" s="14">
        <v>11.64</v>
      </c>
      <c r="F168" s="14">
        <v>2.06</v>
      </c>
      <c r="G168" s="14">
        <v>2.46</v>
      </c>
      <c r="H168" s="14">
        <v>21.6</v>
      </c>
      <c r="I168" s="14">
        <v>84</v>
      </c>
      <c r="J168" s="14">
        <v>1.95</v>
      </c>
      <c r="K168" s="14">
        <v>1.68999999999999</v>
      </c>
      <c r="L168" s="14">
        <v>0.47999999999999898</v>
      </c>
      <c r="M168" s="14">
        <v>1.35</v>
      </c>
      <c r="N168" s="14">
        <v>2.7999999999999901</v>
      </c>
      <c r="O168" s="14">
        <v>1</v>
      </c>
      <c r="P168" s="14">
        <v>2.75</v>
      </c>
      <c r="Q168">
        <v>680</v>
      </c>
    </row>
    <row r="169" spans="3:17" x14ac:dyDescent="0.25">
      <c r="C169" s="15" t="s">
        <v>318</v>
      </c>
      <c r="D169" s="14" t="s">
        <v>14</v>
      </c>
      <c r="E169" s="14">
        <v>12.08</v>
      </c>
      <c r="F169" s="14">
        <v>1.33</v>
      </c>
      <c r="G169" s="14">
        <v>2.2999999999999901</v>
      </c>
      <c r="H169" s="14">
        <v>23.6</v>
      </c>
      <c r="I169" s="14">
        <v>70</v>
      </c>
      <c r="J169" s="14">
        <v>2.2000000000000002</v>
      </c>
      <c r="K169" s="14">
        <v>1.59</v>
      </c>
      <c r="L169" s="14">
        <v>0.41999999999999899</v>
      </c>
      <c r="M169" s="14">
        <v>1.3799999999999899</v>
      </c>
      <c r="N169" s="14">
        <v>1.74</v>
      </c>
      <c r="O169" s="14">
        <v>1.07</v>
      </c>
      <c r="P169" s="14">
        <v>3.21</v>
      </c>
      <c r="Q169">
        <v>625</v>
      </c>
    </row>
    <row r="170" spans="3:17" x14ac:dyDescent="0.25">
      <c r="C170" s="15" t="s">
        <v>319</v>
      </c>
      <c r="D170" s="14" t="s">
        <v>14</v>
      </c>
      <c r="E170" s="14">
        <v>12.08</v>
      </c>
      <c r="F170" s="14">
        <v>1.83</v>
      </c>
      <c r="G170" s="14">
        <v>2.3199999999999901</v>
      </c>
      <c r="H170" s="14">
        <v>18.5</v>
      </c>
      <c r="I170" s="14">
        <v>81</v>
      </c>
      <c r="J170" s="14">
        <v>1.6</v>
      </c>
      <c r="K170" s="14">
        <v>1.5</v>
      </c>
      <c r="L170" s="14">
        <v>0.52</v>
      </c>
      <c r="M170" s="14">
        <v>1.6399999999999899</v>
      </c>
      <c r="N170" s="14">
        <v>2.3999999999999901</v>
      </c>
      <c r="O170" s="14">
        <v>1.08</v>
      </c>
      <c r="P170" s="14">
        <v>2.27</v>
      </c>
      <c r="Q170">
        <v>480</v>
      </c>
    </row>
    <row r="171" spans="3:17" x14ac:dyDescent="0.25">
      <c r="C171" s="15" t="s">
        <v>322</v>
      </c>
      <c r="D171" s="14" t="s">
        <v>14</v>
      </c>
      <c r="E171" s="14">
        <v>12.2899999999999</v>
      </c>
      <c r="F171" s="14">
        <v>2.83</v>
      </c>
      <c r="G171" s="14">
        <v>2.2200000000000002</v>
      </c>
      <c r="H171" s="14">
        <v>18</v>
      </c>
      <c r="I171" s="14">
        <v>88</v>
      </c>
      <c r="J171" s="14">
        <v>2.4500000000000002</v>
      </c>
      <c r="K171" s="14">
        <v>2.25</v>
      </c>
      <c r="L171" s="14">
        <v>0.25</v>
      </c>
      <c r="M171" s="14">
        <v>1.99</v>
      </c>
      <c r="N171" s="14">
        <v>2.1499999999999901</v>
      </c>
      <c r="O171" s="14">
        <v>1.1499999999999899</v>
      </c>
      <c r="P171" s="14">
        <v>3.2999999999999901</v>
      </c>
      <c r="Q171">
        <v>290</v>
      </c>
    </row>
    <row r="172" spans="3:17" x14ac:dyDescent="0.25">
      <c r="C172" s="15" t="s">
        <v>323</v>
      </c>
      <c r="D172" s="14" t="s">
        <v>14</v>
      </c>
      <c r="E172" s="14">
        <v>11.6199999999999</v>
      </c>
      <c r="F172" s="14">
        <v>1.99</v>
      </c>
      <c r="G172" s="14">
        <v>2.27999999999999</v>
      </c>
      <c r="H172" s="14">
        <v>18</v>
      </c>
      <c r="I172" s="14">
        <v>98</v>
      </c>
      <c r="J172" s="14">
        <v>3.02</v>
      </c>
      <c r="K172" s="14">
        <v>2.25999999999999</v>
      </c>
      <c r="L172" s="14">
        <v>0.17</v>
      </c>
      <c r="M172" s="14">
        <v>1.35</v>
      </c>
      <c r="N172" s="14">
        <v>3.25</v>
      </c>
      <c r="O172" s="14">
        <v>1.1599999999999899</v>
      </c>
      <c r="P172" s="14">
        <v>2.96</v>
      </c>
      <c r="Q172">
        <v>345</v>
      </c>
    </row>
    <row r="173" spans="3:17" x14ac:dyDescent="0.25">
      <c r="C173" s="15" t="s">
        <v>327</v>
      </c>
      <c r="D173" s="14" t="s">
        <v>14</v>
      </c>
      <c r="E173" s="14">
        <v>12.3699999999999</v>
      </c>
      <c r="F173" s="14">
        <v>1.07</v>
      </c>
      <c r="G173" s="14">
        <v>2.1</v>
      </c>
      <c r="H173" s="14">
        <v>18.5</v>
      </c>
      <c r="I173" s="14">
        <v>88</v>
      </c>
      <c r="J173" s="14">
        <v>3.52</v>
      </c>
      <c r="K173" s="14">
        <v>3.75</v>
      </c>
      <c r="L173" s="14">
        <v>0.23999999999999899</v>
      </c>
      <c r="M173" s="14">
        <v>1.95</v>
      </c>
      <c r="N173" s="14">
        <v>4.5</v>
      </c>
      <c r="O173" s="14">
        <v>1.04</v>
      </c>
      <c r="P173" s="14">
        <v>2.77</v>
      </c>
      <c r="Q173">
        <v>660</v>
      </c>
    </row>
    <row r="174" spans="3:17" x14ac:dyDescent="0.25">
      <c r="C174" s="15" t="s">
        <v>329</v>
      </c>
      <c r="D174" s="14" t="s">
        <v>14</v>
      </c>
      <c r="E174" s="14">
        <v>12.08</v>
      </c>
      <c r="F174" s="14">
        <v>2.08</v>
      </c>
      <c r="G174" s="14">
        <v>1.7</v>
      </c>
      <c r="H174" s="14">
        <v>17.5</v>
      </c>
      <c r="I174" s="14">
        <v>97</v>
      </c>
      <c r="J174" s="14">
        <v>2.23</v>
      </c>
      <c r="K174" s="14">
        <v>2.1699999999999902</v>
      </c>
      <c r="L174" s="14">
        <v>0.26</v>
      </c>
      <c r="M174" s="14">
        <v>1.3999999999999899</v>
      </c>
      <c r="N174" s="14">
        <v>3.2999999999999901</v>
      </c>
      <c r="O174" s="14">
        <v>1.27</v>
      </c>
      <c r="P174" s="14">
        <v>2.96</v>
      </c>
      <c r="Q174">
        <v>710</v>
      </c>
    </row>
    <row r="175" spans="3:17" x14ac:dyDescent="0.25">
      <c r="C175" s="15" t="s">
        <v>334</v>
      </c>
      <c r="D175" s="14" t="s">
        <v>14</v>
      </c>
      <c r="E175" s="14">
        <v>12.42</v>
      </c>
      <c r="F175" s="14">
        <v>2.5499999999999901</v>
      </c>
      <c r="G175" s="14">
        <v>2.27</v>
      </c>
      <c r="H175" s="14">
        <v>22</v>
      </c>
      <c r="I175" s="14">
        <v>90</v>
      </c>
      <c r="J175" s="14">
        <v>1.6799999999999899</v>
      </c>
      <c r="K175" s="14">
        <v>1.84</v>
      </c>
      <c r="L175" s="14">
        <v>0.66</v>
      </c>
      <c r="M175" s="14">
        <v>1.4199999999999899</v>
      </c>
      <c r="N175" s="14">
        <v>2.7</v>
      </c>
      <c r="O175" s="14">
        <v>0.85999999999999899</v>
      </c>
      <c r="P175" s="14">
        <v>3.2999999999999901</v>
      </c>
      <c r="Q175">
        <v>315</v>
      </c>
    </row>
    <row r="176" spans="3:17" x14ac:dyDescent="0.25">
      <c r="C176" s="15" t="s">
        <v>335</v>
      </c>
      <c r="D176" s="14" t="s">
        <v>14</v>
      </c>
      <c r="E176" s="14">
        <v>12.25</v>
      </c>
      <c r="F176" s="14">
        <v>1.73</v>
      </c>
      <c r="G176" s="14">
        <v>2.12</v>
      </c>
      <c r="H176" s="14">
        <v>19</v>
      </c>
      <c r="I176" s="14">
        <v>80</v>
      </c>
      <c r="J176" s="14">
        <v>1.6499999999999899</v>
      </c>
      <c r="K176" s="14">
        <v>2.02999999999999</v>
      </c>
      <c r="L176" s="14">
        <v>0.37</v>
      </c>
      <c r="M176" s="14">
        <v>1.6299999999999899</v>
      </c>
      <c r="N176" s="14">
        <v>3.3999999999999901</v>
      </c>
      <c r="O176" s="14">
        <v>1</v>
      </c>
      <c r="P176" s="14">
        <v>3.1699999999999902</v>
      </c>
      <c r="Q176">
        <v>510</v>
      </c>
    </row>
    <row r="177" spans="3:17" x14ac:dyDescent="0.25">
      <c r="C177" s="15" t="s">
        <v>336</v>
      </c>
      <c r="D177" s="14" t="s">
        <v>14</v>
      </c>
      <c r="E177" s="14">
        <v>12.72</v>
      </c>
      <c r="F177" s="14">
        <v>1.75</v>
      </c>
      <c r="G177" s="14">
        <v>2.27999999999999</v>
      </c>
      <c r="H177" s="14">
        <v>22.5</v>
      </c>
      <c r="I177" s="14">
        <v>84</v>
      </c>
      <c r="J177" s="14">
        <v>1.3799999999999899</v>
      </c>
      <c r="K177" s="14">
        <v>1.76</v>
      </c>
      <c r="L177" s="14">
        <v>0.47999999999999898</v>
      </c>
      <c r="M177" s="14">
        <v>1.6299999999999899</v>
      </c>
      <c r="N177" s="14">
        <v>3.2999999999999901</v>
      </c>
      <c r="O177" s="14">
        <v>0.88</v>
      </c>
      <c r="P177" s="14">
        <v>2.4199999999999902</v>
      </c>
      <c r="Q177">
        <v>488</v>
      </c>
    </row>
    <row r="178" spans="3:17" x14ac:dyDescent="0.25">
      <c r="C178" s="15" t="s">
        <v>337</v>
      </c>
      <c r="D178" s="14" t="s">
        <v>14</v>
      </c>
      <c r="E178" s="14">
        <v>12.22</v>
      </c>
      <c r="F178" s="14">
        <v>1.29</v>
      </c>
      <c r="G178" s="14">
        <v>1.93999999999999</v>
      </c>
      <c r="H178" s="14">
        <v>19</v>
      </c>
      <c r="I178" s="14">
        <v>92</v>
      </c>
      <c r="J178" s="14">
        <v>2.3599999999999901</v>
      </c>
      <c r="K178" s="14">
        <v>2.04</v>
      </c>
      <c r="L178" s="14">
        <v>0.39</v>
      </c>
      <c r="M178" s="14">
        <v>2.08</v>
      </c>
      <c r="N178" s="14">
        <v>2.7</v>
      </c>
      <c r="O178" s="14">
        <v>0.85999999999999899</v>
      </c>
      <c r="P178" s="14">
        <v>3.02</v>
      </c>
      <c r="Q178">
        <v>312</v>
      </c>
    </row>
    <row r="179" spans="3:17" x14ac:dyDescent="0.25">
      <c r="C179" s="15" t="s">
        <v>339</v>
      </c>
      <c r="D179" s="14" t="s">
        <v>14</v>
      </c>
      <c r="E179" s="14">
        <v>11.46</v>
      </c>
      <c r="F179" s="14">
        <v>3.74</v>
      </c>
      <c r="G179" s="14">
        <v>1.82</v>
      </c>
      <c r="H179" s="14">
        <v>19.5</v>
      </c>
      <c r="I179" s="14">
        <v>107</v>
      </c>
      <c r="J179" s="14">
        <v>3.18</v>
      </c>
      <c r="K179" s="14">
        <v>2.58</v>
      </c>
      <c r="L179" s="14">
        <v>0.23999999999999899</v>
      </c>
      <c r="M179" s="14">
        <v>3.58</v>
      </c>
      <c r="N179" s="14">
        <v>2.8999999999999901</v>
      </c>
      <c r="O179" s="14">
        <v>0.75</v>
      </c>
      <c r="P179" s="14">
        <v>2.81</v>
      </c>
      <c r="Q179">
        <v>562</v>
      </c>
    </row>
    <row r="180" spans="3:17" x14ac:dyDescent="0.25">
      <c r="C180" s="15" t="s">
        <v>340</v>
      </c>
      <c r="D180" s="14" t="s">
        <v>14</v>
      </c>
      <c r="E180" s="14">
        <v>12.52</v>
      </c>
      <c r="F180" s="14">
        <v>2.4300000000000002</v>
      </c>
      <c r="G180" s="14">
        <v>2.1699999999999902</v>
      </c>
      <c r="H180" s="14">
        <v>21</v>
      </c>
      <c r="I180" s="14">
        <v>88</v>
      </c>
      <c r="J180" s="14">
        <v>2.5499999999999901</v>
      </c>
      <c r="K180" s="14">
        <v>2.27</v>
      </c>
      <c r="L180" s="14">
        <v>0.26</v>
      </c>
      <c r="M180" s="14">
        <v>1.22</v>
      </c>
      <c r="N180" s="14">
        <v>2</v>
      </c>
      <c r="O180" s="14">
        <v>0.9</v>
      </c>
      <c r="P180" s="14">
        <v>2.77999999999999</v>
      </c>
      <c r="Q180">
        <v>325</v>
      </c>
    </row>
    <row r="181" spans="3:17" x14ac:dyDescent="0.25">
      <c r="C181" s="15" t="s">
        <v>342</v>
      </c>
      <c r="D181" s="14" t="s">
        <v>14</v>
      </c>
      <c r="E181" s="14">
        <v>11.41</v>
      </c>
      <c r="F181" s="14">
        <v>0.73999999999999899</v>
      </c>
      <c r="G181" s="14">
        <v>2.5</v>
      </c>
      <c r="H181" s="14">
        <v>21</v>
      </c>
      <c r="I181" s="14">
        <v>88</v>
      </c>
      <c r="J181" s="14">
        <v>2.48</v>
      </c>
      <c r="K181" s="14">
        <v>2.00999999999999</v>
      </c>
      <c r="L181" s="14">
        <v>0.41999999999999899</v>
      </c>
      <c r="M181" s="14">
        <v>1.43999999999999</v>
      </c>
      <c r="N181" s="14">
        <v>3.08</v>
      </c>
      <c r="O181" s="14">
        <v>1.1000000000000001</v>
      </c>
      <c r="P181" s="14">
        <v>2.31</v>
      </c>
      <c r="Q181">
        <v>434</v>
      </c>
    </row>
    <row r="182" spans="3:17" x14ac:dyDescent="0.25">
      <c r="C182" s="15" t="s">
        <v>343</v>
      </c>
      <c r="D182" s="14" t="s">
        <v>14</v>
      </c>
      <c r="E182" s="14">
        <v>12.08</v>
      </c>
      <c r="F182" s="14">
        <v>1.3899999999999899</v>
      </c>
      <c r="G182" s="14">
        <v>2.5</v>
      </c>
      <c r="H182" s="14">
        <v>22.5</v>
      </c>
      <c r="I182" s="14">
        <v>84</v>
      </c>
      <c r="J182" s="14">
        <v>2.56</v>
      </c>
      <c r="K182" s="14">
        <v>2.29</v>
      </c>
      <c r="L182" s="14">
        <v>0.42999999999999899</v>
      </c>
      <c r="M182" s="14">
        <v>1.04</v>
      </c>
      <c r="N182" s="14">
        <v>2.8999999999999901</v>
      </c>
      <c r="O182" s="14">
        <v>0.93</v>
      </c>
      <c r="P182" s="14">
        <v>3.1899999999999902</v>
      </c>
      <c r="Q182">
        <v>385</v>
      </c>
    </row>
    <row r="183" spans="3:17" x14ac:dyDescent="0.25">
      <c r="C183" s="15" t="s">
        <v>345</v>
      </c>
      <c r="D183" s="14" t="s">
        <v>14</v>
      </c>
      <c r="E183" s="14">
        <v>11.82</v>
      </c>
      <c r="F183" s="14">
        <v>1.47</v>
      </c>
      <c r="G183" s="14">
        <v>1.99</v>
      </c>
      <c r="H183" s="14">
        <v>20.8</v>
      </c>
      <c r="I183" s="14">
        <v>86</v>
      </c>
      <c r="J183" s="14">
        <v>1.98</v>
      </c>
      <c r="K183" s="14">
        <v>1.6</v>
      </c>
      <c r="L183" s="14">
        <v>0.29999999999999899</v>
      </c>
      <c r="M183" s="14">
        <v>1.53</v>
      </c>
      <c r="N183" s="14">
        <v>1.95</v>
      </c>
      <c r="O183" s="14">
        <v>0.94999999999999896</v>
      </c>
      <c r="P183" s="14">
        <v>3.33</v>
      </c>
      <c r="Q183">
        <v>495</v>
      </c>
    </row>
    <row r="184" spans="3:17" x14ac:dyDescent="0.25">
      <c r="C184" s="15" t="s">
        <v>347</v>
      </c>
      <c r="D184" s="14" t="s">
        <v>14</v>
      </c>
      <c r="E184" s="14">
        <v>12.77</v>
      </c>
      <c r="F184" s="14">
        <v>3.43</v>
      </c>
      <c r="G184" s="14">
        <v>1.98</v>
      </c>
      <c r="H184" s="14">
        <v>16</v>
      </c>
      <c r="I184" s="14">
        <v>80</v>
      </c>
      <c r="J184" s="14">
        <v>1.6299999999999899</v>
      </c>
      <c r="K184" s="14">
        <v>1.25</v>
      </c>
      <c r="L184" s="14">
        <v>0.42999999999999899</v>
      </c>
      <c r="M184" s="14">
        <v>0.82999999999999896</v>
      </c>
      <c r="N184" s="14">
        <v>3.3999999999999901</v>
      </c>
      <c r="O184" s="14">
        <v>0.69999999999999896</v>
      </c>
      <c r="P184" s="14">
        <v>2.12</v>
      </c>
      <c r="Q184">
        <v>372</v>
      </c>
    </row>
    <row r="185" spans="3:17" x14ac:dyDescent="0.25">
      <c r="C185" s="15" t="s">
        <v>350</v>
      </c>
      <c r="D185" s="14" t="s">
        <v>14</v>
      </c>
      <c r="E185" s="14">
        <v>11.56</v>
      </c>
      <c r="F185" s="14">
        <v>2.0499999999999901</v>
      </c>
      <c r="G185" s="14">
        <v>3.23</v>
      </c>
      <c r="H185" s="14">
        <v>28.5</v>
      </c>
      <c r="I185" s="14">
        <v>119</v>
      </c>
      <c r="J185" s="14">
        <v>3.18</v>
      </c>
      <c r="K185" s="14">
        <v>5.08</v>
      </c>
      <c r="L185" s="14">
        <v>0.46999999999999897</v>
      </c>
      <c r="M185" s="14">
        <v>1.87</v>
      </c>
      <c r="N185" s="14">
        <v>6</v>
      </c>
      <c r="O185" s="14">
        <v>0.93</v>
      </c>
      <c r="P185" s="14">
        <v>3.6899999999999902</v>
      </c>
      <c r="Q185">
        <v>465</v>
      </c>
    </row>
    <row r="186" spans="3:17" x14ac:dyDescent="0.25">
      <c r="C186" s="15" t="s">
        <v>351</v>
      </c>
      <c r="D186" s="14" t="s">
        <v>14</v>
      </c>
      <c r="E186" s="14">
        <v>12.42</v>
      </c>
      <c r="F186" s="14">
        <v>4.4299999999999899</v>
      </c>
      <c r="G186" s="14">
        <v>2.73</v>
      </c>
      <c r="H186" s="14">
        <v>26.5</v>
      </c>
      <c r="I186" s="14">
        <v>102</v>
      </c>
      <c r="J186" s="14">
        <v>2.2000000000000002</v>
      </c>
      <c r="K186" s="14">
        <v>2.1299999999999901</v>
      </c>
      <c r="L186" s="14">
        <v>0.42999999999999899</v>
      </c>
      <c r="M186" s="14">
        <v>1.71</v>
      </c>
      <c r="N186" s="14">
        <v>2.08</v>
      </c>
      <c r="O186" s="14">
        <v>0.92</v>
      </c>
      <c r="P186" s="14">
        <v>3.12</v>
      </c>
      <c r="Q186">
        <v>365</v>
      </c>
    </row>
    <row r="187" spans="3:17" x14ac:dyDescent="0.25">
      <c r="C187" s="15" t="s">
        <v>353</v>
      </c>
      <c r="D187" s="14" t="s">
        <v>14</v>
      </c>
      <c r="E187" s="14">
        <v>11.8699999999999</v>
      </c>
      <c r="F187" s="14">
        <v>4.3099999999999898</v>
      </c>
      <c r="G187" s="14">
        <v>2.39</v>
      </c>
      <c r="H187" s="14">
        <v>21</v>
      </c>
      <c r="I187" s="14">
        <v>82</v>
      </c>
      <c r="J187" s="14">
        <v>2.8599999999999901</v>
      </c>
      <c r="K187" s="14">
        <v>3.02999999999999</v>
      </c>
      <c r="L187" s="14">
        <v>0.20999999999999899</v>
      </c>
      <c r="M187" s="14">
        <v>2.91</v>
      </c>
      <c r="N187" s="14">
        <v>2.7999999999999901</v>
      </c>
      <c r="O187" s="14">
        <v>0.75</v>
      </c>
      <c r="P187" s="14">
        <v>3.64</v>
      </c>
      <c r="Q187">
        <v>380</v>
      </c>
    </row>
    <row r="188" spans="3:17" x14ac:dyDescent="0.25">
      <c r="C188" s="15" t="s">
        <v>355</v>
      </c>
      <c r="D188" s="14" t="s">
        <v>14</v>
      </c>
      <c r="E188" s="14">
        <v>12.43</v>
      </c>
      <c r="F188" s="14">
        <v>1.53</v>
      </c>
      <c r="G188" s="14">
        <v>2.29</v>
      </c>
      <c r="H188" s="14">
        <v>21.5</v>
      </c>
      <c r="I188" s="14">
        <v>86</v>
      </c>
      <c r="J188" s="14">
        <v>2.74</v>
      </c>
      <c r="K188" s="14">
        <v>3.1499999999999901</v>
      </c>
      <c r="L188" s="14">
        <v>0.39</v>
      </c>
      <c r="M188" s="14">
        <v>1.77</v>
      </c>
      <c r="N188" s="14">
        <v>3.9399999999999902</v>
      </c>
      <c r="O188" s="14">
        <v>0.68999999999999895</v>
      </c>
      <c r="P188" s="14">
        <v>2.8399999999999901</v>
      </c>
      <c r="Q188">
        <v>352</v>
      </c>
    </row>
    <row r="189" spans="3:17" x14ac:dyDescent="0.25">
      <c r="C189" s="15" t="s">
        <v>360</v>
      </c>
      <c r="D189" s="14" t="s">
        <v>15</v>
      </c>
      <c r="E189" s="14">
        <v>12.88</v>
      </c>
      <c r="F189" s="14">
        <v>2.99</v>
      </c>
      <c r="G189" s="14">
        <v>2.3999999999999901</v>
      </c>
      <c r="H189" s="14">
        <v>20</v>
      </c>
      <c r="I189" s="14">
        <v>104</v>
      </c>
      <c r="J189" s="14">
        <v>1.3</v>
      </c>
      <c r="K189" s="14">
        <v>1.22</v>
      </c>
      <c r="L189" s="14">
        <v>0.23999999999999899</v>
      </c>
      <c r="M189" s="14">
        <v>0.82999999999999896</v>
      </c>
      <c r="N189" s="14">
        <v>5.4</v>
      </c>
      <c r="O189" s="14">
        <v>0.73999999999999899</v>
      </c>
      <c r="P189" s="14">
        <v>1.4199999999999899</v>
      </c>
      <c r="Q189">
        <v>530</v>
      </c>
    </row>
    <row r="190" spans="3:17" x14ac:dyDescent="0.25">
      <c r="C190" s="15" t="s">
        <v>362</v>
      </c>
      <c r="D190" s="14" t="s">
        <v>15</v>
      </c>
      <c r="E190" s="14">
        <v>12.6999999999999</v>
      </c>
      <c r="F190" s="14">
        <v>3.5499999999999901</v>
      </c>
      <c r="G190" s="14">
        <v>2.3599999999999901</v>
      </c>
      <c r="H190" s="14">
        <v>21.5</v>
      </c>
      <c r="I190" s="14">
        <v>106</v>
      </c>
      <c r="J190" s="14">
        <v>1.7</v>
      </c>
      <c r="K190" s="14">
        <v>1.2</v>
      </c>
      <c r="L190" s="14">
        <v>0.17</v>
      </c>
      <c r="M190" s="14">
        <v>0.83999999999999897</v>
      </c>
      <c r="N190" s="14">
        <v>5</v>
      </c>
      <c r="O190" s="14">
        <v>0.78</v>
      </c>
      <c r="P190" s="14">
        <v>1.29</v>
      </c>
      <c r="Q190">
        <v>600</v>
      </c>
    </row>
    <row r="191" spans="3:17" x14ac:dyDescent="0.25">
      <c r="C191" s="15" t="s">
        <v>365</v>
      </c>
      <c r="D191" s="14" t="s">
        <v>15</v>
      </c>
      <c r="E191" s="14">
        <v>12.25</v>
      </c>
      <c r="F191" s="14">
        <v>4.71999999999999</v>
      </c>
      <c r="G191" s="14">
        <v>2.54</v>
      </c>
      <c r="H191" s="14">
        <v>21</v>
      </c>
      <c r="I191" s="14">
        <v>89</v>
      </c>
      <c r="J191" s="14">
        <v>1.3799999999999899</v>
      </c>
      <c r="K191" s="14">
        <v>0.46999999999999897</v>
      </c>
      <c r="L191" s="14">
        <v>0.53</v>
      </c>
      <c r="M191" s="14">
        <v>0.8</v>
      </c>
      <c r="N191" s="14">
        <v>3.85</v>
      </c>
      <c r="O191" s="14">
        <v>0.75</v>
      </c>
      <c r="P191" s="14">
        <v>1.27</v>
      </c>
      <c r="Q191">
        <v>720</v>
      </c>
    </row>
    <row r="192" spans="3:17" x14ac:dyDescent="0.25">
      <c r="C192" s="15" t="s">
        <v>367</v>
      </c>
      <c r="D192" s="14" t="s">
        <v>15</v>
      </c>
      <c r="E192" s="14">
        <v>13.49</v>
      </c>
      <c r="F192" s="14">
        <v>3.5899999999999901</v>
      </c>
      <c r="G192" s="14">
        <v>2.1899999999999902</v>
      </c>
      <c r="H192" s="14">
        <v>19.5</v>
      </c>
      <c r="I192" s="14">
        <v>88</v>
      </c>
      <c r="J192" s="14">
        <v>1.62</v>
      </c>
      <c r="K192" s="14">
        <v>0.47999999999999898</v>
      </c>
      <c r="L192" s="14">
        <v>0.57999999999999896</v>
      </c>
      <c r="M192" s="14">
        <v>0.88</v>
      </c>
      <c r="N192" s="14">
        <v>5.7</v>
      </c>
      <c r="O192" s="14">
        <v>0.81</v>
      </c>
      <c r="P192" s="14">
        <v>1.82</v>
      </c>
      <c r="Q192">
        <v>580</v>
      </c>
    </row>
    <row r="193" spans="3:17" x14ac:dyDescent="0.25">
      <c r="C193" s="15" t="s">
        <v>370</v>
      </c>
      <c r="D193" s="14" t="s">
        <v>15</v>
      </c>
      <c r="E193" s="14">
        <v>13.3599999999999</v>
      </c>
      <c r="F193" s="14">
        <v>2.56</v>
      </c>
      <c r="G193" s="14">
        <v>2.35</v>
      </c>
      <c r="H193" s="14">
        <v>20</v>
      </c>
      <c r="I193" s="14">
        <v>89</v>
      </c>
      <c r="J193" s="14">
        <v>1.3999999999999899</v>
      </c>
      <c r="K193" s="14">
        <v>0.5</v>
      </c>
      <c r="L193" s="14">
        <v>0.37</v>
      </c>
      <c r="M193" s="14">
        <v>0.64</v>
      </c>
      <c r="N193" s="14">
        <v>5.5999999999999899</v>
      </c>
      <c r="O193" s="14">
        <v>0.69999999999999896</v>
      </c>
      <c r="P193" s="14">
        <v>2.4700000000000002</v>
      </c>
      <c r="Q193">
        <v>780</v>
      </c>
    </row>
    <row r="194" spans="3:17" x14ac:dyDescent="0.25">
      <c r="C194" s="15" t="s">
        <v>371</v>
      </c>
      <c r="D194" s="14" t="s">
        <v>15</v>
      </c>
      <c r="E194" s="14">
        <v>13.52</v>
      </c>
      <c r="F194" s="14">
        <v>3.1699999999999902</v>
      </c>
      <c r="G194" s="14">
        <v>2.72</v>
      </c>
      <c r="H194" s="14">
        <v>23.5</v>
      </c>
      <c r="I194" s="14">
        <v>97</v>
      </c>
      <c r="J194" s="14">
        <v>1.55</v>
      </c>
      <c r="K194" s="14">
        <v>0.52</v>
      </c>
      <c r="L194" s="14">
        <v>0.5</v>
      </c>
      <c r="M194" s="14">
        <v>0.55000000000000004</v>
      </c>
      <c r="N194" s="14">
        <v>4.3499999999999899</v>
      </c>
      <c r="O194" s="14">
        <v>0.89</v>
      </c>
      <c r="P194" s="14">
        <v>2.06</v>
      </c>
      <c r="Q194">
        <v>520</v>
      </c>
    </row>
    <row r="195" spans="3:17" x14ac:dyDescent="0.25">
      <c r="C195" s="15" t="s">
        <v>373</v>
      </c>
      <c r="D195" s="14" t="s">
        <v>15</v>
      </c>
      <c r="E195" s="14">
        <v>12.25</v>
      </c>
      <c r="F195" s="14">
        <v>3.8799999999999901</v>
      </c>
      <c r="G195" s="14">
        <v>2.2000000000000002</v>
      </c>
      <c r="H195" s="14">
        <v>18.5</v>
      </c>
      <c r="I195" s="14">
        <v>112</v>
      </c>
      <c r="J195" s="14">
        <v>1.3799999999999899</v>
      </c>
      <c r="K195" s="14">
        <v>0.78</v>
      </c>
      <c r="L195" s="14">
        <v>0.28999999999999898</v>
      </c>
      <c r="M195" s="14">
        <v>1.1399999999999899</v>
      </c>
      <c r="N195" s="14">
        <v>8.2100000000000009</v>
      </c>
      <c r="O195" s="14">
        <v>0.65</v>
      </c>
      <c r="P195" s="14">
        <v>2</v>
      </c>
      <c r="Q195">
        <v>855</v>
      </c>
    </row>
    <row r="196" spans="3:17" x14ac:dyDescent="0.25">
      <c r="C196" s="15" t="s">
        <v>375</v>
      </c>
      <c r="D196" s="14" t="s">
        <v>15</v>
      </c>
      <c r="E196" s="14">
        <v>13.88</v>
      </c>
      <c r="F196" s="14">
        <v>5.04</v>
      </c>
      <c r="G196" s="14">
        <v>2.23</v>
      </c>
      <c r="H196" s="14">
        <v>20</v>
      </c>
      <c r="I196" s="14">
        <v>80</v>
      </c>
      <c r="J196" s="14">
        <v>0.97999999999999898</v>
      </c>
      <c r="K196" s="14">
        <v>0.34</v>
      </c>
      <c r="L196" s="14">
        <v>0.4</v>
      </c>
      <c r="M196" s="14">
        <v>0.68</v>
      </c>
      <c r="N196" s="14">
        <v>4.9000000000000004</v>
      </c>
      <c r="O196" s="14">
        <v>0.57999999999999896</v>
      </c>
      <c r="P196" s="14">
        <v>1.33</v>
      </c>
      <c r="Q196">
        <v>415</v>
      </c>
    </row>
    <row r="197" spans="3:17" x14ac:dyDescent="0.25">
      <c r="C197" s="15" t="s">
        <v>376</v>
      </c>
      <c r="D197" s="14" t="s">
        <v>15</v>
      </c>
      <c r="E197" s="14">
        <v>12.8699999999999</v>
      </c>
      <c r="F197" s="14">
        <v>4.6100000000000003</v>
      </c>
      <c r="G197" s="14">
        <v>2.48</v>
      </c>
      <c r="H197" s="14">
        <v>21.5</v>
      </c>
      <c r="I197" s="14">
        <v>86</v>
      </c>
      <c r="J197" s="14">
        <v>1.7</v>
      </c>
      <c r="K197" s="14">
        <v>0.65</v>
      </c>
      <c r="L197" s="14">
        <v>0.46999999999999897</v>
      </c>
      <c r="M197" s="14">
        <v>0.85999999999999899</v>
      </c>
      <c r="N197" s="14">
        <v>7.65</v>
      </c>
      <c r="O197" s="14">
        <v>0.54</v>
      </c>
      <c r="P197" s="14">
        <v>1.86</v>
      </c>
      <c r="Q197">
        <v>625</v>
      </c>
    </row>
    <row r="198" spans="3:17" x14ac:dyDescent="0.25">
      <c r="C198" s="15" t="s">
        <v>377</v>
      </c>
      <c r="D198" s="14" t="s">
        <v>15</v>
      </c>
      <c r="E198" s="14">
        <v>13.32</v>
      </c>
      <c r="F198" s="14">
        <v>3.24</v>
      </c>
      <c r="G198" s="14">
        <v>2.3799999999999901</v>
      </c>
      <c r="H198" s="14">
        <v>21.5</v>
      </c>
      <c r="I198" s="14">
        <v>92</v>
      </c>
      <c r="J198" s="14">
        <v>1.9299999999999899</v>
      </c>
      <c r="K198" s="14">
        <v>0.76</v>
      </c>
      <c r="L198" s="14">
        <v>0.45</v>
      </c>
      <c r="M198" s="14">
        <v>1.25</v>
      </c>
      <c r="N198" s="14">
        <v>8.4199999999999893</v>
      </c>
      <c r="O198" s="14">
        <v>0.55000000000000004</v>
      </c>
      <c r="P198" s="14">
        <v>1.62</v>
      </c>
      <c r="Q198">
        <v>650</v>
      </c>
    </row>
    <row r="199" spans="3:17" x14ac:dyDescent="0.25">
      <c r="C199" s="15" t="s">
        <v>381</v>
      </c>
      <c r="D199" s="14" t="s">
        <v>15</v>
      </c>
      <c r="E199" s="14">
        <v>13.1099999999999</v>
      </c>
      <c r="F199" s="14">
        <v>1.8999999999999899</v>
      </c>
      <c r="G199" s="14">
        <v>2.75</v>
      </c>
      <c r="H199" s="14">
        <v>25.5</v>
      </c>
      <c r="I199" s="14">
        <v>116</v>
      </c>
      <c r="J199" s="14">
        <v>2.2000000000000002</v>
      </c>
      <c r="K199" s="14">
        <v>1.28</v>
      </c>
      <c r="L199" s="14">
        <v>0.26</v>
      </c>
      <c r="M199" s="14">
        <v>1.56</v>
      </c>
      <c r="N199" s="14">
        <v>7.0999999999999899</v>
      </c>
      <c r="O199" s="14">
        <v>0.60999999999999899</v>
      </c>
      <c r="P199" s="14">
        <v>1.33</v>
      </c>
      <c r="Q199">
        <v>425</v>
      </c>
    </row>
    <row r="200" spans="3:17" x14ac:dyDescent="0.25">
      <c r="C200" s="15" t="s">
        <v>384</v>
      </c>
      <c r="D200" s="14" t="s">
        <v>15</v>
      </c>
      <c r="E200" s="14">
        <v>13.17</v>
      </c>
      <c r="F200" s="14">
        <v>5.19</v>
      </c>
      <c r="G200" s="14">
        <v>2.3199999999999901</v>
      </c>
      <c r="H200" s="14">
        <v>22</v>
      </c>
      <c r="I200" s="14">
        <v>93</v>
      </c>
      <c r="J200" s="14">
        <v>1.74</v>
      </c>
      <c r="K200" s="14">
        <v>0.63</v>
      </c>
      <c r="L200" s="14">
        <v>0.60999999999999899</v>
      </c>
      <c r="M200" s="14">
        <v>1.55</v>
      </c>
      <c r="N200" s="14">
        <v>7.9</v>
      </c>
      <c r="O200" s="14">
        <v>0.59999999999999898</v>
      </c>
      <c r="P200" s="14">
        <v>1.48</v>
      </c>
      <c r="Q200">
        <v>725</v>
      </c>
    </row>
    <row r="201" spans="3:17" x14ac:dyDescent="0.25">
      <c r="C201" s="15" t="s">
        <v>388</v>
      </c>
      <c r="D201" s="14" t="s">
        <v>15</v>
      </c>
      <c r="E201" s="14">
        <v>13.48</v>
      </c>
      <c r="F201" s="14">
        <v>1.6699999999999899</v>
      </c>
      <c r="G201" s="14">
        <v>2.64</v>
      </c>
      <c r="H201" s="14">
        <v>22.5</v>
      </c>
      <c r="I201" s="14">
        <v>89</v>
      </c>
      <c r="J201" s="14">
        <v>2.6</v>
      </c>
      <c r="K201" s="14">
        <v>1.1000000000000001</v>
      </c>
      <c r="L201" s="14">
        <v>0.52</v>
      </c>
      <c r="M201" s="14">
        <v>2.29</v>
      </c>
      <c r="N201" s="14">
        <v>11.75</v>
      </c>
      <c r="O201" s="14">
        <v>0.56999999999999895</v>
      </c>
      <c r="P201" s="14">
        <v>1.78</v>
      </c>
      <c r="Q201">
        <v>620</v>
      </c>
    </row>
    <row r="202" spans="3:17" x14ac:dyDescent="0.25">
      <c r="C202" s="15" t="s">
        <v>389</v>
      </c>
      <c r="D202" s="14" t="s">
        <v>15</v>
      </c>
      <c r="E202" s="14">
        <v>12.3599999999999</v>
      </c>
      <c r="F202" s="14">
        <v>3.83</v>
      </c>
      <c r="G202" s="14">
        <v>2.3799999999999901</v>
      </c>
      <c r="H202" s="14">
        <v>21</v>
      </c>
      <c r="I202" s="14">
        <v>88</v>
      </c>
      <c r="J202" s="14">
        <v>2.2999999999999901</v>
      </c>
      <c r="K202" s="14">
        <v>0.92</v>
      </c>
      <c r="L202" s="14">
        <v>0.5</v>
      </c>
      <c r="M202" s="14">
        <v>1.04</v>
      </c>
      <c r="N202" s="14">
        <v>7.65</v>
      </c>
      <c r="O202" s="14">
        <v>0.56000000000000005</v>
      </c>
      <c r="P202" s="14">
        <v>1.58</v>
      </c>
      <c r="Q202">
        <v>520</v>
      </c>
    </row>
    <row r="203" spans="3:17" x14ac:dyDescent="0.25">
      <c r="C203" s="15" t="s">
        <v>390</v>
      </c>
      <c r="D203" s="14" t="s">
        <v>15</v>
      </c>
      <c r="E203" s="14">
        <v>13.69</v>
      </c>
      <c r="F203" s="14">
        <v>3.25999999999999</v>
      </c>
      <c r="G203" s="14">
        <v>2.54</v>
      </c>
      <c r="H203" s="14">
        <v>20</v>
      </c>
      <c r="I203" s="14">
        <v>107</v>
      </c>
      <c r="J203" s="14">
        <v>1.83</v>
      </c>
      <c r="K203" s="14">
        <v>0.56000000000000005</v>
      </c>
      <c r="L203" s="14">
        <v>0.5</v>
      </c>
      <c r="M203" s="14">
        <v>0.8</v>
      </c>
      <c r="N203" s="14">
        <v>5.8799999999999901</v>
      </c>
      <c r="O203" s="14">
        <v>0.95999999999999897</v>
      </c>
      <c r="P203" s="14">
        <v>1.82</v>
      </c>
      <c r="Q203">
        <v>680</v>
      </c>
    </row>
    <row r="204" spans="3:17" x14ac:dyDescent="0.25">
      <c r="C204" s="15" t="s">
        <v>393</v>
      </c>
      <c r="D204" s="14" t="s">
        <v>15</v>
      </c>
      <c r="E204" s="14">
        <v>13.7799999999999</v>
      </c>
      <c r="F204" s="14">
        <v>2.75999999999999</v>
      </c>
      <c r="G204" s="14">
        <v>2.2999999999999901</v>
      </c>
      <c r="H204" s="14">
        <v>19.682317073170701</v>
      </c>
      <c r="I204" s="14">
        <v>90</v>
      </c>
      <c r="J204" s="14">
        <v>1.35</v>
      </c>
      <c r="K204" s="14">
        <v>0.68</v>
      </c>
      <c r="L204" s="14">
        <v>0.40999999999999898</v>
      </c>
      <c r="M204" s="14">
        <v>1.03</v>
      </c>
      <c r="N204" s="14">
        <v>9.58</v>
      </c>
      <c r="O204" s="14">
        <v>0.69999999999999896</v>
      </c>
      <c r="P204" s="14">
        <v>1.6799999999999899</v>
      </c>
      <c r="Q204">
        <v>615</v>
      </c>
    </row>
    <row r="205" spans="3:17" x14ac:dyDescent="0.25">
      <c r="C205" s="15" t="s">
        <v>394</v>
      </c>
      <c r="D205" s="14" t="s">
        <v>15</v>
      </c>
      <c r="E205" s="14">
        <v>13.73</v>
      </c>
      <c r="F205" s="14">
        <v>4.3600000000000003</v>
      </c>
      <c r="G205" s="14">
        <v>2.25999999999999</v>
      </c>
      <c r="H205" s="14">
        <v>22.5</v>
      </c>
      <c r="I205" s="14">
        <v>88</v>
      </c>
      <c r="J205" s="14">
        <v>1.28</v>
      </c>
      <c r="K205" s="14">
        <v>0.46999999999999897</v>
      </c>
      <c r="L205" s="14">
        <v>0.52</v>
      </c>
      <c r="M205" s="14">
        <v>1.1499999999999899</v>
      </c>
      <c r="N205" s="14">
        <v>6.62</v>
      </c>
      <c r="O205" s="14">
        <v>0.78</v>
      </c>
      <c r="P205" s="14">
        <v>1.75</v>
      </c>
      <c r="Q205">
        <v>520</v>
      </c>
    </row>
    <row r="206" spans="3:17" x14ac:dyDescent="0.25">
      <c r="C206" s="15" t="s">
        <v>395</v>
      </c>
      <c r="D206" s="14" t="s">
        <v>15</v>
      </c>
      <c r="E206" s="14">
        <v>13.4499999999999</v>
      </c>
      <c r="F206" s="14">
        <v>3.7</v>
      </c>
      <c r="G206" s="14">
        <v>2.6</v>
      </c>
      <c r="H206" s="14">
        <v>23</v>
      </c>
      <c r="I206" s="14">
        <v>111</v>
      </c>
      <c r="J206" s="14">
        <v>1.7</v>
      </c>
      <c r="K206" s="14">
        <v>0.92</v>
      </c>
      <c r="L206" s="14">
        <v>0.42999999999999899</v>
      </c>
      <c r="M206" s="14">
        <v>1.46</v>
      </c>
      <c r="N206" s="14">
        <v>10.68</v>
      </c>
      <c r="O206" s="14">
        <v>0.84999999999999898</v>
      </c>
      <c r="P206" s="14">
        <v>1.56</v>
      </c>
      <c r="Q206">
        <v>695</v>
      </c>
    </row>
    <row r="207" spans="3:17" x14ac:dyDescent="0.25">
      <c r="C207" s="15" t="s">
        <v>396</v>
      </c>
      <c r="D207" s="14" t="s">
        <v>15</v>
      </c>
      <c r="E207" s="14">
        <v>12.82</v>
      </c>
      <c r="F207" s="14">
        <v>3.37</v>
      </c>
      <c r="G207" s="14">
        <v>2.2999999999999901</v>
      </c>
      <c r="H207" s="14">
        <v>19.5</v>
      </c>
      <c r="I207" s="14">
        <v>88</v>
      </c>
      <c r="J207" s="14">
        <v>1.48</v>
      </c>
      <c r="K207" s="14">
        <v>0.66</v>
      </c>
      <c r="L207" s="14">
        <v>0.4</v>
      </c>
      <c r="M207" s="14">
        <v>0.96999999999999897</v>
      </c>
      <c r="N207" s="14">
        <v>10.26</v>
      </c>
      <c r="O207" s="14">
        <v>0.71999999999999897</v>
      </c>
      <c r="P207" s="14">
        <v>1.75</v>
      </c>
      <c r="Q207">
        <v>685</v>
      </c>
    </row>
    <row r="208" spans="3:17" x14ac:dyDescent="0.25">
      <c r="C208" s="15" t="s">
        <v>397</v>
      </c>
      <c r="D208" s="14" t="s">
        <v>15</v>
      </c>
      <c r="E208" s="14">
        <v>13.58</v>
      </c>
      <c r="F208" s="14">
        <v>2.58</v>
      </c>
      <c r="G208" s="14">
        <v>2.6899999999999902</v>
      </c>
      <c r="H208" s="14">
        <v>24.5</v>
      </c>
      <c r="I208" s="14">
        <v>105</v>
      </c>
      <c r="J208" s="14">
        <v>1.55</v>
      </c>
      <c r="K208" s="14">
        <v>0.83999999999999897</v>
      </c>
      <c r="L208" s="14">
        <v>0.36538226299694199</v>
      </c>
      <c r="M208" s="14">
        <v>1.54</v>
      </c>
      <c r="N208" s="14">
        <v>8.66</v>
      </c>
      <c r="O208" s="14">
        <v>0.73999999999999899</v>
      </c>
      <c r="P208" s="14">
        <v>1.8</v>
      </c>
      <c r="Q208">
        <v>750</v>
      </c>
    </row>
    <row r="209" spans="3:17" x14ac:dyDescent="0.25">
      <c r="C209" s="15" t="s">
        <v>398</v>
      </c>
      <c r="D209" s="14" t="s">
        <v>15</v>
      </c>
      <c r="E209" s="14">
        <v>13.4</v>
      </c>
      <c r="F209" s="14">
        <v>4.5999999999999899</v>
      </c>
      <c r="G209" s="14">
        <v>2.8599999999999901</v>
      </c>
      <c r="H209" s="14">
        <v>25</v>
      </c>
      <c r="I209" s="14">
        <v>112</v>
      </c>
      <c r="J209" s="14">
        <v>1.98</v>
      </c>
      <c r="K209" s="14">
        <v>0.95999999999999897</v>
      </c>
      <c r="L209" s="14">
        <v>0.27</v>
      </c>
      <c r="M209" s="14">
        <v>1.1100000000000001</v>
      </c>
      <c r="N209" s="14">
        <v>8.5</v>
      </c>
      <c r="O209" s="14">
        <v>0.67</v>
      </c>
      <c r="P209" s="14">
        <v>1.9199999999999899</v>
      </c>
      <c r="Q209">
        <v>630</v>
      </c>
    </row>
    <row r="210" spans="3:17" x14ac:dyDescent="0.25">
      <c r="C210" s="15" t="s">
        <v>400</v>
      </c>
      <c r="D210" s="14" t="s">
        <v>15</v>
      </c>
      <c r="E210" s="14">
        <v>12.77</v>
      </c>
      <c r="F210" s="14">
        <v>2.39</v>
      </c>
      <c r="G210" s="14">
        <v>2.27999999999999</v>
      </c>
      <c r="H210" s="14">
        <v>19.5</v>
      </c>
      <c r="I210" s="14">
        <v>86</v>
      </c>
      <c r="J210" s="14">
        <v>1.3899999999999899</v>
      </c>
      <c r="K210" s="14">
        <v>0.51</v>
      </c>
      <c r="L210" s="14">
        <v>0.47999999999999898</v>
      </c>
      <c r="M210" s="14">
        <v>0.64</v>
      </c>
      <c r="N210" s="14">
        <v>9.8999989999999904</v>
      </c>
      <c r="O210" s="14">
        <v>0.56999999999999895</v>
      </c>
      <c r="P210" s="14">
        <v>1.6299999999999899</v>
      </c>
      <c r="Q210">
        <v>470</v>
      </c>
    </row>
    <row r="211" spans="3:17" x14ac:dyDescent="0.25">
      <c r="C211" s="15" t="s">
        <v>402</v>
      </c>
      <c r="D211" s="14" t="s">
        <v>15</v>
      </c>
      <c r="E211" s="14">
        <v>13.71</v>
      </c>
      <c r="F211" s="14">
        <v>5.65</v>
      </c>
      <c r="G211" s="14">
        <v>2.4500000000000002</v>
      </c>
      <c r="H211" s="14">
        <v>20.5</v>
      </c>
      <c r="I211" s="14">
        <v>95</v>
      </c>
      <c r="J211" s="14">
        <v>1.6799999999999899</v>
      </c>
      <c r="K211" s="14">
        <v>0.60999999999999899</v>
      </c>
      <c r="L211" s="14">
        <v>0.52</v>
      </c>
      <c r="M211" s="14">
        <v>1.06</v>
      </c>
      <c r="N211" s="14">
        <v>7.7</v>
      </c>
      <c r="O211" s="14">
        <v>0.64</v>
      </c>
      <c r="P211" s="14">
        <v>1.74</v>
      </c>
      <c r="Q211">
        <v>740</v>
      </c>
    </row>
    <row r="212" spans="3:17" x14ac:dyDescent="0.25">
      <c r="C212" s="15" t="s">
        <v>178</v>
      </c>
      <c r="D212" s="14" t="s">
        <v>14</v>
      </c>
      <c r="E212" s="14">
        <v>12.51</v>
      </c>
      <c r="F212" s="14">
        <v>1.73</v>
      </c>
      <c r="G212" s="14">
        <v>1.98</v>
      </c>
      <c r="H212" s="14">
        <v>20.5</v>
      </c>
      <c r="I212" s="14">
        <v>85</v>
      </c>
      <c r="J212" s="14">
        <v>2.2000000000000002</v>
      </c>
      <c r="K212" s="14">
        <v>1.9199999999999899</v>
      </c>
      <c r="L212" s="14">
        <v>0.32</v>
      </c>
      <c r="M212" s="14">
        <v>1.48</v>
      </c>
      <c r="N212" s="14">
        <v>2.9399999999999902</v>
      </c>
      <c r="O212" s="14">
        <v>1.04</v>
      </c>
      <c r="P212" s="14">
        <v>3.5699999999999901</v>
      </c>
      <c r="Q212">
        <v>672</v>
      </c>
    </row>
    <row r="213" spans="3:17" x14ac:dyDescent="0.25">
      <c r="C213" s="15" t="s">
        <v>143</v>
      </c>
      <c r="D213" s="14" t="s">
        <v>14</v>
      </c>
      <c r="E213" s="14">
        <v>12.21</v>
      </c>
      <c r="F213" s="14">
        <v>1.18999999999999</v>
      </c>
      <c r="G213" s="14">
        <v>1.75</v>
      </c>
      <c r="H213" s="14">
        <v>16.8</v>
      </c>
      <c r="I213" s="14">
        <v>151</v>
      </c>
      <c r="J213" s="14">
        <v>1.85</v>
      </c>
      <c r="K213" s="14">
        <v>1.28</v>
      </c>
      <c r="L213" s="14">
        <v>0.14000000000000001</v>
      </c>
      <c r="M213" s="14">
        <v>2.5</v>
      </c>
      <c r="N213" s="14">
        <v>2.85</v>
      </c>
      <c r="O213" s="14">
        <v>1.28</v>
      </c>
      <c r="P213" s="14">
        <v>3.0699999999999901</v>
      </c>
      <c r="Q213">
        <v>718</v>
      </c>
    </row>
    <row r="214" spans="3:17" x14ac:dyDescent="0.25">
      <c r="C214" s="15" t="s">
        <v>368</v>
      </c>
      <c r="D214" s="14" t="s">
        <v>15</v>
      </c>
      <c r="E214" s="14">
        <v>12.84</v>
      </c>
      <c r="F214" s="14">
        <v>2.96</v>
      </c>
      <c r="G214" s="14">
        <v>2.6099999999999901</v>
      </c>
      <c r="H214" s="14">
        <v>24</v>
      </c>
      <c r="I214" s="14">
        <v>101</v>
      </c>
      <c r="J214" s="14">
        <v>2.3199999999999901</v>
      </c>
      <c r="K214" s="14">
        <v>0.59999999999999898</v>
      </c>
      <c r="L214" s="14">
        <v>0.53</v>
      </c>
      <c r="M214" s="14">
        <v>0.81</v>
      </c>
      <c r="N214" s="14">
        <v>4.9199999999999902</v>
      </c>
      <c r="O214" s="14">
        <v>0.89</v>
      </c>
      <c r="P214" s="14">
        <v>2.1499999999999901</v>
      </c>
      <c r="Q214">
        <v>590</v>
      </c>
    </row>
    <row r="215" spans="3:17" x14ac:dyDescent="0.25">
      <c r="C215" s="15" t="s">
        <v>297</v>
      </c>
      <c r="D215" s="14" t="s">
        <v>14</v>
      </c>
      <c r="E215" s="14">
        <v>13.34</v>
      </c>
      <c r="F215" s="14">
        <v>0.93999999999999895</v>
      </c>
      <c r="G215" s="14">
        <v>2.3599999999999901</v>
      </c>
      <c r="H215" s="14">
        <v>17</v>
      </c>
      <c r="I215" s="14">
        <v>110</v>
      </c>
      <c r="J215" s="14">
        <v>2.52999999999999</v>
      </c>
      <c r="K215" s="14">
        <v>1.3</v>
      </c>
      <c r="L215" s="14">
        <v>0.55000000000000004</v>
      </c>
      <c r="M215" s="14">
        <v>0.41999999999999899</v>
      </c>
      <c r="N215" s="14">
        <v>3.1699999999999902</v>
      </c>
      <c r="O215" s="14">
        <v>1.02</v>
      </c>
      <c r="P215" s="14">
        <v>1.9299999999999899</v>
      </c>
      <c r="Q215">
        <v>750</v>
      </c>
    </row>
    <row r="216" spans="3:17" x14ac:dyDescent="0.25">
      <c r="C216" s="15" t="s">
        <v>123</v>
      </c>
      <c r="D216" s="14" t="s">
        <v>13</v>
      </c>
      <c r="E216" s="14">
        <v>13.94</v>
      </c>
      <c r="F216" s="14">
        <v>1.73</v>
      </c>
      <c r="G216" s="14">
        <v>2.27</v>
      </c>
      <c r="H216" s="14">
        <v>17.399999999999899</v>
      </c>
      <c r="I216" s="14">
        <v>108</v>
      </c>
      <c r="J216" s="14">
        <v>2.8799999999999901</v>
      </c>
      <c r="K216" s="14">
        <v>3.54</v>
      </c>
      <c r="L216" s="14">
        <v>0.32</v>
      </c>
      <c r="M216" s="14">
        <v>2.08</v>
      </c>
      <c r="N216" s="14">
        <v>8.9</v>
      </c>
      <c r="O216" s="14">
        <v>1.1200000000000001</v>
      </c>
      <c r="P216" s="14">
        <v>3.1</v>
      </c>
      <c r="Q216">
        <v>1260</v>
      </c>
    </row>
    <row r="217" spans="3:17" x14ac:dyDescent="0.25">
      <c r="C217" s="15" t="s">
        <v>325</v>
      </c>
      <c r="D217" s="14" t="s">
        <v>14</v>
      </c>
      <c r="E217" s="14">
        <v>11.81</v>
      </c>
      <c r="F217" s="14">
        <v>2.12</v>
      </c>
      <c r="G217" s="14">
        <v>2.74</v>
      </c>
      <c r="H217" s="14">
        <v>21.5</v>
      </c>
      <c r="I217" s="14">
        <v>134</v>
      </c>
      <c r="J217" s="14">
        <v>1.6</v>
      </c>
      <c r="K217" s="14">
        <v>0.98999999999999899</v>
      </c>
      <c r="L217" s="14">
        <v>0.14000000000000001</v>
      </c>
      <c r="M217" s="14">
        <v>1.56</v>
      </c>
      <c r="N217" s="14">
        <v>2.5</v>
      </c>
      <c r="O217" s="14">
        <v>0.94999999999999896</v>
      </c>
      <c r="P217" s="14">
        <v>2.25999999999999</v>
      </c>
      <c r="Q217">
        <v>625</v>
      </c>
    </row>
    <row r="218" spans="3:17" x14ac:dyDescent="0.25">
      <c r="C218" s="15" t="s">
        <v>359</v>
      </c>
      <c r="D218" s="14" t="s">
        <v>15</v>
      </c>
      <c r="E218" s="14">
        <v>12.8599999999999</v>
      </c>
      <c r="F218" s="14">
        <v>1.35</v>
      </c>
      <c r="G218" s="14">
        <v>2.3199999999999901</v>
      </c>
      <c r="H218" s="14">
        <v>18</v>
      </c>
      <c r="I218" s="14">
        <v>122</v>
      </c>
      <c r="J218" s="14">
        <v>1.51</v>
      </c>
      <c r="K218" s="14">
        <v>1.25</v>
      </c>
      <c r="L218" s="14">
        <v>0.20999999999999899</v>
      </c>
      <c r="M218" s="14">
        <v>0.93999999999999895</v>
      </c>
      <c r="N218" s="14">
        <v>4.0999999999999899</v>
      </c>
      <c r="O218" s="14">
        <v>0.76</v>
      </c>
      <c r="P218" s="14">
        <v>1.29</v>
      </c>
      <c r="Q218">
        <v>630</v>
      </c>
    </row>
    <row r="219" spans="3:17" x14ac:dyDescent="0.25">
      <c r="C219" s="15" t="s">
        <v>190</v>
      </c>
      <c r="D219" s="14" t="s">
        <v>14</v>
      </c>
      <c r="E219" s="14">
        <v>11.82</v>
      </c>
      <c r="F219" s="14">
        <v>1.47</v>
      </c>
      <c r="G219" s="14">
        <v>1.99</v>
      </c>
      <c r="H219" s="14">
        <v>20.8</v>
      </c>
      <c r="I219" s="14">
        <v>86</v>
      </c>
      <c r="J219" s="14">
        <v>1.98</v>
      </c>
      <c r="K219" s="14">
        <v>1.6</v>
      </c>
      <c r="L219" s="14">
        <v>0.29999999999999899</v>
      </c>
      <c r="M219" s="14">
        <v>1.53</v>
      </c>
      <c r="N219" s="14">
        <v>1.95</v>
      </c>
      <c r="O219" s="14">
        <v>0.94999999999999896</v>
      </c>
      <c r="P219" s="14">
        <v>3.33</v>
      </c>
      <c r="Q219">
        <v>495</v>
      </c>
    </row>
    <row r="220" spans="3:17" x14ac:dyDescent="0.25">
      <c r="C220" s="15" t="s">
        <v>128</v>
      </c>
      <c r="D220" s="14" t="s">
        <v>13</v>
      </c>
      <c r="E220" s="14">
        <v>13.74</v>
      </c>
      <c r="F220" s="14">
        <v>1.6699999999999899</v>
      </c>
      <c r="G220" s="14">
        <v>2.25</v>
      </c>
      <c r="H220" s="14">
        <v>16.399999999999899</v>
      </c>
      <c r="I220" s="14">
        <v>118</v>
      </c>
      <c r="J220" s="14">
        <v>2.6</v>
      </c>
      <c r="K220" s="14">
        <v>2.8999999999999901</v>
      </c>
      <c r="L220" s="14">
        <v>0.20999999999999899</v>
      </c>
      <c r="M220" s="14">
        <v>1.62</v>
      </c>
      <c r="N220" s="14">
        <v>5.8499999999999899</v>
      </c>
      <c r="O220" s="14">
        <v>0.92</v>
      </c>
      <c r="P220" s="14">
        <v>3.2</v>
      </c>
      <c r="Q220">
        <v>1060</v>
      </c>
    </row>
    <row r="221" spans="3:17" x14ac:dyDescent="0.25">
      <c r="C221" s="15" t="s">
        <v>330</v>
      </c>
      <c r="D221" s="14" t="s">
        <v>14</v>
      </c>
      <c r="E221" s="14">
        <v>12.6</v>
      </c>
      <c r="F221" s="14">
        <v>1.34</v>
      </c>
      <c r="G221" s="14">
        <v>1.8999999999999899</v>
      </c>
      <c r="H221" s="14">
        <v>18.5</v>
      </c>
      <c r="I221" s="14">
        <v>88</v>
      </c>
      <c r="J221" s="14">
        <v>1.45</v>
      </c>
      <c r="K221" s="14">
        <v>1.36</v>
      </c>
      <c r="L221" s="14">
        <v>0.28999999999999898</v>
      </c>
      <c r="M221" s="14">
        <v>1.35</v>
      </c>
      <c r="N221" s="14">
        <v>2.4500000000000002</v>
      </c>
      <c r="O221" s="14">
        <v>1.04</v>
      </c>
      <c r="P221" s="14">
        <v>2.77</v>
      </c>
      <c r="Q221">
        <v>562</v>
      </c>
    </row>
    <row r="222" spans="3:17" x14ac:dyDescent="0.25">
      <c r="C222" s="15" t="s">
        <v>333</v>
      </c>
      <c r="D222" s="14" t="s">
        <v>14</v>
      </c>
      <c r="E222" s="14">
        <v>12.51</v>
      </c>
      <c r="F222" s="14">
        <v>1.73</v>
      </c>
      <c r="G222" s="14">
        <v>1.98</v>
      </c>
      <c r="H222" s="14">
        <v>20.5</v>
      </c>
      <c r="I222" s="14">
        <v>85</v>
      </c>
      <c r="J222" s="14">
        <v>2.2000000000000002</v>
      </c>
      <c r="K222" s="14">
        <v>1.9199999999999899</v>
      </c>
      <c r="L222" s="14">
        <v>0.32</v>
      </c>
      <c r="M222" s="14">
        <v>1.48</v>
      </c>
      <c r="N222" s="14">
        <v>2.9399999999999902</v>
      </c>
      <c r="O222" s="14">
        <v>1.04</v>
      </c>
      <c r="P222" s="14">
        <v>3.5699999999999901</v>
      </c>
      <c r="Q222">
        <v>672</v>
      </c>
    </row>
    <row r="223" spans="3:17" x14ac:dyDescent="0.25">
      <c r="C223" s="15" t="s">
        <v>150</v>
      </c>
      <c r="D223" s="14" t="s">
        <v>14</v>
      </c>
      <c r="E223" s="14">
        <v>13.0299999999999</v>
      </c>
      <c r="F223" s="14">
        <v>0.9</v>
      </c>
      <c r="G223" s="14">
        <v>1.71</v>
      </c>
      <c r="H223" s="14">
        <v>16</v>
      </c>
      <c r="I223" s="14">
        <v>86</v>
      </c>
      <c r="J223" s="14">
        <v>1.95</v>
      </c>
      <c r="K223" s="14">
        <v>2.02999999999999</v>
      </c>
      <c r="L223" s="14">
        <v>0.23999999999999899</v>
      </c>
      <c r="M223" s="14">
        <v>1.46</v>
      </c>
      <c r="N223" s="14">
        <v>4.5999999999999899</v>
      </c>
      <c r="O223" s="14">
        <v>1.18999999999999</v>
      </c>
      <c r="P223" s="14">
        <v>2.48</v>
      </c>
      <c r="Q223">
        <v>392</v>
      </c>
    </row>
    <row r="224" spans="3:17" x14ac:dyDescent="0.25">
      <c r="C224" s="15" t="s">
        <v>126</v>
      </c>
      <c r="D224" s="14" t="s">
        <v>13</v>
      </c>
      <c r="E224" s="14">
        <v>13.82</v>
      </c>
      <c r="F224" s="14">
        <v>1.75</v>
      </c>
      <c r="G224" s="14">
        <v>2.4199999999999902</v>
      </c>
      <c r="H224" s="14">
        <v>14</v>
      </c>
      <c r="I224" s="14">
        <v>111</v>
      </c>
      <c r="J224" s="14">
        <v>3.8799999999999901</v>
      </c>
      <c r="K224" s="14">
        <v>3.74</v>
      </c>
      <c r="L224" s="14">
        <v>0.32</v>
      </c>
      <c r="M224" s="14">
        <v>1.87</v>
      </c>
      <c r="N224" s="14">
        <v>7.0499999999999901</v>
      </c>
      <c r="O224" s="14">
        <v>1.01</v>
      </c>
      <c r="P224" s="14">
        <v>3.25999999999999</v>
      </c>
      <c r="Q224">
        <v>1190</v>
      </c>
    </row>
    <row r="225" spans="3:17" x14ac:dyDescent="0.25">
      <c r="C225" s="15" t="s">
        <v>198</v>
      </c>
      <c r="D225" s="14" t="s">
        <v>14</v>
      </c>
      <c r="E225" s="14">
        <v>11.8699999999999</v>
      </c>
      <c r="F225" s="14">
        <v>4.3099999999999898</v>
      </c>
      <c r="G225" s="14">
        <v>2.39</v>
      </c>
      <c r="H225" s="14">
        <v>21</v>
      </c>
      <c r="I225" s="14">
        <v>82</v>
      </c>
      <c r="J225" s="14">
        <v>2.8599999999999901</v>
      </c>
      <c r="K225" s="14">
        <v>3.02999999999999</v>
      </c>
      <c r="L225" s="14">
        <v>0.20999999999999899</v>
      </c>
      <c r="M225" s="14">
        <v>2.91</v>
      </c>
      <c r="N225" s="14">
        <v>2.7999999999999901</v>
      </c>
      <c r="O225" s="14">
        <v>0.75</v>
      </c>
      <c r="P225" s="14">
        <v>3.64</v>
      </c>
      <c r="Q225">
        <v>380</v>
      </c>
    </row>
    <row r="226" spans="3:17" x14ac:dyDescent="0.25">
      <c r="C226" s="15" t="s">
        <v>281</v>
      </c>
      <c r="D226" s="14" t="s">
        <v>13</v>
      </c>
      <c r="E226" s="14">
        <v>13.82</v>
      </c>
      <c r="F226" s="14">
        <v>1.75</v>
      </c>
      <c r="G226" s="14">
        <v>2.4199999999999902</v>
      </c>
      <c r="H226" s="14">
        <v>14</v>
      </c>
      <c r="I226" s="14">
        <v>111</v>
      </c>
      <c r="J226" s="14">
        <v>3.8799999999999901</v>
      </c>
      <c r="K226" s="14">
        <v>3.74</v>
      </c>
      <c r="L226" s="14">
        <v>0.32</v>
      </c>
      <c r="M226" s="14">
        <v>1.87</v>
      </c>
      <c r="N226" s="14">
        <v>7.0499999999999901</v>
      </c>
      <c r="O226" s="14">
        <v>1.01</v>
      </c>
      <c r="P226" s="14">
        <v>3.25999999999999</v>
      </c>
      <c r="Q226">
        <v>1190</v>
      </c>
    </row>
    <row r="227" spans="3:17" x14ac:dyDescent="0.25">
      <c r="C227" s="15" t="s">
        <v>227</v>
      </c>
      <c r="D227" s="14" t="s">
        <v>15</v>
      </c>
      <c r="E227" s="14">
        <v>13.23</v>
      </c>
      <c r="F227" s="14">
        <v>3.2999999999999901</v>
      </c>
      <c r="G227" s="14">
        <v>2.27999999999999</v>
      </c>
      <c r="H227" s="14">
        <v>18.5</v>
      </c>
      <c r="I227" s="14">
        <v>98</v>
      </c>
      <c r="J227" s="14">
        <v>1.8</v>
      </c>
      <c r="K227" s="14">
        <v>0.82999999999999896</v>
      </c>
      <c r="L227" s="14">
        <v>0.60999999999999899</v>
      </c>
      <c r="M227" s="14">
        <v>1.87</v>
      </c>
      <c r="N227" s="14">
        <v>10.52</v>
      </c>
      <c r="O227" s="14">
        <v>0.56000000000000005</v>
      </c>
      <c r="P227" s="14">
        <v>1.51</v>
      </c>
      <c r="Q227">
        <v>675</v>
      </c>
    </row>
    <row r="228" spans="3:17" x14ac:dyDescent="0.25">
      <c r="C228" s="15" t="s">
        <v>295</v>
      </c>
      <c r="D228" s="14" t="s">
        <v>14</v>
      </c>
      <c r="E228" s="14">
        <v>13.1099999999999</v>
      </c>
      <c r="F228" s="14">
        <v>1.01</v>
      </c>
      <c r="G228" s="14">
        <v>1.7</v>
      </c>
      <c r="H228" s="14">
        <v>15</v>
      </c>
      <c r="I228" s="14">
        <v>78</v>
      </c>
      <c r="J228" s="14">
        <v>2.98</v>
      </c>
      <c r="K228" s="14">
        <v>3.18</v>
      </c>
      <c r="L228" s="14">
        <v>0.26</v>
      </c>
      <c r="M228" s="14">
        <v>2.27999999999999</v>
      </c>
      <c r="N228" s="14">
        <v>5.2999999999999901</v>
      </c>
      <c r="O228" s="14">
        <v>1.1200000000000001</v>
      </c>
      <c r="P228" s="14">
        <v>3.18</v>
      </c>
      <c r="Q228">
        <v>502</v>
      </c>
    </row>
    <row r="229" spans="3:17" x14ac:dyDescent="0.25">
      <c r="C229" s="15" t="s">
        <v>75</v>
      </c>
      <c r="D229" s="14" t="s">
        <v>13</v>
      </c>
      <c r="E229" s="14">
        <v>13.1999999999999</v>
      </c>
      <c r="F229" s="14">
        <v>1.78</v>
      </c>
      <c r="G229" s="14">
        <v>2.14</v>
      </c>
      <c r="H229" s="14">
        <v>11.1999999999999</v>
      </c>
      <c r="I229" s="14">
        <v>100</v>
      </c>
      <c r="J229" s="14">
        <v>2.6499999999999901</v>
      </c>
      <c r="K229" s="14">
        <v>2.75999999999999</v>
      </c>
      <c r="L229" s="14">
        <v>0.26</v>
      </c>
      <c r="M229" s="14">
        <v>1.28</v>
      </c>
      <c r="N229" s="14">
        <v>4.3799999999999901</v>
      </c>
      <c r="O229" s="14">
        <v>1.05</v>
      </c>
      <c r="P229" s="14">
        <v>3.3999999999999901</v>
      </c>
      <c r="Q229">
        <v>1050</v>
      </c>
    </row>
    <row r="230" spans="3:17" x14ac:dyDescent="0.25">
      <c r="C230" s="15" t="s">
        <v>257</v>
      </c>
      <c r="D230" s="14" t="s">
        <v>13</v>
      </c>
      <c r="E230" s="14">
        <v>13.8699999999999</v>
      </c>
      <c r="F230" s="14">
        <v>1.8999999999999899</v>
      </c>
      <c r="G230" s="14">
        <v>2.7999999999999901</v>
      </c>
      <c r="H230" s="14">
        <v>19.399999999999899</v>
      </c>
      <c r="I230" s="14">
        <v>107</v>
      </c>
      <c r="J230" s="14">
        <v>2.95</v>
      </c>
      <c r="K230" s="14">
        <v>2.97</v>
      </c>
      <c r="L230" s="14">
        <v>0.37</v>
      </c>
      <c r="M230" s="14">
        <v>1.76</v>
      </c>
      <c r="N230" s="14">
        <v>4.5</v>
      </c>
      <c r="O230" s="14">
        <v>1.25</v>
      </c>
      <c r="P230" s="14">
        <v>3.3999999999999901</v>
      </c>
      <c r="Q230">
        <v>915</v>
      </c>
    </row>
    <row r="231" spans="3:17" x14ac:dyDescent="0.25">
      <c r="C231" s="15" t="s">
        <v>309</v>
      </c>
      <c r="D231" s="14" t="s">
        <v>14</v>
      </c>
      <c r="E231" s="14">
        <v>12</v>
      </c>
      <c r="F231" s="14">
        <v>0.92</v>
      </c>
      <c r="G231" s="14">
        <v>2</v>
      </c>
      <c r="H231" s="14">
        <v>19</v>
      </c>
      <c r="I231" s="14">
        <v>86</v>
      </c>
      <c r="J231" s="14">
        <v>2.4199999999999902</v>
      </c>
      <c r="K231" s="14">
        <v>2.25999999999999</v>
      </c>
      <c r="L231" s="14">
        <v>0.29999999999999899</v>
      </c>
      <c r="M231" s="14">
        <v>1.4299999999999899</v>
      </c>
      <c r="N231" s="14">
        <v>2.5</v>
      </c>
      <c r="O231" s="14">
        <v>1.3799999999999899</v>
      </c>
      <c r="P231" s="14">
        <v>3.12</v>
      </c>
      <c r="Q231">
        <v>278</v>
      </c>
    </row>
    <row r="232" spans="3:17" x14ac:dyDescent="0.25">
      <c r="C232" s="15" t="s">
        <v>302</v>
      </c>
      <c r="D232" s="14" t="s">
        <v>14</v>
      </c>
      <c r="E232" s="14">
        <v>12.99</v>
      </c>
      <c r="F232" s="14">
        <v>1.6699999999999899</v>
      </c>
      <c r="G232" s="14">
        <v>2.6</v>
      </c>
      <c r="H232" s="14">
        <v>30</v>
      </c>
      <c r="I232" s="14">
        <v>139</v>
      </c>
      <c r="J232" s="14">
        <v>3.2999999999999901</v>
      </c>
      <c r="K232" s="14">
        <v>2.89</v>
      </c>
      <c r="L232" s="14">
        <v>0.20999999999999899</v>
      </c>
      <c r="M232" s="14">
        <v>1.96</v>
      </c>
      <c r="N232" s="14">
        <v>3.35</v>
      </c>
      <c r="O232" s="14">
        <v>1.31</v>
      </c>
      <c r="P232" s="14">
        <v>3.5</v>
      </c>
      <c r="Q232">
        <v>985</v>
      </c>
    </row>
    <row r="233" spans="3:17" x14ac:dyDescent="0.25">
      <c r="C233" s="15" t="s">
        <v>177</v>
      </c>
      <c r="D233" s="14" t="s">
        <v>14</v>
      </c>
      <c r="E233" s="14">
        <v>11.82</v>
      </c>
      <c r="F233" s="14">
        <v>1.72</v>
      </c>
      <c r="G233" s="14">
        <v>1.8799999999999899</v>
      </c>
      <c r="H233" s="14">
        <v>19.5</v>
      </c>
      <c r="I233" s="14">
        <v>86</v>
      </c>
      <c r="J233" s="14">
        <v>2.5</v>
      </c>
      <c r="K233" s="14">
        <v>1.6399999999999899</v>
      </c>
      <c r="L233" s="14">
        <v>0.37</v>
      </c>
      <c r="M233" s="14">
        <v>1.4199999999999899</v>
      </c>
      <c r="N233" s="14">
        <v>2.06</v>
      </c>
      <c r="O233" s="14">
        <v>0.93999999999999895</v>
      </c>
      <c r="P233" s="14">
        <v>2.4399999999999902</v>
      </c>
      <c r="Q233">
        <v>415</v>
      </c>
    </row>
    <row r="234" spans="3:17" x14ac:dyDescent="0.25">
      <c r="C234" s="15" t="s">
        <v>236</v>
      </c>
      <c r="D234" s="14" t="s">
        <v>15</v>
      </c>
      <c r="E234" s="14">
        <v>12.85</v>
      </c>
      <c r="F234" s="14">
        <v>3.27</v>
      </c>
      <c r="G234" s="14">
        <v>2.58</v>
      </c>
      <c r="H234" s="14">
        <v>22</v>
      </c>
      <c r="I234" s="14">
        <v>106</v>
      </c>
      <c r="J234" s="14">
        <v>1.6499999999999899</v>
      </c>
      <c r="K234" s="14">
        <v>0.59999999999999898</v>
      </c>
      <c r="L234" s="14">
        <v>0.59999999999999898</v>
      </c>
      <c r="M234" s="14">
        <v>0.95999999999999897</v>
      </c>
      <c r="N234" s="14">
        <v>5.58</v>
      </c>
      <c r="O234" s="14">
        <v>0.87</v>
      </c>
      <c r="P234" s="14">
        <v>2.1099999999999901</v>
      </c>
      <c r="Q234">
        <v>570</v>
      </c>
    </row>
    <row r="235" spans="3:17" x14ac:dyDescent="0.25">
      <c r="C235" s="15" t="s">
        <v>363</v>
      </c>
      <c r="D235" s="14" t="s">
        <v>15</v>
      </c>
      <c r="E235" s="14">
        <v>12.51</v>
      </c>
      <c r="F235" s="14">
        <v>1.24</v>
      </c>
      <c r="G235" s="14">
        <v>2.25</v>
      </c>
      <c r="H235" s="14">
        <v>17.5</v>
      </c>
      <c r="I235" s="14">
        <v>85</v>
      </c>
      <c r="J235" s="14">
        <v>2</v>
      </c>
      <c r="K235" s="14">
        <v>0.57999999999999896</v>
      </c>
      <c r="L235" s="14">
        <v>0.59999999999999898</v>
      </c>
      <c r="M235" s="14">
        <v>1.25</v>
      </c>
      <c r="N235" s="14">
        <v>5.45</v>
      </c>
      <c r="O235" s="14">
        <v>0.75</v>
      </c>
      <c r="P235" s="14">
        <v>1.51</v>
      </c>
      <c r="Q235">
        <v>650</v>
      </c>
    </row>
    <row r="236" spans="3:17" x14ac:dyDescent="0.25">
      <c r="C236" s="15" t="s">
        <v>280</v>
      </c>
      <c r="D236" s="14" t="s">
        <v>13</v>
      </c>
      <c r="E236" s="14">
        <v>13.83</v>
      </c>
      <c r="F236" s="14">
        <v>1.6499999999999899</v>
      </c>
      <c r="G236" s="14">
        <v>2.6</v>
      </c>
      <c r="H236" s="14">
        <v>17.1999999999999</v>
      </c>
      <c r="I236" s="14">
        <v>94</v>
      </c>
      <c r="J236" s="14">
        <v>2.4500000000000002</v>
      </c>
      <c r="K236" s="14">
        <v>2.99</v>
      </c>
      <c r="L236" s="14">
        <v>0.22</v>
      </c>
      <c r="M236" s="14">
        <v>2.29</v>
      </c>
      <c r="N236" s="14">
        <v>5.5999999999999899</v>
      </c>
      <c r="O236" s="14">
        <v>1.24</v>
      </c>
      <c r="P236" s="14">
        <v>3.37</v>
      </c>
      <c r="Q236">
        <v>1265</v>
      </c>
    </row>
    <row r="237" spans="3:17" x14ac:dyDescent="0.25">
      <c r="C237" s="15" t="s">
        <v>401</v>
      </c>
      <c r="D237" s="14" t="s">
        <v>15</v>
      </c>
      <c r="E237" s="14">
        <v>14.16</v>
      </c>
      <c r="F237" s="14">
        <v>2.50999999999999</v>
      </c>
      <c r="G237" s="14">
        <v>2.48</v>
      </c>
      <c r="H237" s="14">
        <v>20</v>
      </c>
      <c r="I237" s="14">
        <v>91</v>
      </c>
      <c r="J237" s="14">
        <v>1.6799999999999899</v>
      </c>
      <c r="K237" s="14">
        <v>0.69999999999999896</v>
      </c>
      <c r="L237" s="14">
        <v>0.44</v>
      </c>
      <c r="M237" s="14">
        <v>1.24</v>
      </c>
      <c r="N237" s="14">
        <v>9.6999999999999904</v>
      </c>
      <c r="O237" s="14">
        <v>0.62</v>
      </c>
      <c r="P237" s="14">
        <v>1.71</v>
      </c>
      <c r="Q237">
        <v>660</v>
      </c>
    </row>
    <row r="238" spans="3:17" x14ac:dyDescent="0.25">
      <c r="C238" s="15" t="s">
        <v>199</v>
      </c>
      <c r="D238" s="14" t="s">
        <v>14</v>
      </c>
      <c r="E238" s="14">
        <v>12.07</v>
      </c>
      <c r="F238" s="14">
        <v>2.16</v>
      </c>
      <c r="G238" s="14">
        <v>2.1699999999999902</v>
      </c>
      <c r="H238" s="14">
        <v>21</v>
      </c>
      <c r="I238" s="14">
        <v>85</v>
      </c>
      <c r="J238" s="14">
        <v>2.6</v>
      </c>
      <c r="K238" s="14">
        <v>2.6499999999999901</v>
      </c>
      <c r="L238" s="14">
        <v>0.37</v>
      </c>
      <c r="M238" s="14">
        <v>1.35</v>
      </c>
      <c r="N238" s="14">
        <v>2.75999999999999</v>
      </c>
      <c r="O238" s="14">
        <v>0.85999999999999899</v>
      </c>
      <c r="P238" s="14">
        <v>3.27999999999999</v>
      </c>
      <c r="Q238">
        <v>378</v>
      </c>
    </row>
    <row r="239" spans="3:17" x14ac:dyDescent="0.25">
      <c r="C239" s="15" t="s">
        <v>301</v>
      </c>
      <c r="D239" s="14" t="s">
        <v>14</v>
      </c>
      <c r="E239" s="14">
        <v>13.49</v>
      </c>
      <c r="F239" s="14">
        <v>1.6599999999999899</v>
      </c>
      <c r="G239" s="14">
        <v>2.2400000000000002</v>
      </c>
      <c r="H239" s="14">
        <v>24</v>
      </c>
      <c r="I239" s="14">
        <v>87</v>
      </c>
      <c r="J239" s="14">
        <v>1.8799999999999899</v>
      </c>
      <c r="K239" s="14">
        <v>1.84</v>
      </c>
      <c r="L239" s="14">
        <v>0.27</v>
      </c>
      <c r="M239" s="14">
        <v>1.03</v>
      </c>
      <c r="N239" s="14">
        <v>3.74</v>
      </c>
      <c r="O239" s="14">
        <v>0.97999999999999898</v>
      </c>
      <c r="P239" s="14">
        <v>2.77999999999999</v>
      </c>
      <c r="Q239">
        <v>472</v>
      </c>
    </row>
    <row r="240" spans="3:17" x14ac:dyDescent="0.25">
      <c r="C240" s="15" t="s">
        <v>277</v>
      </c>
      <c r="D240" s="14" t="s">
        <v>13</v>
      </c>
      <c r="E240" s="14">
        <v>14.1</v>
      </c>
      <c r="F240" s="14">
        <v>2.02</v>
      </c>
      <c r="G240" s="14">
        <v>2.3999999999999901</v>
      </c>
      <c r="H240" s="14">
        <v>18.8</v>
      </c>
      <c r="I240" s="14">
        <v>103</v>
      </c>
      <c r="J240" s="14">
        <v>2.75</v>
      </c>
      <c r="K240" s="14">
        <v>2.9199999999999902</v>
      </c>
      <c r="L240" s="14">
        <v>0.32</v>
      </c>
      <c r="M240" s="14">
        <v>2.3799999999999901</v>
      </c>
      <c r="N240" s="14">
        <v>6.2</v>
      </c>
      <c r="O240" s="14">
        <v>1.07</v>
      </c>
      <c r="P240" s="14">
        <v>2.75</v>
      </c>
      <c r="Q240">
        <v>1060</v>
      </c>
    </row>
    <row r="241" spans="3:17" x14ac:dyDescent="0.25">
      <c r="C241" s="15" t="s">
        <v>308</v>
      </c>
      <c r="D241" s="14" t="s">
        <v>14</v>
      </c>
      <c r="E241" s="14">
        <v>12.6999999999999</v>
      </c>
      <c r="F241" s="14">
        <v>3.87</v>
      </c>
      <c r="G241" s="14">
        <v>2.3999999999999901</v>
      </c>
      <c r="H241" s="14">
        <v>23</v>
      </c>
      <c r="I241" s="14">
        <v>101</v>
      </c>
      <c r="J241" s="14">
        <v>2.83</v>
      </c>
      <c r="K241" s="14">
        <v>2.5499999999999901</v>
      </c>
      <c r="L241" s="14">
        <v>0.42999999999999899</v>
      </c>
      <c r="M241" s="14">
        <v>1.95</v>
      </c>
      <c r="N241" s="14">
        <v>2.5699999999999901</v>
      </c>
      <c r="O241" s="14">
        <v>1.18999999999999</v>
      </c>
      <c r="P241" s="14">
        <v>3.1299999999999901</v>
      </c>
      <c r="Q241">
        <v>463</v>
      </c>
    </row>
    <row r="242" spans="3:17" x14ac:dyDescent="0.25">
      <c r="C242" s="15" t="s">
        <v>243</v>
      </c>
      <c r="D242" s="14" t="s">
        <v>15</v>
      </c>
      <c r="E242" s="14">
        <v>13.4</v>
      </c>
      <c r="F242" s="14">
        <v>4.5999999999999899</v>
      </c>
      <c r="G242" s="14">
        <v>2.8599999999999901</v>
      </c>
      <c r="H242" s="14">
        <v>25</v>
      </c>
      <c r="I242" s="14">
        <v>112</v>
      </c>
      <c r="J242" s="14">
        <v>1.98</v>
      </c>
      <c r="K242" s="14">
        <v>0.95999999999999897</v>
      </c>
      <c r="L242" s="14">
        <v>0.27</v>
      </c>
      <c r="M242" s="14">
        <v>1.1100000000000001</v>
      </c>
      <c r="N242" s="14">
        <v>8.5</v>
      </c>
      <c r="O242" s="14">
        <v>0.67</v>
      </c>
      <c r="P242" s="14">
        <v>1.9199999999999899</v>
      </c>
      <c r="Q242">
        <v>630</v>
      </c>
    </row>
    <row r="243" spans="3:17" x14ac:dyDescent="0.25">
      <c r="C243" s="15" t="s">
        <v>86</v>
      </c>
      <c r="D243" s="14" t="s">
        <v>13</v>
      </c>
      <c r="E243" s="14">
        <v>13.75</v>
      </c>
      <c r="F243" s="14">
        <v>1.73</v>
      </c>
      <c r="G243" s="14">
        <v>2.41</v>
      </c>
      <c r="H243" s="14">
        <v>16</v>
      </c>
      <c r="I243" s="14">
        <v>89</v>
      </c>
      <c r="J243" s="14">
        <v>2.6</v>
      </c>
      <c r="K243" s="14">
        <v>2.75999999999999</v>
      </c>
      <c r="L243" s="14">
        <v>0.28999999999999898</v>
      </c>
      <c r="M243" s="14">
        <v>1.81</v>
      </c>
      <c r="N243" s="14">
        <v>5.5999999999999899</v>
      </c>
      <c r="O243" s="14">
        <v>1.1499999999999899</v>
      </c>
      <c r="P243" s="14">
        <v>2.8999999999999901</v>
      </c>
      <c r="Q243">
        <v>1320</v>
      </c>
    </row>
    <row r="244" spans="3:17" x14ac:dyDescent="0.25">
      <c r="C244" s="15" t="s">
        <v>296</v>
      </c>
      <c r="D244" s="14" t="s">
        <v>14</v>
      </c>
      <c r="E244" s="14">
        <v>12.3699999999999</v>
      </c>
      <c r="F244" s="14">
        <v>1.1699999999999899</v>
      </c>
      <c r="G244" s="14">
        <v>1.9199999999999899</v>
      </c>
      <c r="H244" s="14">
        <v>19.600000000000001</v>
      </c>
      <c r="I244" s="14">
        <v>78</v>
      </c>
      <c r="J244" s="14">
        <v>2.1099999999999901</v>
      </c>
      <c r="K244" s="14">
        <v>2</v>
      </c>
      <c r="L244" s="14">
        <v>0.27</v>
      </c>
      <c r="M244" s="14">
        <v>1.04</v>
      </c>
      <c r="N244" s="14">
        <v>4.6799999999999899</v>
      </c>
      <c r="O244" s="14">
        <v>1.1200000000000001</v>
      </c>
      <c r="P244" s="14">
        <v>3.48</v>
      </c>
      <c r="Q244">
        <v>510</v>
      </c>
    </row>
    <row r="245" spans="3:17" x14ac:dyDescent="0.25">
      <c r="C245" s="15" t="s">
        <v>316</v>
      </c>
      <c r="D245" s="14" t="s">
        <v>14</v>
      </c>
      <c r="E245" s="14">
        <v>11.65</v>
      </c>
      <c r="F245" s="14">
        <v>1.6699999999999899</v>
      </c>
      <c r="G245" s="14">
        <v>2.62</v>
      </c>
      <c r="H245" s="14">
        <v>26</v>
      </c>
      <c r="I245" s="14">
        <v>88</v>
      </c>
      <c r="J245" s="14">
        <v>1.9199999999999899</v>
      </c>
      <c r="K245" s="14">
        <v>1.61</v>
      </c>
      <c r="L245" s="14">
        <v>0.4</v>
      </c>
      <c r="M245" s="14">
        <v>1.34</v>
      </c>
      <c r="N245" s="14">
        <v>2.6</v>
      </c>
      <c r="O245" s="14">
        <v>1.36</v>
      </c>
      <c r="P245" s="14">
        <v>3.21</v>
      </c>
      <c r="Q245">
        <v>562</v>
      </c>
    </row>
    <row r="246" spans="3:17" x14ac:dyDescent="0.25">
      <c r="C246" s="15" t="s">
        <v>358</v>
      </c>
      <c r="D246" s="14" t="s">
        <v>14</v>
      </c>
      <c r="E246" s="14">
        <v>12.0399999999999</v>
      </c>
      <c r="F246" s="14">
        <v>4.2999999999999901</v>
      </c>
      <c r="G246" s="14">
        <v>2.3799999999999901</v>
      </c>
      <c r="H246" s="14">
        <v>22</v>
      </c>
      <c r="I246" s="14">
        <v>80</v>
      </c>
      <c r="J246" s="14">
        <v>2.1</v>
      </c>
      <c r="K246" s="14">
        <v>1.75</v>
      </c>
      <c r="L246" s="14">
        <v>0.41999999999999899</v>
      </c>
      <c r="M246" s="14">
        <v>1.35</v>
      </c>
      <c r="N246" s="14">
        <v>2.6</v>
      </c>
      <c r="O246" s="14">
        <v>0.79</v>
      </c>
      <c r="P246" s="14">
        <v>2.5699999999999901</v>
      </c>
      <c r="Q246">
        <v>580</v>
      </c>
    </row>
    <row r="247" spans="3:17" x14ac:dyDescent="0.25">
      <c r="C247" s="15" t="s">
        <v>391</v>
      </c>
      <c r="D247" s="14" t="s">
        <v>15</v>
      </c>
      <c r="E247" s="14">
        <v>12.85</v>
      </c>
      <c r="F247" s="14">
        <v>3.27</v>
      </c>
      <c r="G247" s="14">
        <v>2.58</v>
      </c>
      <c r="H247" s="14">
        <v>22</v>
      </c>
      <c r="I247" s="14">
        <v>106</v>
      </c>
      <c r="J247" s="14">
        <v>1.6499999999999899</v>
      </c>
      <c r="K247" s="14">
        <v>0.59999999999999898</v>
      </c>
      <c r="L247" s="14">
        <v>0.59999999999999898</v>
      </c>
      <c r="M247" s="14">
        <v>0.95999999999999897</v>
      </c>
      <c r="N247" s="14">
        <v>5.58</v>
      </c>
      <c r="O247" s="14">
        <v>0.87</v>
      </c>
      <c r="P247" s="14">
        <v>2.1099999999999901</v>
      </c>
      <c r="Q247">
        <v>570</v>
      </c>
    </row>
    <row r="248" spans="3:17" x14ac:dyDescent="0.25">
      <c r="C248" s="15" t="s">
        <v>387</v>
      </c>
      <c r="D248" s="14" t="s">
        <v>15</v>
      </c>
      <c r="E248" s="14">
        <v>14.34</v>
      </c>
      <c r="F248" s="14">
        <v>1.6799999999999899</v>
      </c>
      <c r="G248" s="14">
        <v>2.7</v>
      </c>
      <c r="H248" s="14">
        <v>25</v>
      </c>
      <c r="I248" s="14">
        <v>98</v>
      </c>
      <c r="J248" s="14">
        <v>2.7999999999999901</v>
      </c>
      <c r="K248" s="14">
        <v>1.31</v>
      </c>
      <c r="L248" s="14">
        <v>0.53</v>
      </c>
      <c r="M248" s="14">
        <v>2.7</v>
      </c>
      <c r="N248" s="14">
        <v>13</v>
      </c>
      <c r="O248" s="14">
        <v>0.56999999999999895</v>
      </c>
      <c r="P248" s="14">
        <v>1.96</v>
      </c>
      <c r="Q248">
        <v>660</v>
      </c>
    </row>
    <row r="249" spans="3:17" x14ac:dyDescent="0.25">
      <c r="C249" s="15" t="s">
        <v>111</v>
      </c>
      <c r="D249" s="14" t="s">
        <v>13</v>
      </c>
      <c r="E249" s="14">
        <v>13.05</v>
      </c>
      <c r="F249" s="14">
        <v>1.6499999999999899</v>
      </c>
      <c r="G249" s="14">
        <v>2.5499999999999901</v>
      </c>
      <c r="H249" s="14">
        <v>18</v>
      </c>
      <c r="I249" s="14">
        <v>98</v>
      </c>
      <c r="J249" s="14">
        <v>2.4500000000000002</v>
      </c>
      <c r="K249" s="14">
        <v>2.4300000000000002</v>
      </c>
      <c r="L249" s="14">
        <v>0.28999999999999898</v>
      </c>
      <c r="M249" s="14">
        <v>1.43999999999999</v>
      </c>
      <c r="N249" s="14">
        <v>4.25</v>
      </c>
      <c r="O249" s="14">
        <v>1.1200000000000001</v>
      </c>
      <c r="P249" s="14">
        <v>2.50999999999999</v>
      </c>
      <c r="Q249">
        <v>1105</v>
      </c>
    </row>
    <row r="250" spans="3:17" x14ac:dyDescent="0.25">
      <c r="C250" s="15" t="s">
        <v>172</v>
      </c>
      <c r="D250" s="14" t="s">
        <v>14</v>
      </c>
      <c r="E250" s="14">
        <v>12.3699999999999</v>
      </c>
      <c r="F250" s="14">
        <v>1.07</v>
      </c>
      <c r="G250" s="14">
        <v>2.1</v>
      </c>
      <c r="H250" s="14">
        <v>18.5</v>
      </c>
      <c r="I250" s="14">
        <v>88</v>
      </c>
      <c r="J250" s="14">
        <v>3.52</v>
      </c>
      <c r="K250" s="14">
        <v>3.75</v>
      </c>
      <c r="L250" s="14">
        <v>0.23999999999999899</v>
      </c>
      <c r="M250" s="14">
        <v>1.95</v>
      </c>
      <c r="N250" s="14">
        <v>4.5</v>
      </c>
      <c r="O250" s="14">
        <v>1.04</v>
      </c>
      <c r="P250" s="14">
        <v>2.77</v>
      </c>
      <c r="Q250">
        <v>660</v>
      </c>
    </row>
    <row r="251" spans="3:17" x14ac:dyDescent="0.25">
      <c r="C251" s="15" t="s">
        <v>321</v>
      </c>
      <c r="D251" s="14" t="s">
        <v>14</v>
      </c>
      <c r="E251" s="14">
        <v>12.69</v>
      </c>
      <c r="F251" s="14">
        <v>1.53</v>
      </c>
      <c r="G251" s="14">
        <v>2.25999999999999</v>
      </c>
      <c r="H251" s="14">
        <v>20.6999999999999</v>
      </c>
      <c r="I251" s="14">
        <v>80</v>
      </c>
      <c r="J251" s="14">
        <v>1.3799999999999899</v>
      </c>
      <c r="K251" s="14">
        <v>1.46</v>
      </c>
      <c r="L251" s="14">
        <v>0.57999999999999896</v>
      </c>
      <c r="M251" s="14">
        <v>1.62</v>
      </c>
      <c r="N251" s="14">
        <v>3.0499999999999901</v>
      </c>
      <c r="O251" s="14">
        <v>0.95999999999999897</v>
      </c>
      <c r="P251" s="14">
        <v>2.06</v>
      </c>
      <c r="Q251">
        <v>495</v>
      </c>
    </row>
    <row r="252" spans="3:17" x14ac:dyDescent="0.25">
      <c r="C252" s="15" t="s">
        <v>211</v>
      </c>
      <c r="D252" s="14" t="s">
        <v>15</v>
      </c>
      <c r="E252" s="14">
        <v>12.5299999999999</v>
      </c>
      <c r="F252" s="14">
        <v>5.50999999999999</v>
      </c>
      <c r="G252" s="14">
        <v>2.64</v>
      </c>
      <c r="H252" s="14">
        <v>25</v>
      </c>
      <c r="I252" s="14">
        <v>96</v>
      </c>
      <c r="J252" s="14">
        <v>1.79</v>
      </c>
      <c r="K252" s="14">
        <v>0.59999999999999898</v>
      </c>
      <c r="L252" s="14">
        <v>0.63</v>
      </c>
      <c r="M252" s="14">
        <v>1.1000000000000001</v>
      </c>
      <c r="N252" s="14">
        <v>5</v>
      </c>
      <c r="O252" s="14">
        <v>0.81999999999999895</v>
      </c>
      <c r="P252" s="14">
        <v>1.68999999999999</v>
      </c>
      <c r="Q252">
        <v>515</v>
      </c>
    </row>
    <row r="253" spans="3:17" x14ac:dyDescent="0.25">
      <c r="C253" s="15" t="s">
        <v>217</v>
      </c>
      <c r="D253" s="14" t="s">
        <v>15</v>
      </c>
      <c r="E253" s="14">
        <v>13.6199999999999</v>
      </c>
      <c r="F253" s="14">
        <v>4.95</v>
      </c>
      <c r="G253" s="14">
        <v>2.35</v>
      </c>
      <c r="H253" s="14">
        <v>20</v>
      </c>
      <c r="I253" s="14">
        <v>92</v>
      </c>
      <c r="J253" s="14">
        <v>2</v>
      </c>
      <c r="K253" s="14">
        <v>0.8</v>
      </c>
      <c r="L253" s="14">
        <v>0.46999999999999897</v>
      </c>
      <c r="M253" s="14">
        <v>1.02</v>
      </c>
      <c r="N253" s="14">
        <v>4.4000000000000004</v>
      </c>
      <c r="O253" s="14">
        <v>0.91</v>
      </c>
      <c r="P253" s="14">
        <v>2.0499999999999901</v>
      </c>
      <c r="Q253">
        <v>550</v>
      </c>
    </row>
    <row r="254" spans="3:17" x14ac:dyDescent="0.25">
      <c r="C254" s="15" t="s">
        <v>324</v>
      </c>
      <c r="D254" s="14" t="s">
        <v>14</v>
      </c>
      <c r="E254" s="14">
        <v>12.47</v>
      </c>
      <c r="F254" s="14">
        <v>1.52</v>
      </c>
      <c r="G254" s="14">
        <v>2.2000000000000002</v>
      </c>
      <c r="H254" s="14">
        <v>19</v>
      </c>
      <c r="I254" s="14">
        <v>162</v>
      </c>
      <c r="J254" s="14">
        <v>2.5</v>
      </c>
      <c r="K254" s="14">
        <v>2.27</v>
      </c>
      <c r="L254" s="14">
        <v>0.32</v>
      </c>
      <c r="M254" s="14">
        <v>3.27999999999999</v>
      </c>
      <c r="N254" s="14">
        <v>2.6</v>
      </c>
      <c r="O254" s="14">
        <v>1.1599999999999899</v>
      </c>
      <c r="P254" s="14">
        <v>2.6299999999999901</v>
      </c>
      <c r="Q254">
        <v>937</v>
      </c>
    </row>
    <row r="255" spans="3:17" x14ac:dyDescent="0.25">
      <c r="C255" s="15" t="s">
        <v>104</v>
      </c>
      <c r="D255" s="14" t="s">
        <v>13</v>
      </c>
      <c r="E255" s="14">
        <v>13.73</v>
      </c>
      <c r="F255" s="14">
        <v>1.5</v>
      </c>
      <c r="G255" s="14">
        <v>2.7</v>
      </c>
      <c r="H255" s="14">
        <v>22.5</v>
      </c>
      <c r="I255" s="14">
        <v>101</v>
      </c>
      <c r="J255" s="14">
        <v>3</v>
      </c>
      <c r="K255" s="14">
        <v>3.25</v>
      </c>
      <c r="L255" s="14">
        <v>0.28999999999999898</v>
      </c>
      <c r="M255" s="14">
        <v>2.3799999999999901</v>
      </c>
      <c r="N255" s="14">
        <v>5.7</v>
      </c>
      <c r="O255" s="14">
        <v>1.18999999999999</v>
      </c>
      <c r="P255" s="14">
        <v>2.71</v>
      </c>
      <c r="Q255">
        <v>1285</v>
      </c>
    </row>
    <row r="256" spans="3:17" x14ac:dyDescent="0.25">
      <c r="C256" s="15" t="s">
        <v>100</v>
      </c>
      <c r="D256" s="14" t="s">
        <v>13</v>
      </c>
      <c r="E256" s="14">
        <v>13.39</v>
      </c>
      <c r="F256" s="14">
        <v>1.77</v>
      </c>
      <c r="G256" s="14">
        <v>2.62</v>
      </c>
      <c r="H256" s="14">
        <v>16.100000000000001</v>
      </c>
      <c r="I256" s="14">
        <v>93</v>
      </c>
      <c r="J256" s="14">
        <v>2.85</v>
      </c>
      <c r="K256" s="14">
        <v>2.9399999999999902</v>
      </c>
      <c r="L256" s="14">
        <v>0.34</v>
      </c>
      <c r="M256" s="14">
        <v>1.45</v>
      </c>
      <c r="N256" s="14">
        <v>4.7999999999999901</v>
      </c>
      <c r="O256" s="14">
        <v>0.92</v>
      </c>
      <c r="P256" s="14">
        <v>3.22</v>
      </c>
      <c r="Q256">
        <v>1195</v>
      </c>
    </row>
    <row r="257" spans="3:17" x14ac:dyDescent="0.25">
      <c r="C257" s="15" t="s">
        <v>167</v>
      </c>
      <c r="D257" s="14" t="s">
        <v>14</v>
      </c>
      <c r="E257" s="14">
        <v>12.2899999999999</v>
      </c>
      <c r="F257" s="14">
        <v>2.83</v>
      </c>
      <c r="G257" s="14">
        <v>2.2200000000000002</v>
      </c>
      <c r="H257" s="14">
        <v>18</v>
      </c>
      <c r="I257" s="14">
        <v>88</v>
      </c>
      <c r="J257" s="14">
        <v>2.4500000000000002</v>
      </c>
      <c r="K257" s="14">
        <v>2.25</v>
      </c>
      <c r="L257" s="14">
        <v>0.25</v>
      </c>
      <c r="M257" s="14">
        <v>1.99</v>
      </c>
      <c r="N257" s="14">
        <v>2.1499999999999901</v>
      </c>
      <c r="O257" s="14">
        <v>1.1499999999999899</v>
      </c>
      <c r="P257" s="14">
        <v>3.2999999999999901</v>
      </c>
      <c r="Q257">
        <v>290</v>
      </c>
    </row>
    <row r="258" spans="3:17" x14ac:dyDescent="0.25">
      <c r="C258" s="15" t="s">
        <v>267</v>
      </c>
      <c r="D258" s="14" t="s">
        <v>13</v>
      </c>
      <c r="E258" s="14">
        <v>13.07</v>
      </c>
      <c r="F258" s="14">
        <v>1.5</v>
      </c>
      <c r="G258" s="14">
        <v>2.1</v>
      </c>
      <c r="H258" s="14">
        <v>15.5</v>
      </c>
      <c r="I258" s="14">
        <v>98</v>
      </c>
      <c r="J258" s="14">
        <v>2.3999999999999901</v>
      </c>
      <c r="K258" s="14">
        <v>2.64</v>
      </c>
      <c r="L258" s="14">
        <v>0.28000000000000003</v>
      </c>
      <c r="M258" s="14">
        <v>1.37</v>
      </c>
      <c r="N258" s="14">
        <v>3.7</v>
      </c>
      <c r="O258" s="14">
        <v>1.1799999999999899</v>
      </c>
      <c r="P258" s="14">
        <v>2.6899999999999902</v>
      </c>
      <c r="Q258">
        <v>1020</v>
      </c>
    </row>
    <row r="259" spans="3:17" x14ac:dyDescent="0.25">
      <c r="C259" s="15" t="s">
        <v>87</v>
      </c>
      <c r="D259" s="14" t="s">
        <v>13</v>
      </c>
      <c r="E259" s="14">
        <v>14.75</v>
      </c>
      <c r="F259" s="14">
        <v>1.73</v>
      </c>
      <c r="G259" s="14">
        <v>2.39</v>
      </c>
      <c r="H259" s="14">
        <v>11.4</v>
      </c>
      <c r="I259" s="14">
        <v>91</v>
      </c>
      <c r="J259" s="14">
        <v>3.1</v>
      </c>
      <c r="K259" s="14">
        <v>3.6899999999999902</v>
      </c>
      <c r="L259" s="14">
        <v>0.42999999999999899</v>
      </c>
      <c r="M259" s="14">
        <v>2.81</v>
      </c>
      <c r="N259" s="14">
        <v>5.4</v>
      </c>
      <c r="O259" s="14">
        <v>1.25</v>
      </c>
      <c r="P259" s="14">
        <v>2.73</v>
      </c>
      <c r="Q259">
        <v>1150</v>
      </c>
    </row>
    <row r="260" spans="3:17" x14ac:dyDescent="0.25">
      <c r="C260" s="15" t="s">
        <v>90</v>
      </c>
      <c r="D260" s="14" t="s">
        <v>13</v>
      </c>
      <c r="E260" s="14">
        <v>14.3</v>
      </c>
      <c r="F260" s="14">
        <v>1.9199999999999899</v>
      </c>
      <c r="G260" s="14">
        <v>2.72</v>
      </c>
      <c r="H260" s="14">
        <v>20</v>
      </c>
      <c r="I260" s="14">
        <v>120</v>
      </c>
      <c r="J260" s="14">
        <v>2.7999999999999901</v>
      </c>
      <c r="K260" s="14">
        <v>3.14</v>
      </c>
      <c r="L260" s="14">
        <v>0.33</v>
      </c>
      <c r="M260" s="14">
        <v>1.97</v>
      </c>
      <c r="N260" s="14">
        <v>6.2</v>
      </c>
      <c r="O260" s="14">
        <v>1.07</v>
      </c>
      <c r="P260" s="14">
        <v>2.6499999999999901</v>
      </c>
      <c r="Q260">
        <v>1280</v>
      </c>
    </row>
    <row r="261" spans="3:17" x14ac:dyDescent="0.25">
      <c r="C261" s="15" t="s">
        <v>145</v>
      </c>
      <c r="D261" s="14" t="s">
        <v>14</v>
      </c>
      <c r="E261" s="14">
        <v>13.8599999999999</v>
      </c>
      <c r="F261" s="14">
        <v>1.51</v>
      </c>
      <c r="G261" s="14">
        <v>2.6699999999999902</v>
      </c>
      <c r="H261" s="14">
        <v>25</v>
      </c>
      <c r="I261" s="14">
        <v>86</v>
      </c>
      <c r="J261" s="14">
        <v>2.95</v>
      </c>
      <c r="K261" s="14">
        <v>2.8599999999999901</v>
      </c>
      <c r="L261" s="14">
        <v>0.20999999999999899</v>
      </c>
      <c r="M261" s="14">
        <v>1.87</v>
      </c>
      <c r="N261" s="14">
        <v>3.3799999999999901</v>
      </c>
      <c r="O261" s="14">
        <v>1.36</v>
      </c>
      <c r="P261" s="14">
        <v>3.16</v>
      </c>
      <c r="Q261">
        <v>410</v>
      </c>
    </row>
    <row r="262" spans="3:17" x14ac:dyDescent="0.25">
      <c r="C262" s="15" t="s">
        <v>77</v>
      </c>
      <c r="D262" s="14" t="s">
        <v>13</v>
      </c>
      <c r="E262" s="14">
        <v>14.3699999999999</v>
      </c>
      <c r="F262" s="14">
        <v>1.95</v>
      </c>
      <c r="G262" s="14">
        <v>2.5</v>
      </c>
      <c r="H262" s="14">
        <v>16.8</v>
      </c>
      <c r="I262" s="14">
        <v>113</v>
      </c>
      <c r="J262" s="14">
        <v>3.85</v>
      </c>
      <c r="K262" s="14">
        <v>3.49</v>
      </c>
      <c r="L262" s="14">
        <v>0.23999999999999899</v>
      </c>
      <c r="M262" s="14">
        <v>2.1800000000000002</v>
      </c>
      <c r="N262" s="14">
        <v>7.7999999999999901</v>
      </c>
      <c r="O262" s="14">
        <v>0.85999999999999899</v>
      </c>
      <c r="P262" s="14">
        <v>3.45</v>
      </c>
      <c r="Q262">
        <v>1480</v>
      </c>
    </row>
    <row r="263" spans="3:17" x14ac:dyDescent="0.25">
      <c r="C263" s="15" t="s">
        <v>238</v>
      </c>
      <c r="D263" s="14" t="s">
        <v>15</v>
      </c>
      <c r="E263" s="14">
        <v>13.7799999999999</v>
      </c>
      <c r="F263" s="14">
        <v>2.75999999999999</v>
      </c>
      <c r="G263" s="14">
        <v>2.2999999999999901</v>
      </c>
      <c r="H263" s="14">
        <v>22</v>
      </c>
      <c r="I263" s="14">
        <v>90</v>
      </c>
      <c r="J263" s="14">
        <v>1.35</v>
      </c>
      <c r="K263" s="14">
        <v>0.68</v>
      </c>
      <c r="L263" s="14">
        <v>0.40999999999999898</v>
      </c>
      <c r="M263" s="14">
        <v>1.03</v>
      </c>
      <c r="N263" s="14">
        <v>9.58</v>
      </c>
      <c r="O263" s="14">
        <v>0.69999999999999896</v>
      </c>
      <c r="P263" s="14">
        <v>1.6799999999999899</v>
      </c>
      <c r="Q263">
        <v>615</v>
      </c>
    </row>
    <row r="264" spans="3:17" x14ac:dyDescent="0.25">
      <c r="C264" s="15" t="s">
        <v>382</v>
      </c>
      <c r="D264" s="14" t="s">
        <v>15</v>
      </c>
      <c r="E264" s="14">
        <v>13.23</v>
      </c>
      <c r="F264" s="14">
        <v>3.2999999999999901</v>
      </c>
      <c r="G264" s="14">
        <v>2.27999999999999</v>
      </c>
      <c r="H264" s="14">
        <v>18.5</v>
      </c>
      <c r="I264" s="14">
        <v>98</v>
      </c>
      <c r="J264" s="14">
        <v>1.8</v>
      </c>
      <c r="K264" s="14">
        <v>0.82999999999999896</v>
      </c>
      <c r="L264" s="14">
        <v>0.60999999999999899</v>
      </c>
      <c r="M264" s="14">
        <v>1.87</v>
      </c>
      <c r="N264" s="14">
        <v>10.52</v>
      </c>
      <c r="O264" s="14">
        <v>0.56000000000000005</v>
      </c>
      <c r="P264" s="14">
        <v>1.51</v>
      </c>
      <c r="Q264">
        <v>675</v>
      </c>
    </row>
    <row r="265" spans="3:17" x14ac:dyDescent="0.25">
      <c r="C265" s="15" t="s">
        <v>116</v>
      </c>
      <c r="D265" s="14" t="s">
        <v>13</v>
      </c>
      <c r="E265" s="14">
        <v>13.88</v>
      </c>
      <c r="F265" s="14">
        <v>1.8899999999999899</v>
      </c>
      <c r="G265" s="14">
        <v>2.5899999999999901</v>
      </c>
      <c r="H265" s="14">
        <v>15</v>
      </c>
      <c r="I265" s="14">
        <v>101</v>
      </c>
      <c r="J265" s="14">
        <v>3.25</v>
      </c>
      <c r="K265" s="14">
        <v>3.56</v>
      </c>
      <c r="L265" s="14">
        <v>0.17</v>
      </c>
      <c r="M265" s="14">
        <v>1.7</v>
      </c>
      <c r="N265" s="14">
        <v>5.4299999999999899</v>
      </c>
      <c r="O265" s="14">
        <v>0.88</v>
      </c>
      <c r="P265" s="14">
        <v>3.56</v>
      </c>
      <c r="Q265">
        <v>1095</v>
      </c>
    </row>
    <row r="266" spans="3:17" x14ac:dyDescent="0.25">
      <c r="C266" s="15" t="s">
        <v>310</v>
      </c>
      <c r="D266" s="14" t="s">
        <v>14</v>
      </c>
      <c r="E266" s="14">
        <v>12.72</v>
      </c>
      <c r="F266" s="14">
        <v>1.81</v>
      </c>
      <c r="G266" s="14">
        <v>2.2000000000000002</v>
      </c>
      <c r="H266" s="14">
        <v>18.8</v>
      </c>
      <c r="I266" s="14">
        <v>86</v>
      </c>
      <c r="J266" s="14">
        <v>2.2000000000000002</v>
      </c>
      <c r="K266" s="14">
        <v>2.52999999999999</v>
      </c>
      <c r="L266" s="14">
        <v>0.26</v>
      </c>
      <c r="M266" s="14">
        <v>1.77</v>
      </c>
      <c r="N266" s="14">
        <v>3.8999999999999901</v>
      </c>
      <c r="O266" s="14">
        <v>1.1599999999999899</v>
      </c>
      <c r="P266" s="14">
        <v>3.14</v>
      </c>
      <c r="Q266">
        <v>714</v>
      </c>
    </row>
    <row r="267" spans="3:17" x14ac:dyDescent="0.25">
      <c r="C267" s="15" t="s">
        <v>109</v>
      </c>
      <c r="D267" s="14" t="s">
        <v>13</v>
      </c>
      <c r="E267" s="14">
        <v>13.48</v>
      </c>
      <c r="F267" s="14">
        <v>1.81</v>
      </c>
      <c r="G267" s="14">
        <v>2.41</v>
      </c>
      <c r="H267" s="14">
        <v>20.5</v>
      </c>
      <c r="I267" s="14">
        <v>100</v>
      </c>
      <c r="J267" s="14">
        <v>2.7</v>
      </c>
      <c r="K267" s="14">
        <v>2.98</v>
      </c>
      <c r="L267" s="14">
        <v>0.26</v>
      </c>
      <c r="M267" s="14">
        <v>1.86</v>
      </c>
      <c r="N267" s="14">
        <v>5.0999999999999899</v>
      </c>
      <c r="O267" s="14">
        <v>1.04</v>
      </c>
      <c r="P267" s="14">
        <v>3.47</v>
      </c>
      <c r="Q267">
        <v>920</v>
      </c>
    </row>
    <row r="268" spans="3:17" x14ac:dyDescent="0.25">
      <c r="C268" s="15" t="s">
        <v>348</v>
      </c>
      <c r="D268" s="14" t="s">
        <v>14</v>
      </c>
      <c r="E268" s="14">
        <v>12</v>
      </c>
      <c r="F268" s="14">
        <v>3.43</v>
      </c>
      <c r="G268" s="14">
        <v>2</v>
      </c>
      <c r="H268" s="14">
        <v>19</v>
      </c>
      <c r="I268" s="14">
        <v>87</v>
      </c>
      <c r="J268" s="14">
        <v>2</v>
      </c>
      <c r="K268" s="14">
        <v>1.6399999999999899</v>
      </c>
      <c r="L268" s="14">
        <v>0.37</v>
      </c>
      <c r="M268" s="14">
        <v>1.87</v>
      </c>
      <c r="N268" s="14">
        <v>1.28</v>
      </c>
      <c r="O268" s="14">
        <v>0.93</v>
      </c>
      <c r="P268" s="14">
        <v>3.0499999999999901</v>
      </c>
      <c r="Q268">
        <v>564</v>
      </c>
    </row>
    <row r="269" spans="3:17" x14ac:dyDescent="0.25">
      <c r="C269" s="15" t="s">
        <v>189</v>
      </c>
      <c r="D269" s="14" t="s">
        <v>14</v>
      </c>
      <c r="E269" s="14">
        <v>11.0299999999999</v>
      </c>
      <c r="F269" s="14">
        <v>1.51</v>
      </c>
      <c r="G269" s="14">
        <v>2.2000000000000002</v>
      </c>
      <c r="H269" s="14">
        <v>21.5</v>
      </c>
      <c r="I269" s="14">
        <v>85</v>
      </c>
      <c r="J269" s="14">
        <v>2.46</v>
      </c>
      <c r="K269" s="14">
        <v>2.1699999999999902</v>
      </c>
      <c r="L269" s="14">
        <v>0.52</v>
      </c>
      <c r="M269" s="14">
        <v>2.00999999999999</v>
      </c>
      <c r="N269" s="14">
        <v>1.8999999999999899</v>
      </c>
      <c r="O269" s="14">
        <v>1.71</v>
      </c>
      <c r="P269" s="14">
        <v>2.87</v>
      </c>
      <c r="Q269">
        <v>407</v>
      </c>
    </row>
    <row r="270" spans="3:17" x14ac:dyDescent="0.25">
      <c r="C270" s="15" t="s">
        <v>352</v>
      </c>
      <c r="D270" s="14" t="s">
        <v>14</v>
      </c>
      <c r="E270" s="14">
        <v>13.05</v>
      </c>
      <c r="F270" s="14">
        <v>5.7999999999999901</v>
      </c>
      <c r="G270" s="14">
        <v>2.1299999999999901</v>
      </c>
      <c r="H270" s="14">
        <v>21.5</v>
      </c>
      <c r="I270" s="14">
        <v>86</v>
      </c>
      <c r="J270" s="14">
        <v>2.62</v>
      </c>
      <c r="K270" s="14">
        <v>2.6499999999999901</v>
      </c>
      <c r="L270" s="14">
        <v>0.36538226299694199</v>
      </c>
      <c r="M270" s="14">
        <v>2.00999999999999</v>
      </c>
      <c r="N270" s="14">
        <v>2.6</v>
      </c>
      <c r="O270" s="14">
        <v>0.72999999999999898</v>
      </c>
      <c r="P270" s="14">
        <v>3.1</v>
      </c>
      <c r="Q270">
        <v>380</v>
      </c>
    </row>
    <row r="271" spans="3:17" x14ac:dyDescent="0.25">
      <c r="C271" s="15" t="s">
        <v>83</v>
      </c>
      <c r="D271" s="14" t="s">
        <v>13</v>
      </c>
      <c r="E271" s="14">
        <v>13.8599999999999</v>
      </c>
      <c r="F271" s="14">
        <v>1.35</v>
      </c>
      <c r="G271" s="14">
        <v>2.27</v>
      </c>
      <c r="H271" s="14">
        <v>16</v>
      </c>
      <c r="I271" s="14">
        <v>98</v>
      </c>
      <c r="J271" s="14">
        <v>2.98</v>
      </c>
      <c r="K271" s="14">
        <v>3.1499999999999901</v>
      </c>
      <c r="L271" s="14">
        <v>0.22</v>
      </c>
      <c r="M271" s="14">
        <v>1.85</v>
      </c>
      <c r="N271" s="14">
        <v>7.21999999999999</v>
      </c>
      <c r="O271" s="14">
        <v>1.01</v>
      </c>
      <c r="P271" s="14">
        <v>3.5499999999999901</v>
      </c>
      <c r="Q271">
        <v>1045</v>
      </c>
    </row>
    <row r="272" spans="3:17" x14ac:dyDescent="0.25">
      <c r="C272" s="15" t="s">
        <v>79</v>
      </c>
      <c r="D272" s="14" t="s">
        <v>13</v>
      </c>
      <c r="E272" s="14">
        <v>14.1999999999999</v>
      </c>
      <c r="F272" s="14">
        <v>1.76</v>
      </c>
      <c r="G272" s="14">
        <v>2.4500000000000002</v>
      </c>
      <c r="H272" s="14">
        <v>15.1999999999999</v>
      </c>
      <c r="I272" s="14">
        <v>112</v>
      </c>
      <c r="J272" s="14">
        <v>3.27</v>
      </c>
      <c r="K272" s="14">
        <v>3.39</v>
      </c>
      <c r="L272" s="14">
        <v>0.34</v>
      </c>
      <c r="M272" s="14">
        <v>1.97</v>
      </c>
      <c r="N272" s="14">
        <v>6.75</v>
      </c>
      <c r="O272" s="14">
        <v>1.05</v>
      </c>
      <c r="P272" s="14">
        <v>2.85</v>
      </c>
      <c r="Q272">
        <v>1450</v>
      </c>
    </row>
    <row r="273" spans="3:17" x14ac:dyDescent="0.25">
      <c r="C273" s="15" t="s">
        <v>137</v>
      </c>
      <c r="D273" s="14" t="s">
        <v>14</v>
      </c>
      <c r="E273" s="14">
        <v>12.3699999999999</v>
      </c>
      <c r="F273" s="14">
        <v>1.1299999999999899</v>
      </c>
      <c r="G273" s="14">
        <v>2.16</v>
      </c>
      <c r="H273" s="14">
        <v>19</v>
      </c>
      <c r="I273" s="14">
        <v>87</v>
      </c>
      <c r="J273" s="14">
        <v>3.5</v>
      </c>
      <c r="K273" s="14">
        <v>3.1</v>
      </c>
      <c r="L273" s="14">
        <v>0.19</v>
      </c>
      <c r="M273" s="14">
        <v>1.87</v>
      </c>
      <c r="N273" s="14">
        <v>4.45</v>
      </c>
      <c r="O273" s="14">
        <v>1.22</v>
      </c>
      <c r="P273" s="14">
        <v>2.87</v>
      </c>
      <c r="Q273">
        <v>420</v>
      </c>
    </row>
    <row r="274" spans="3:17" x14ac:dyDescent="0.25">
      <c r="C274" s="15" t="s">
        <v>256</v>
      </c>
      <c r="D274" s="14" t="s">
        <v>13</v>
      </c>
      <c r="E274" s="14">
        <v>13.3</v>
      </c>
      <c r="F274" s="14">
        <v>1.72</v>
      </c>
      <c r="G274" s="14">
        <v>2.14</v>
      </c>
      <c r="H274" s="14">
        <v>17</v>
      </c>
      <c r="I274" s="14">
        <v>94</v>
      </c>
      <c r="J274" s="14">
        <v>2.3999999999999901</v>
      </c>
      <c r="K274" s="14">
        <v>2.1899999999999902</v>
      </c>
      <c r="L274" s="14">
        <v>0.27</v>
      </c>
      <c r="M274" s="14">
        <v>1.35</v>
      </c>
      <c r="N274" s="14">
        <v>3.95</v>
      </c>
      <c r="O274" s="14">
        <v>1.02</v>
      </c>
      <c r="P274" s="14">
        <v>2.77</v>
      </c>
      <c r="Q274">
        <v>1285</v>
      </c>
    </row>
    <row r="275" spans="3:17" x14ac:dyDescent="0.25">
      <c r="C275" s="15" t="s">
        <v>212</v>
      </c>
      <c r="D275" s="14" t="s">
        <v>15</v>
      </c>
      <c r="E275" s="14">
        <v>13.49</v>
      </c>
      <c r="F275" s="14">
        <v>3.5899999999999901</v>
      </c>
      <c r="G275" s="14">
        <v>2.1899999999999902</v>
      </c>
      <c r="H275" s="14">
        <v>19.5</v>
      </c>
      <c r="I275" s="14">
        <v>88</v>
      </c>
      <c r="J275" s="14">
        <v>1.62</v>
      </c>
      <c r="K275" s="14">
        <v>0.47999999999999898</v>
      </c>
      <c r="L275" s="14">
        <v>0.57999999999999896</v>
      </c>
      <c r="M275" s="14">
        <v>0.88</v>
      </c>
      <c r="N275" s="14">
        <v>5.7</v>
      </c>
      <c r="O275" s="14">
        <v>0.81</v>
      </c>
      <c r="P275" s="14">
        <v>1.82</v>
      </c>
      <c r="Q275">
        <v>580</v>
      </c>
    </row>
    <row r="276" spans="3:17" x14ac:dyDescent="0.25">
      <c r="C276" s="15" t="s">
        <v>354</v>
      </c>
      <c r="D276" s="14" t="s">
        <v>14</v>
      </c>
      <c r="E276" s="14">
        <v>12.07</v>
      </c>
      <c r="F276" s="14">
        <v>2.16</v>
      </c>
      <c r="G276" s="14">
        <v>2.1699999999999902</v>
      </c>
      <c r="H276" s="14">
        <v>21</v>
      </c>
      <c r="I276" s="14">
        <v>85</v>
      </c>
      <c r="J276" s="14">
        <v>2.6</v>
      </c>
      <c r="K276" s="14">
        <v>2.6499999999999901</v>
      </c>
      <c r="L276" s="14">
        <v>0.37</v>
      </c>
      <c r="M276" s="14">
        <v>1.35</v>
      </c>
      <c r="N276" s="14">
        <v>2.75999999999999</v>
      </c>
      <c r="O276" s="14">
        <v>0.85999999999999899</v>
      </c>
      <c r="P276" s="14">
        <v>3.27999999999999</v>
      </c>
      <c r="Q276">
        <v>378</v>
      </c>
    </row>
    <row r="277" spans="3:17" x14ac:dyDescent="0.25">
      <c r="C277" s="15" t="s">
        <v>306</v>
      </c>
      <c r="D277" s="14" t="s">
        <v>14</v>
      </c>
      <c r="E277" s="14">
        <v>11.84</v>
      </c>
      <c r="F277" s="14">
        <v>2.89</v>
      </c>
      <c r="G277" s="14">
        <v>2.23</v>
      </c>
      <c r="H277" s="14">
        <v>18</v>
      </c>
      <c r="I277" s="14">
        <v>112</v>
      </c>
      <c r="J277" s="14">
        <v>1.72</v>
      </c>
      <c r="K277" s="14">
        <v>1.32</v>
      </c>
      <c r="L277" s="14">
        <v>0.42999999999999899</v>
      </c>
      <c r="M277" s="14">
        <v>0.94999999999999896</v>
      </c>
      <c r="N277" s="14">
        <v>2.6499999999999901</v>
      </c>
      <c r="O277" s="14">
        <v>0.95999999999999897</v>
      </c>
      <c r="P277" s="14">
        <v>2.52</v>
      </c>
      <c r="Q277">
        <v>500</v>
      </c>
    </row>
    <row r="278" spans="3:17" x14ac:dyDescent="0.25">
      <c r="C278" s="15" t="s">
        <v>320</v>
      </c>
      <c r="D278" s="14" t="s">
        <v>14</v>
      </c>
      <c r="E278" s="14">
        <v>12</v>
      </c>
      <c r="F278" s="14">
        <v>1.51</v>
      </c>
      <c r="G278" s="14">
        <v>2.4199999999999902</v>
      </c>
      <c r="H278" s="14">
        <v>22</v>
      </c>
      <c r="I278" s="14">
        <v>86</v>
      </c>
      <c r="J278" s="14">
        <v>1.45</v>
      </c>
      <c r="K278" s="14">
        <v>1.25</v>
      </c>
      <c r="L278" s="14">
        <v>0.5</v>
      </c>
      <c r="M278" s="14">
        <v>1.6299999999999899</v>
      </c>
      <c r="N278" s="14">
        <v>3.6</v>
      </c>
      <c r="O278" s="14">
        <v>1.05</v>
      </c>
      <c r="P278" s="14">
        <v>2.6499999999999901</v>
      </c>
      <c r="Q278">
        <v>450</v>
      </c>
    </row>
    <row r="279" spans="3:17" x14ac:dyDescent="0.25">
      <c r="C279" s="15" t="s">
        <v>235</v>
      </c>
      <c r="D279" s="14" t="s">
        <v>15</v>
      </c>
      <c r="E279" s="14">
        <v>13.69</v>
      </c>
      <c r="F279" s="14">
        <v>3.25999999999999</v>
      </c>
      <c r="G279" s="14">
        <v>2.54</v>
      </c>
      <c r="H279" s="14">
        <v>20</v>
      </c>
      <c r="I279" s="14">
        <v>107</v>
      </c>
      <c r="J279" s="14">
        <v>1.83</v>
      </c>
      <c r="K279" s="14">
        <v>0.56000000000000005</v>
      </c>
      <c r="L279" s="14">
        <v>0.5</v>
      </c>
      <c r="M279" s="14">
        <v>0.8</v>
      </c>
      <c r="N279" s="14">
        <v>5.8799999999999901</v>
      </c>
      <c r="O279" s="14">
        <v>0.95999999999999897</v>
      </c>
      <c r="P279" s="14">
        <v>1.82</v>
      </c>
      <c r="Q279">
        <v>680</v>
      </c>
    </row>
    <row r="280" spans="3:17" x14ac:dyDescent="0.25">
      <c r="C280" s="15" t="s">
        <v>124</v>
      </c>
      <c r="D280" s="14" t="s">
        <v>13</v>
      </c>
      <c r="E280" s="14">
        <v>13.05</v>
      </c>
      <c r="F280" s="14">
        <v>1.73</v>
      </c>
      <c r="G280" s="14">
        <v>2.04</v>
      </c>
      <c r="H280" s="14">
        <v>12.4</v>
      </c>
      <c r="I280" s="14">
        <v>92</v>
      </c>
      <c r="J280" s="14">
        <v>2.72</v>
      </c>
      <c r="K280" s="14">
        <v>3.27</v>
      </c>
      <c r="L280" s="14">
        <v>0.17</v>
      </c>
      <c r="M280" s="14">
        <v>2.91</v>
      </c>
      <c r="N280" s="14">
        <v>7.2</v>
      </c>
      <c r="O280" s="14">
        <v>1.1200000000000001</v>
      </c>
      <c r="P280" s="14">
        <v>2.91</v>
      </c>
      <c r="Q280">
        <v>1150</v>
      </c>
    </row>
    <row r="281" spans="3:17" x14ac:dyDescent="0.25">
      <c r="C281" s="15" t="s">
        <v>341</v>
      </c>
      <c r="D281" s="14" t="s">
        <v>14</v>
      </c>
      <c r="E281" s="14">
        <v>11.76</v>
      </c>
      <c r="F281" s="14">
        <v>2.68</v>
      </c>
      <c r="G281" s="14">
        <v>2.9199999999999902</v>
      </c>
      <c r="H281" s="14">
        <v>20</v>
      </c>
      <c r="I281" s="14">
        <v>103</v>
      </c>
      <c r="J281" s="14">
        <v>1.75</v>
      </c>
      <c r="K281" s="14">
        <v>2.02999999999999</v>
      </c>
      <c r="L281" s="14">
        <v>0.59999999999999898</v>
      </c>
      <c r="M281" s="14">
        <v>1.05</v>
      </c>
      <c r="N281" s="14">
        <v>3.7999999999999901</v>
      </c>
      <c r="O281" s="14">
        <v>1.23</v>
      </c>
      <c r="P281" s="14">
        <v>2.5</v>
      </c>
      <c r="Q281">
        <v>607</v>
      </c>
    </row>
    <row r="282" spans="3:17" x14ac:dyDescent="0.25">
      <c r="C282" s="15" t="s">
        <v>142</v>
      </c>
      <c r="D282" s="14" t="s">
        <v>14</v>
      </c>
      <c r="E282" s="14">
        <v>13.34</v>
      </c>
      <c r="F282" s="14">
        <v>0.93999999999999895</v>
      </c>
      <c r="G282" s="14">
        <v>2.3599999999999901</v>
      </c>
      <c r="H282" s="14">
        <v>17</v>
      </c>
      <c r="I282" s="14">
        <v>110</v>
      </c>
      <c r="J282" s="14">
        <v>2.52999999999999</v>
      </c>
      <c r="K282" s="14">
        <v>1.3</v>
      </c>
      <c r="L282" s="14">
        <v>0.55000000000000004</v>
      </c>
      <c r="M282" s="14">
        <v>0.41999999999999899</v>
      </c>
      <c r="N282" s="14">
        <v>3.1699999999999902</v>
      </c>
      <c r="O282" s="14">
        <v>1.02</v>
      </c>
      <c r="P282" s="14">
        <v>1.9299999999999899</v>
      </c>
      <c r="Q282">
        <v>750</v>
      </c>
    </row>
    <row r="283" spans="3:17" x14ac:dyDescent="0.25">
      <c r="C283" s="15" t="s">
        <v>220</v>
      </c>
      <c r="D283" s="14" t="s">
        <v>15</v>
      </c>
      <c r="E283" s="14">
        <v>13.88</v>
      </c>
      <c r="F283" s="14">
        <v>5.04</v>
      </c>
      <c r="G283" s="14">
        <v>2.23</v>
      </c>
      <c r="H283" s="14">
        <v>20</v>
      </c>
      <c r="I283" s="14">
        <v>80</v>
      </c>
      <c r="J283" s="14">
        <v>0.97999999999999898</v>
      </c>
      <c r="K283" s="14">
        <v>0.34</v>
      </c>
      <c r="L283" s="14">
        <v>0.4</v>
      </c>
      <c r="M283" s="14">
        <v>0.68</v>
      </c>
      <c r="N283" s="14">
        <v>4.9000000000000004</v>
      </c>
      <c r="O283" s="14">
        <v>0.57999999999999896</v>
      </c>
      <c r="P283" s="14">
        <v>1.33</v>
      </c>
      <c r="Q283">
        <v>415</v>
      </c>
    </row>
    <row r="284" spans="3:17" x14ac:dyDescent="0.25">
      <c r="C284" s="15" t="s">
        <v>213</v>
      </c>
      <c r="D284" s="14" t="s">
        <v>15</v>
      </c>
      <c r="E284" s="14">
        <v>12.84</v>
      </c>
      <c r="F284" s="14">
        <v>2.96</v>
      </c>
      <c r="G284" s="14">
        <v>2.6099999999999901</v>
      </c>
      <c r="H284" s="14">
        <v>24</v>
      </c>
      <c r="I284" s="14">
        <v>101</v>
      </c>
      <c r="J284" s="14">
        <v>2.3199999999999901</v>
      </c>
      <c r="K284" s="14">
        <v>0.59999999999999898</v>
      </c>
      <c r="L284" s="14">
        <v>0.53</v>
      </c>
      <c r="M284" s="14">
        <v>0.81</v>
      </c>
      <c r="N284" s="14">
        <v>4.9199999999999902</v>
      </c>
      <c r="O284" s="14">
        <v>0.89</v>
      </c>
      <c r="P284" s="14">
        <v>2.1499999999999901</v>
      </c>
      <c r="Q284">
        <v>590</v>
      </c>
    </row>
    <row r="285" spans="3:17" x14ac:dyDescent="0.25">
      <c r="C285" s="15" t="s">
        <v>160</v>
      </c>
      <c r="D285" s="14" t="s">
        <v>14</v>
      </c>
      <c r="E285" s="14">
        <v>12.16</v>
      </c>
      <c r="F285" s="14">
        <v>1.61</v>
      </c>
      <c r="G285" s="14">
        <v>2.31</v>
      </c>
      <c r="H285" s="14">
        <v>22.8</v>
      </c>
      <c r="I285" s="14">
        <v>90</v>
      </c>
      <c r="J285" s="14">
        <v>1.78</v>
      </c>
      <c r="K285" s="14">
        <v>1.68999999999999</v>
      </c>
      <c r="L285" s="14">
        <v>0.42999999999999899</v>
      </c>
      <c r="M285" s="14">
        <v>1.56</v>
      </c>
      <c r="N285" s="14">
        <v>2.4500000000000002</v>
      </c>
      <c r="O285" s="14">
        <v>1.33</v>
      </c>
      <c r="P285" s="14">
        <v>2.25999999999999</v>
      </c>
      <c r="Q285">
        <v>495</v>
      </c>
    </row>
    <row r="286" spans="3:17" x14ac:dyDescent="0.25">
      <c r="C286" s="15" t="s">
        <v>264</v>
      </c>
      <c r="D286" s="14" t="s">
        <v>13</v>
      </c>
      <c r="E286" s="14">
        <v>13.48</v>
      </c>
      <c r="F286" s="14">
        <v>1.81</v>
      </c>
      <c r="G286" s="14">
        <v>2.41</v>
      </c>
      <c r="H286" s="14">
        <v>20.5</v>
      </c>
      <c r="I286" s="14">
        <v>100</v>
      </c>
      <c r="J286" s="14">
        <v>2.7</v>
      </c>
      <c r="K286" s="14">
        <v>2.98</v>
      </c>
      <c r="L286" s="14">
        <v>0.26</v>
      </c>
      <c r="M286" s="14">
        <v>1.86</v>
      </c>
      <c r="N286" s="14">
        <v>5.0999999999999899</v>
      </c>
      <c r="O286" s="14">
        <v>1.04</v>
      </c>
      <c r="P286" s="14">
        <v>3.47</v>
      </c>
      <c r="Q286">
        <v>920</v>
      </c>
    </row>
    <row r="287" spans="3:17" x14ac:dyDescent="0.25">
      <c r="C287" s="15" t="s">
        <v>380</v>
      </c>
      <c r="D287" s="14" t="s">
        <v>15</v>
      </c>
      <c r="E287" s="14">
        <v>12.7899999999999</v>
      </c>
      <c r="F287" s="14">
        <v>2.6699999999999902</v>
      </c>
      <c r="G287" s="14">
        <v>2.48</v>
      </c>
      <c r="H287" s="14">
        <v>22</v>
      </c>
      <c r="I287" s="14">
        <v>112</v>
      </c>
      <c r="J287" s="14">
        <v>1.48</v>
      </c>
      <c r="K287" s="14">
        <v>1.36</v>
      </c>
      <c r="L287" s="14">
        <v>0.23999999999999899</v>
      </c>
      <c r="M287" s="14">
        <v>1.26</v>
      </c>
      <c r="N287" s="14">
        <v>10.8</v>
      </c>
      <c r="O287" s="14">
        <v>0.47999999999999898</v>
      </c>
      <c r="P287" s="14">
        <v>1.47</v>
      </c>
      <c r="Q287">
        <v>480</v>
      </c>
    </row>
    <row r="288" spans="3:17" x14ac:dyDescent="0.25">
      <c r="C288" s="15" t="s">
        <v>386</v>
      </c>
      <c r="D288" s="14" t="s">
        <v>15</v>
      </c>
      <c r="E288" s="14">
        <v>12.4499999999999</v>
      </c>
      <c r="F288" s="14">
        <v>3.02999999999999</v>
      </c>
      <c r="G288" s="14">
        <v>2.64</v>
      </c>
      <c r="H288" s="14">
        <v>27</v>
      </c>
      <c r="I288" s="14">
        <v>97</v>
      </c>
      <c r="J288" s="14">
        <v>1.8999999999999899</v>
      </c>
      <c r="K288" s="14">
        <v>0.57999999999999896</v>
      </c>
      <c r="L288" s="14">
        <v>0.63</v>
      </c>
      <c r="M288" s="14">
        <v>1.1399999999999899</v>
      </c>
      <c r="N288" s="14">
        <v>7.5</v>
      </c>
      <c r="O288" s="14">
        <v>0.67</v>
      </c>
      <c r="P288" s="14">
        <v>1.73</v>
      </c>
      <c r="Q288">
        <v>880</v>
      </c>
    </row>
    <row r="289" spans="3:17" x14ac:dyDescent="0.25">
      <c r="C289" s="15" t="s">
        <v>117</v>
      </c>
      <c r="D289" s="14" t="s">
        <v>13</v>
      </c>
      <c r="E289" s="14">
        <v>13.24</v>
      </c>
      <c r="F289" s="14">
        <v>3.98</v>
      </c>
      <c r="G289" s="14">
        <v>2.29</v>
      </c>
      <c r="H289" s="14">
        <v>17.5</v>
      </c>
      <c r="I289" s="14">
        <v>103</v>
      </c>
      <c r="J289" s="14">
        <v>2.64</v>
      </c>
      <c r="K289" s="14">
        <v>2.6299999999999901</v>
      </c>
      <c r="L289" s="14">
        <v>0.32</v>
      </c>
      <c r="M289" s="14">
        <v>1.6599999999999899</v>
      </c>
      <c r="N289" s="14">
        <v>4.3600000000000003</v>
      </c>
      <c r="O289" s="14">
        <v>0.81999999999999895</v>
      </c>
      <c r="P289" s="14">
        <v>3</v>
      </c>
      <c r="Q289">
        <v>680</v>
      </c>
    </row>
    <row r="290" spans="3:17" x14ac:dyDescent="0.25">
      <c r="C290" s="15" t="s">
        <v>332</v>
      </c>
      <c r="D290" s="14" t="s">
        <v>14</v>
      </c>
      <c r="E290" s="14">
        <v>11.82</v>
      </c>
      <c r="F290" s="14">
        <v>1.72</v>
      </c>
      <c r="G290" s="14">
        <v>1.8799999999999899</v>
      </c>
      <c r="H290" s="14">
        <v>19.5</v>
      </c>
      <c r="I290" s="14">
        <v>86</v>
      </c>
      <c r="J290" s="14">
        <v>2.5</v>
      </c>
      <c r="K290" s="14">
        <v>1.6399999999999899</v>
      </c>
      <c r="L290" s="14">
        <v>0.37</v>
      </c>
      <c r="M290" s="14">
        <v>1.4199999999999899</v>
      </c>
      <c r="N290" s="14">
        <v>2.06</v>
      </c>
      <c r="O290" s="14">
        <v>0.93999999999999895</v>
      </c>
      <c r="P290" s="14">
        <v>2.4399999999999902</v>
      </c>
      <c r="Q290">
        <v>415</v>
      </c>
    </row>
    <row r="291" spans="3:17" x14ac:dyDescent="0.25">
      <c r="C291" s="15" t="s">
        <v>249</v>
      </c>
      <c r="D291" s="14" t="s">
        <v>15</v>
      </c>
      <c r="E291" s="14">
        <v>13.27</v>
      </c>
      <c r="F291" s="14">
        <v>4.28</v>
      </c>
      <c r="G291" s="14">
        <v>2.25999999999999</v>
      </c>
      <c r="H291" s="14">
        <v>20</v>
      </c>
      <c r="I291" s="14">
        <v>120</v>
      </c>
      <c r="J291" s="14">
        <v>1.59</v>
      </c>
      <c r="K291" s="14">
        <v>0.68999999999999895</v>
      </c>
      <c r="L291" s="14">
        <v>0.42999999999999899</v>
      </c>
      <c r="M291" s="14">
        <v>1.35</v>
      </c>
      <c r="N291" s="14">
        <v>10.1999999999999</v>
      </c>
      <c r="O291" s="14">
        <v>0.58999999999999897</v>
      </c>
      <c r="P291" s="14">
        <v>1.56</v>
      </c>
      <c r="Q291">
        <v>835</v>
      </c>
    </row>
    <row r="292" spans="3:17" x14ac:dyDescent="0.25">
      <c r="C292" s="15" t="s">
        <v>331</v>
      </c>
      <c r="D292" s="14" t="s">
        <v>14</v>
      </c>
      <c r="E292" s="14">
        <v>12.34</v>
      </c>
      <c r="F292" s="14">
        <v>2.4500000000000002</v>
      </c>
      <c r="G292" s="14">
        <v>2.46</v>
      </c>
      <c r="H292" s="14">
        <v>21</v>
      </c>
      <c r="I292" s="14">
        <v>98</v>
      </c>
      <c r="J292" s="14">
        <v>2.56</v>
      </c>
      <c r="K292" s="14">
        <v>2.1099999999999901</v>
      </c>
      <c r="L292" s="14">
        <v>0.34</v>
      </c>
      <c r="M292" s="14">
        <v>1.31</v>
      </c>
      <c r="N292" s="14">
        <v>2.7999999999999901</v>
      </c>
      <c r="O292" s="14">
        <v>0.8</v>
      </c>
      <c r="P292" s="14">
        <v>3.3799999999999901</v>
      </c>
      <c r="Q292">
        <v>438</v>
      </c>
    </row>
    <row r="293" spans="3:17" x14ac:dyDescent="0.25">
      <c r="C293" s="15" t="s">
        <v>76</v>
      </c>
      <c r="D293" s="14" t="s">
        <v>13</v>
      </c>
      <c r="E293" s="14">
        <v>13.16</v>
      </c>
      <c r="F293" s="14">
        <v>2.3599999999999901</v>
      </c>
      <c r="G293" s="14">
        <v>2.6699999999999902</v>
      </c>
      <c r="H293" s="14">
        <v>18.600000000000001</v>
      </c>
      <c r="I293" s="14">
        <v>101</v>
      </c>
      <c r="J293" s="14">
        <v>2.7999999999999901</v>
      </c>
      <c r="K293" s="14">
        <v>3.24</v>
      </c>
      <c r="L293" s="14">
        <v>0.29999999999999899</v>
      </c>
      <c r="M293" s="14">
        <v>2.81</v>
      </c>
      <c r="N293" s="14">
        <v>5.6799999999999899</v>
      </c>
      <c r="O293" s="14">
        <v>1.03</v>
      </c>
      <c r="P293" s="14">
        <v>3.1699999999999902</v>
      </c>
      <c r="Q293">
        <v>1185</v>
      </c>
    </row>
    <row r="294" spans="3:17" x14ac:dyDescent="0.25">
      <c r="C294" s="15" t="s">
        <v>366</v>
      </c>
      <c r="D294" s="14" t="s">
        <v>15</v>
      </c>
      <c r="E294" s="14">
        <v>12.5299999999999</v>
      </c>
      <c r="F294" s="14">
        <v>5.50999999999999</v>
      </c>
      <c r="G294" s="14">
        <v>2.64</v>
      </c>
      <c r="H294" s="14">
        <v>25</v>
      </c>
      <c r="I294" s="14">
        <v>96</v>
      </c>
      <c r="J294" s="14">
        <v>1.79</v>
      </c>
      <c r="K294" s="14">
        <v>0.59999999999999898</v>
      </c>
      <c r="L294" s="14">
        <v>0.63</v>
      </c>
      <c r="M294" s="14">
        <v>1.1000000000000001</v>
      </c>
      <c r="N294" s="14">
        <v>5</v>
      </c>
      <c r="O294" s="14">
        <v>0.81999999999999895</v>
      </c>
      <c r="P294" s="14">
        <v>1.68999999999999</v>
      </c>
      <c r="Q294">
        <v>515</v>
      </c>
    </row>
    <row r="295" spans="3:17" x14ac:dyDescent="0.25">
      <c r="C295" s="15" t="s">
        <v>392</v>
      </c>
      <c r="D295" s="14" t="s">
        <v>15</v>
      </c>
      <c r="E295" s="14">
        <v>12.96</v>
      </c>
      <c r="F295" s="14">
        <v>3.45</v>
      </c>
      <c r="G295" s="14">
        <v>2.35</v>
      </c>
      <c r="H295" s="14">
        <v>18.5</v>
      </c>
      <c r="I295" s="14">
        <v>106</v>
      </c>
      <c r="J295" s="14">
        <v>1.3899999999999899</v>
      </c>
      <c r="K295" s="14">
        <v>0.69999999999999896</v>
      </c>
      <c r="L295" s="14">
        <v>0.4</v>
      </c>
      <c r="M295" s="14">
        <v>0.93999999999999895</v>
      </c>
      <c r="N295" s="14">
        <v>5.28</v>
      </c>
      <c r="O295" s="14">
        <v>0.68</v>
      </c>
      <c r="P295" s="14">
        <v>1.75</v>
      </c>
      <c r="Q295">
        <v>675</v>
      </c>
    </row>
    <row r="296" spans="3:17" x14ac:dyDescent="0.25">
      <c r="C296" s="15" t="s">
        <v>92</v>
      </c>
      <c r="D296" s="14" t="s">
        <v>13</v>
      </c>
      <c r="E296" s="14">
        <v>14.19</v>
      </c>
      <c r="F296" s="14">
        <v>1.59</v>
      </c>
      <c r="G296" s="14">
        <v>2.48</v>
      </c>
      <c r="H296" s="14">
        <v>16.5</v>
      </c>
      <c r="I296" s="14">
        <v>108</v>
      </c>
      <c r="J296" s="14">
        <v>3.2999999999999901</v>
      </c>
      <c r="K296" s="14">
        <v>3.93</v>
      </c>
      <c r="L296" s="14">
        <v>0.32</v>
      </c>
      <c r="M296" s="14">
        <v>1.86</v>
      </c>
      <c r="N296" s="14">
        <v>8.6999999999999904</v>
      </c>
      <c r="O296" s="14">
        <v>1.23</v>
      </c>
      <c r="P296" s="14">
        <v>2.8199999999999901</v>
      </c>
      <c r="Q296">
        <v>1680</v>
      </c>
    </row>
    <row r="297" spans="3:17" x14ac:dyDescent="0.25">
      <c r="C297" s="15" t="s">
        <v>356</v>
      </c>
      <c r="D297" s="14" t="s">
        <v>14</v>
      </c>
      <c r="E297" s="14">
        <v>11.7899999999999</v>
      </c>
      <c r="F297" s="14">
        <v>2.1299999999999901</v>
      </c>
      <c r="G297" s="14">
        <v>2.77999999999999</v>
      </c>
      <c r="H297" s="14">
        <v>28.5</v>
      </c>
      <c r="I297" s="14">
        <v>92</v>
      </c>
      <c r="J297" s="14">
        <v>2.1299999999999901</v>
      </c>
      <c r="K297" s="14">
        <v>2.2400000000000002</v>
      </c>
      <c r="L297" s="14">
        <v>0.57999999999999896</v>
      </c>
      <c r="M297" s="14">
        <v>1.76</v>
      </c>
      <c r="N297" s="14">
        <v>3</v>
      </c>
      <c r="O297" s="14">
        <v>0.96999999999999897</v>
      </c>
      <c r="P297" s="14">
        <v>2.4399999999999902</v>
      </c>
      <c r="Q297">
        <v>466</v>
      </c>
    </row>
    <row r="298" spans="3:17" x14ac:dyDescent="0.25">
      <c r="C298" s="15" t="s">
        <v>147</v>
      </c>
      <c r="D298" s="14" t="s">
        <v>14</v>
      </c>
      <c r="E298" s="14">
        <v>12.99</v>
      </c>
      <c r="F298" s="14">
        <v>1.6699999999999899</v>
      </c>
      <c r="G298" s="14">
        <v>2.6</v>
      </c>
      <c r="H298" s="14">
        <v>30</v>
      </c>
      <c r="I298" s="14">
        <v>139</v>
      </c>
      <c r="J298" s="14">
        <v>3.2999999999999901</v>
      </c>
      <c r="K298" s="14">
        <v>2.89</v>
      </c>
      <c r="L298" s="14">
        <v>0.20999999999999899</v>
      </c>
      <c r="M298" s="14">
        <v>1.96</v>
      </c>
      <c r="N298" s="14">
        <v>3.35</v>
      </c>
      <c r="O298" s="14">
        <v>1.31</v>
      </c>
      <c r="P298" s="14">
        <v>3.5</v>
      </c>
      <c r="Q298">
        <v>985</v>
      </c>
    </row>
    <row r="299" spans="3:17" x14ac:dyDescent="0.25">
      <c r="C299" s="15" t="s">
        <v>174</v>
      </c>
      <c r="D299" s="14" t="s">
        <v>14</v>
      </c>
      <c r="E299" s="14">
        <v>12.08</v>
      </c>
      <c r="F299" s="14">
        <v>2.08</v>
      </c>
      <c r="G299" s="14">
        <v>1.7</v>
      </c>
      <c r="H299" s="14">
        <v>17.5</v>
      </c>
      <c r="I299" s="14">
        <v>97</v>
      </c>
      <c r="J299" s="14">
        <v>2.23</v>
      </c>
      <c r="K299" s="14">
        <v>2.1699999999999902</v>
      </c>
      <c r="L299" s="14">
        <v>0.26</v>
      </c>
      <c r="M299" s="14">
        <v>1.3999999999999899</v>
      </c>
      <c r="N299" s="14">
        <v>3.2999999999999901</v>
      </c>
      <c r="O299" s="14">
        <v>1.27</v>
      </c>
      <c r="P299" s="14">
        <v>2.96</v>
      </c>
      <c r="Q299">
        <v>710</v>
      </c>
    </row>
    <row r="300" spans="3:17" x14ac:dyDescent="0.25">
      <c r="C300" s="15" t="s">
        <v>372</v>
      </c>
      <c r="D300" s="14" t="s">
        <v>15</v>
      </c>
      <c r="E300" s="14">
        <v>13.6199999999999</v>
      </c>
      <c r="F300" s="14">
        <v>4.95</v>
      </c>
      <c r="G300" s="14">
        <v>2.35</v>
      </c>
      <c r="H300" s="14">
        <v>20</v>
      </c>
      <c r="I300" s="14">
        <v>92</v>
      </c>
      <c r="J300" s="14">
        <v>2</v>
      </c>
      <c r="K300" s="14">
        <v>0.8</v>
      </c>
      <c r="L300" s="14">
        <v>0.46999999999999897</v>
      </c>
      <c r="M300" s="14">
        <v>1.02</v>
      </c>
      <c r="N300" s="14">
        <v>4.4000000000000004</v>
      </c>
      <c r="O300" s="14">
        <v>0.91</v>
      </c>
      <c r="P300" s="14">
        <v>2.0499999999999901</v>
      </c>
      <c r="Q300">
        <v>550</v>
      </c>
    </row>
    <row r="301" spans="3:17" x14ac:dyDescent="0.25">
      <c r="C301" s="15" t="s">
        <v>131</v>
      </c>
      <c r="D301" s="14" t="s">
        <v>13</v>
      </c>
      <c r="E301" s="14">
        <v>13.2899999999999</v>
      </c>
      <c r="F301" s="14">
        <v>1.97</v>
      </c>
      <c r="G301" s="14">
        <v>2.68</v>
      </c>
      <c r="H301" s="14">
        <v>16.8</v>
      </c>
      <c r="I301" s="14">
        <v>102</v>
      </c>
      <c r="J301" s="14">
        <v>3</v>
      </c>
      <c r="K301" s="14">
        <v>3.23</v>
      </c>
      <c r="L301" s="14">
        <v>0.31</v>
      </c>
      <c r="M301" s="14">
        <v>1.6599999999999899</v>
      </c>
      <c r="N301" s="14">
        <v>6</v>
      </c>
      <c r="O301" s="14">
        <v>1.07</v>
      </c>
      <c r="P301" s="14">
        <v>2.8399999999999901</v>
      </c>
      <c r="Q301">
        <v>1270</v>
      </c>
    </row>
    <row r="302" spans="3:17" x14ac:dyDescent="0.25">
      <c r="C302" s="15" t="s">
        <v>175</v>
      </c>
      <c r="D302" s="14" t="s">
        <v>14</v>
      </c>
      <c r="E302" s="14">
        <v>12.6</v>
      </c>
      <c r="F302" s="14">
        <v>1.34</v>
      </c>
      <c r="G302" s="14">
        <v>1.8999999999999899</v>
      </c>
      <c r="H302" s="14">
        <v>18.5</v>
      </c>
      <c r="I302" s="14">
        <v>88</v>
      </c>
      <c r="J302" s="14">
        <v>1.45</v>
      </c>
      <c r="K302" s="14">
        <v>1.36</v>
      </c>
      <c r="L302" s="14">
        <v>0.28999999999999898</v>
      </c>
      <c r="M302" s="14">
        <v>1.35</v>
      </c>
      <c r="N302" s="14">
        <v>2.4500000000000002</v>
      </c>
      <c r="O302" s="14">
        <v>1.04</v>
      </c>
      <c r="P302" s="14">
        <v>2.77</v>
      </c>
      <c r="Q302">
        <v>562</v>
      </c>
    </row>
    <row r="303" spans="3:17" x14ac:dyDescent="0.25">
      <c r="C303" s="15" t="s">
        <v>298</v>
      </c>
      <c r="D303" s="14" t="s">
        <v>14</v>
      </c>
      <c r="E303" s="14">
        <v>12.21</v>
      </c>
      <c r="F303" s="14">
        <v>1.18999999999999</v>
      </c>
      <c r="G303" s="14">
        <v>1.75</v>
      </c>
      <c r="H303" s="14">
        <v>16.8</v>
      </c>
      <c r="I303" s="14">
        <v>151</v>
      </c>
      <c r="J303" s="14">
        <v>1.85</v>
      </c>
      <c r="K303" s="14">
        <v>1.28</v>
      </c>
      <c r="L303" s="14">
        <v>0.14000000000000001</v>
      </c>
      <c r="M303" s="14">
        <v>2.5</v>
      </c>
      <c r="N303" s="14">
        <v>2.85</v>
      </c>
      <c r="O303" s="14">
        <v>1.28</v>
      </c>
      <c r="P303" s="14">
        <v>3.0699999999999901</v>
      </c>
      <c r="Q303">
        <v>718</v>
      </c>
    </row>
    <row r="304" spans="3:17" x14ac:dyDescent="0.25">
      <c r="C304" s="15" t="s">
        <v>136</v>
      </c>
      <c r="D304" s="14" t="s">
        <v>14</v>
      </c>
      <c r="E304" s="14">
        <v>13.67</v>
      </c>
      <c r="F304" s="14">
        <v>1.25</v>
      </c>
      <c r="G304" s="14">
        <v>1.9199999999999899</v>
      </c>
      <c r="H304" s="14">
        <v>18</v>
      </c>
      <c r="I304" s="14">
        <v>94</v>
      </c>
      <c r="J304" s="14">
        <v>2.1</v>
      </c>
      <c r="K304" s="14">
        <v>1.79</v>
      </c>
      <c r="L304" s="14">
        <v>0.32</v>
      </c>
      <c r="M304" s="14">
        <v>0.72999999999999898</v>
      </c>
      <c r="N304" s="14">
        <v>3.7999999999999901</v>
      </c>
      <c r="O304" s="14">
        <v>1.23</v>
      </c>
      <c r="P304" s="14">
        <v>2.46</v>
      </c>
      <c r="Q304">
        <v>630</v>
      </c>
    </row>
    <row r="305" spans="3:17" x14ac:dyDescent="0.25">
      <c r="C305" s="15" t="s">
        <v>326</v>
      </c>
      <c r="D305" s="14" t="s">
        <v>14</v>
      </c>
      <c r="E305" s="14">
        <v>12.2899999999999</v>
      </c>
      <c r="F305" s="14">
        <v>1.4099999999999899</v>
      </c>
      <c r="G305" s="14">
        <v>1.98</v>
      </c>
      <c r="H305" s="14">
        <v>16</v>
      </c>
      <c r="I305" s="14">
        <v>85</v>
      </c>
      <c r="J305" s="14">
        <v>2.5499999999999901</v>
      </c>
      <c r="K305" s="14">
        <v>2.5</v>
      </c>
      <c r="L305" s="14">
        <v>0.28999999999999898</v>
      </c>
      <c r="M305" s="14">
        <v>1.77</v>
      </c>
      <c r="N305" s="14">
        <v>2.8999999999999901</v>
      </c>
      <c r="O305" s="14">
        <v>1.23</v>
      </c>
      <c r="P305" s="14">
        <v>2.74</v>
      </c>
      <c r="Q305">
        <v>428</v>
      </c>
    </row>
    <row r="306" spans="3:17" x14ac:dyDescent="0.25">
      <c r="C306" s="15" t="s">
        <v>399</v>
      </c>
      <c r="D306" s="14" t="s">
        <v>15</v>
      </c>
      <c r="E306" s="14">
        <v>12.1999999999999</v>
      </c>
      <c r="F306" s="14">
        <v>3.02999999999999</v>
      </c>
      <c r="G306" s="14">
        <v>2.3199999999999901</v>
      </c>
      <c r="H306" s="14">
        <v>19</v>
      </c>
      <c r="I306" s="14">
        <v>96</v>
      </c>
      <c r="J306" s="14">
        <v>1.25</v>
      </c>
      <c r="K306" s="14">
        <v>0.48999999999999899</v>
      </c>
      <c r="L306" s="14">
        <v>0.4</v>
      </c>
      <c r="M306" s="14">
        <v>0.72999999999999898</v>
      </c>
      <c r="N306" s="14">
        <v>5.5</v>
      </c>
      <c r="O306" s="14">
        <v>0.66</v>
      </c>
      <c r="P306" s="14">
        <v>1.83</v>
      </c>
      <c r="Q306">
        <v>510</v>
      </c>
    </row>
    <row r="307" spans="3:17" x14ac:dyDescent="0.25">
      <c r="C307" s="15" t="s">
        <v>357</v>
      </c>
      <c r="D307" s="14" t="s">
        <v>14</v>
      </c>
      <c r="E307" s="14">
        <v>12.3699999999999</v>
      </c>
      <c r="F307" s="14">
        <v>1.6299999999999899</v>
      </c>
      <c r="G307" s="14">
        <v>2.2999999999999901</v>
      </c>
      <c r="H307" s="14">
        <v>24.5</v>
      </c>
      <c r="I307" s="14">
        <v>88</v>
      </c>
      <c r="J307" s="14">
        <v>2.2200000000000002</v>
      </c>
      <c r="K307" s="14">
        <v>2.4500000000000002</v>
      </c>
      <c r="L307" s="14">
        <v>0.4</v>
      </c>
      <c r="M307" s="14">
        <v>1.8999999999999899</v>
      </c>
      <c r="N307" s="14">
        <v>2.12</v>
      </c>
      <c r="O307" s="14">
        <v>0.89</v>
      </c>
      <c r="P307" s="14">
        <v>2.77999999999999</v>
      </c>
      <c r="Q307">
        <v>342</v>
      </c>
    </row>
    <row r="308" spans="3:17" x14ac:dyDescent="0.25">
      <c r="C308" s="15" t="s">
        <v>338</v>
      </c>
      <c r="D308" s="14" t="s">
        <v>14</v>
      </c>
      <c r="E308" s="14">
        <v>11.6099999999999</v>
      </c>
      <c r="F308" s="14">
        <v>1.35</v>
      </c>
      <c r="G308" s="14">
        <v>2.7</v>
      </c>
      <c r="H308" s="14">
        <v>20</v>
      </c>
      <c r="I308" s="14">
        <v>94</v>
      </c>
      <c r="J308" s="14">
        <v>2.74</v>
      </c>
      <c r="K308" s="14">
        <v>2.9199999999999902</v>
      </c>
      <c r="L308" s="14">
        <v>0.28999999999999898</v>
      </c>
      <c r="M308" s="14">
        <v>2.4900000000000002</v>
      </c>
      <c r="N308" s="14">
        <v>2.6499999999999901</v>
      </c>
      <c r="O308" s="14">
        <v>0.95999999999999897</v>
      </c>
      <c r="P308" s="14">
        <v>3.25999999999999</v>
      </c>
      <c r="Q308">
        <v>680</v>
      </c>
    </row>
    <row r="309" spans="3:17" x14ac:dyDescent="0.25">
      <c r="C309" s="15" t="s">
        <v>248</v>
      </c>
      <c r="D309" s="14" t="s">
        <v>15</v>
      </c>
      <c r="E309" s="14">
        <v>13.4</v>
      </c>
      <c r="F309" s="14">
        <v>3.91</v>
      </c>
      <c r="G309" s="14">
        <v>2.48</v>
      </c>
      <c r="H309" s="14">
        <v>23</v>
      </c>
      <c r="I309" s="14">
        <v>102</v>
      </c>
      <c r="J309" s="14">
        <v>1.8</v>
      </c>
      <c r="K309" s="14">
        <v>0.75</v>
      </c>
      <c r="L309" s="14">
        <v>0.42999999999999899</v>
      </c>
      <c r="M309" s="14">
        <v>1.4099999999999899</v>
      </c>
      <c r="N309" s="14">
        <v>7.2999999999999901</v>
      </c>
      <c r="O309" s="14">
        <v>0.69999999999999896</v>
      </c>
      <c r="P309" s="14">
        <v>1.56</v>
      </c>
      <c r="Q309">
        <v>750</v>
      </c>
    </row>
    <row r="310" spans="3:17" x14ac:dyDescent="0.25">
      <c r="C310" s="15" t="s">
        <v>250</v>
      </c>
      <c r="D310" s="14" t="s">
        <v>15</v>
      </c>
      <c r="E310" s="14">
        <v>13.17</v>
      </c>
      <c r="F310" s="14">
        <v>2.5899999999999901</v>
      </c>
      <c r="G310" s="14">
        <v>2.37</v>
      </c>
      <c r="H310" s="14">
        <v>20</v>
      </c>
      <c r="I310" s="14">
        <v>120</v>
      </c>
      <c r="J310" s="14">
        <v>1.6499999999999899</v>
      </c>
      <c r="K310" s="14">
        <v>0.68</v>
      </c>
      <c r="L310" s="14">
        <v>0.53</v>
      </c>
      <c r="M310" s="14">
        <v>1.46</v>
      </c>
      <c r="N310" s="14">
        <v>9.3000000000000007</v>
      </c>
      <c r="O310" s="14">
        <v>0.59999999999999898</v>
      </c>
      <c r="P310" s="14">
        <v>1.62</v>
      </c>
      <c r="Q310">
        <v>840</v>
      </c>
    </row>
    <row r="311" spans="3:17" x14ac:dyDescent="0.25">
      <c r="C311" s="15" t="s">
        <v>246</v>
      </c>
      <c r="D311" s="14" t="s">
        <v>15</v>
      </c>
      <c r="E311" s="14">
        <v>14.16</v>
      </c>
      <c r="F311" s="14">
        <v>2.50999999999999</v>
      </c>
      <c r="G311" s="14">
        <v>2.48</v>
      </c>
      <c r="H311" s="14">
        <v>20</v>
      </c>
      <c r="I311" s="14">
        <v>91</v>
      </c>
      <c r="J311" s="14">
        <v>1.6799999999999899</v>
      </c>
      <c r="K311" s="14">
        <v>0.69999999999999896</v>
      </c>
      <c r="L311" s="14">
        <v>0.44</v>
      </c>
      <c r="M311" s="14">
        <v>1.24</v>
      </c>
      <c r="N311" s="14">
        <v>9.6999999999999904</v>
      </c>
      <c r="O311" s="14">
        <v>0.62</v>
      </c>
      <c r="P311" s="14">
        <v>1.71</v>
      </c>
      <c r="Q311">
        <v>660</v>
      </c>
    </row>
    <row r="312" spans="3:17" x14ac:dyDescent="0.25">
      <c r="C312" s="15" t="s">
        <v>272</v>
      </c>
      <c r="D312" s="14" t="s">
        <v>13</v>
      </c>
      <c r="E312" s="14">
        <v>13.24</v>
      </c>
      <c r="F312" s="14">
        <v>3.98</v>
      </c>
      <c r="G312" s="14">
        <v>2.29</v>
      </c>
      <c r="H312" s="14">
        <v>17.5</v>
      </c>
      <c r="I312" s="14">
        <v>103</v>
      </c>
      <c r="J312" s="14">
        <v>2.64</v>
      </c>
      <c r="K312" s="14">
        <v>2.6299999999999901</v>
      </c>
      <c r="L312" s="14">
        <v>0.32</v>
      </c>
      <c r="M312" s="14">
        <v>1.6599999999999899</v>
      </c>
      <c r="N312" s="14">
        <v>4.3600000000000003</v>
      </c>
      <c r="O312" s="14">
        <v>0.81999999999999895</v>
      </c>
      <c r="P312" s="14">
        <v>3</v>
      </c>
      <c r="Q312">
        <v>680</v>
      </c>
    </row>
    <row r="313" spans="3:17" x14ac:dyDescent="0.25">
      <c r="C313" s="15" t="s">
        <v>80</v>
      </c>
      <c r="D313" s="14" t="s">
        <v>13</v>
      </c>
      <c r="E313" s="14">
        <v>14.39</v>
      </c>
      <c r="F313" s="14">
        <v>1.87</v>
      </c>
      <c r="G313" s="14">
        <v>2.4500000000000002</v>
      </c>
      <c r="H313" s="14">
        <v>14.6</v>
      </c>
      <c r="I313" s="14">
        <v>96</v>
      </c>
      <c r="J313" s="14">
        <v>2.5</v>
      </c>
      <c r="K313" s="14">
        <v>2.52</v>
      </c>
      <c r="L313" s="14">
        <v>0.29999999999999899</v>
      </c>
      <c r="M313" s="14">
        <v>1.98</v>
      </c>
      <c r="N313" s="14">
        <v>5.25</v>
      </c>
      <c r="O313" s="14">
        <v>1.02</v>
      </c>
      <c r="P313" s="14">
        <v>3.58</v>
      </c>
      <c r="Q313">
        <v>1290</v>
      </c>
    </row>
    <row r="314" spans="3:17" x14ac:dyDescent="0.25">
      <c r="C314" s="15" t="s">
        <v>159</v>
      </c>
      <c r="D314" s="14" t="s">
        <v>14</v>
      </c>
      <c r="E314" s="14">
        <v>12.67</v>
      </c>
      <c r="F314" s="14">
        <v>0.97999999999999898</v>
      </c>
      <c r="G314" s="14">
        <v>2.2400000000000002</v>
      </c>
      <c r="H314" s="14">
        <v>18</v>
      </c>
      <c r="I314" s="14">
        <v>99</v>
      </c>
      <c r="J314" s="14">
        <v>2.2000000000000002</v>
      </c>
      <c r="K314" s="14">
        <v>1.93999999999999</v>
      </c>
      <c r="L314" s="14">
        <v>0.29999999999999899</v>
      </c>
      <c r="M314" s="14">
        <v>1.46</v>
      </c>
      <c r="N314" s="14">
        <v>2.62</v>
      </c>
      <c r="O314" s="14">
        <v>1.23</v>
      </c>
      <c r="P314" s="14">
        <v>3.16</v>
      </c>
      <c r="Q314">
        <v>450</v>
      </c>
    </row>
    <row r="315" spans="3:17" x14ac:dyDescent="0.25">
      <c r="C315" s="15" t="s">
        <v>364</v>
      </c>
      <c r="D315" s="14" t="s">
        <v>15</v>
      </c>
      <c r="E315" s="14">
        <v>12.6</v>
      </c>
      <c r="F315" s="14">
        <v>2.46</v>
      </c>
      <c r="G315" s="14">
        <v>2.2000000000000002</v>
      </c>
      <c r="H315" s="14">
        <v>18.5</v>
      </c>
      <c r="I315" s="14">
        <v>94</v>
      </c>
      <c r="J315" s="14">
        <v>1.62</v>
      </c>
      <c r="K315" s="14">
        <v>0.66</v>
      </c>
      <c r="L315" s="14">
        <v>0.63</v>
      </c>
      <c r="M315" s="14">
        <v>0.93999999999999895</v>
      </c>
      <c r="N315" s="14">
        <v>7.0999999999999899</v>
      </c>
      <c r="O315" s="14">
        <v>0.72999999999999898</v>
      </c>
      <c r="P315" s="14">
        <v>1.58</v>
      </c>
      <c r="Q315">
        <v>695</v>
      </c>
    </row>
    <row r="316" spans="3:17" x14ac:dyDescent="0.25">
      <c r="C316" s="15" t="s">
        <v>103</v>
      </c>
      <c r="D316" s="14" t="s">
        <v>13</v>
      </c>
      <c r="E316" s="14">
        <v>14.02</v>
      </c>
      <c r="F316" s="14">
        <v>1.6799999999999899</v>
      </c>
      <c r="G316" s="14">
        <v>2.21</v>
      </c>
      <c r="H316" s="14">
        <v>16</v>
      </c>
      <c r="I316" s="14">
        <v>96</v>
      </c>
      <c r="J316" s="14">
        <v>2.6499999999999901</v>
      </c>
      <c r="K316" s="14">
        <v>2.33</v>
      </c>
      <c r="L316" s="14">
        <v>0.26</v>
      </c>
      <c r="M316" s="14">
        <v>1.98</v>
      </c>
      <c r="N316" s="14">
        <v>4.7</v>
      </c>
      <c r="O316" s="14">
        <v>1.04</v>
      </c>
      <c r="P316" s="14">
        <v>3.5899999999999901</v>
      </c>
      <c r="Q316">
        <v>1035</v>
      </c>
    </row>
    <row r="317" spans="3:17" x14ac:dyDescent="0.25">
      <c r="C317" s="15" t="s">
        <v>140</v>
      </c>
      <c r="D317" s="14" t="s">
        <v>14</v>
      </c>
      <c r="E317" s="14">
        <v>13.1099999999999</v>
      </c>
      <c r="F317" s="14">
        <v>1.01</v>
      </c>
      <c r="G317" s="14">
        <v>1.7</v>
      </c>
      <c r="H317" s="14">
        <v>15</v>
      </c>
      <c r="I317" s="14">
        <v>78</v>
      </c>
      <c r="J317" s="14">
        <v>2.98</v>
      </c>
      <c r="K317" s="14">
        <v>3.18</v>
      </c>
      <c r="L317" s="14">
        <v>0.26</v>
      </c>
      <c r="M317" s="14">
        <v>2.27999999999999</v>
      </c>
      <c r="N317" s="14">
        <v>5.2999999999999901</v>
      </c>
      <c r="O317" s="14">
        <v>1.1200000000000001</v>
      </c>
      <c r="P317" s="14">
        <v>3.18</v>
      </c>
      <c r="Q317">
        <v>502</v>
      </c>
    </row>
    <row r="318" spans="3:17" x14ac:dyDescent="0.25">
      <c r="C318" s="15" t="s">
        <v>158</v>
      </c>
      <c r="D318" s="14" t="s">
        <v>14</v>
      </c>
      <c r="E318" s="14">
        <v>11.84</v>
      </c>
      <c r="F318" s="14">
        <v>0.89</v>
      </c>
      <c r="G318" s="14">
        <v>2.58</v>
      </c>
      <c r="H318" s="14">
        <v>18</v>
      </c>
      <c r="I318" s="14">
        <v>94</v>
      </c>
      <c r="J318" s="14">
        <v>2.2000000000000002</v>
      </c>
      <c r="K318" s="14">
        <v>2.21</v>
      </c>
      <c r="L318" s="14">
        <v>0.22</v>
      </c>
      <c r="M318" s="14">
        <v>2.35</v>
      </c>
      <c r="N318" s="14">
        <v>3.0499999999999901</v>
      </c>
      <c r="O318" s="14">
        <v>0.79</v>
      </c>
      <c r="P318" s="14">
        <v>3.08</v>
      </c>
      <c r="Q318">
        <v>520</v>
      </c>
    </row>
    <row r="319" spans="3:17" x14ac:dyDescent="0.25">
      <c r="C319" s="15" t="s">
        <v>344</v>
      </c>
      <c r="D319" s="14" t="s">
        <v>14</v>
      </c>
      <c r="E319" s="14">
        <v>11.0299999999999</v>
      </c>
      <c r="F319" s="14">
        <v>1.51</v>
      </c>
      <c r="G319" s="14">
        <v>2.2000000000000002</v>
      </c>
      <c r="H319" s="14">
        <v>21.5</v>
      </c>
      <c r="I319" s="14">
        <v>85</v>
      </c>
      <c r="J319" s="14">
        <v>2.46</v>
      </c>
      <c r="K319" s="14">
        <v>2.1699999999999902</v>
      </c>
      <c r="L319" s="14">
        <v>0.52</v>
      </c>
      <c r="M319" s="14">
        <v>2.00999999999999</v>
      </c>
      <c r="N319" s="14">
        <v>1.8999999999999899</v>
      </c>
      <c r="O319" s="14">
        <v>1.71</v>
      </c>
      <c r="P319" s="14">
        <v>2.87</v>
      </c>
      <c r="Q319">
        <v>407</v>
      </c>
    </row>
    <row r="320" spans="3:17" x14ac:dyDescent="0.25">
      <c r="C320" s="15" t="s">
        <v>210</v>
      </c>
      <c r="D320" s="14" t="s">
        <v>15</v>
      </c>
      <c r="E320" s="14">
        <v>12.25</v>
      </c>
      <c r="F320" s="14">
        <v>4.71999999999999</v>
      </c>
      <c r="G320" s="14">
        <v>2.54</v>
      </c>
      <c r="H320" s="14">
        <v>21</v>
      </c>
      <c r="I320" s="14">
        <v>89</v>
      </c>
      <c r="J320" s="14">
        <v>1.3799999999999899</v>
      </c>
      <c r="K320" s="14">
        <v>0.46999999999999897</v>
      </c>
      <c r="L320" s="14">
        <v>0.53</v>
      </c>
      <c r="M320" s="14">
        <v>0.8</v>
      </c>
      <c r="N320" s="14">
        <v>3.85</v>
      </c>
      <c r="O320" s="14">
        <v>0.75</v>
      </c>
      <c r="P320" s="14">
        <v>1.27</v>
      </c>
      <c r="Q320">
        <v>720</v>
      </c>
    </row>
    <row r="321" spans="3:17" x14ac:dyDescent="0.25">
      <c r="C321" s="15" t="s">
        <v>148</v>
      </c>
      <c r="D321" s="14" t="s">
        <v>14</v>
      </c>
      <c r="E321" s="14">
        <v>11.96</v>
      </c>
      <c r="F321" s="14">
        <v>1.0900000000000001</v>
      </c>
      <c r="G321" s="14">
        <v>2.2999999999999901</v>
      </c>
      <c r="H321" s="14">
        <v>21</v>
      </c>
      <c r="I321" s="14">
        <v>101</v>
      </c>
      <c r="J321" s="14">
        <v>3.3799999999999901</v>
      </c>
      <c r="K321" s="14">
        <v>2.14</v>
      </c>
      <c r="L321" s="14">
        <v>0.13</v>
      </c>
      <c r="M321" s="14">
        <v>1.6499999999999899</v>
      </c>
      <c r="N321" s="14">
        <v>3.21</v>
      </c>
      <c r="O321" s="14">
        <v>0.98999999999999899</v>
      </c>
      <c r="P321" s="14">
        <v>3.1299999999999901</v>
      </c>
      <c r="Q321">
        <v>886</v>
      </c>
    </row>
    <row r="322" spans="3:17" x14ac:dyDescent="0.25">
      <c r="C322" s="15" t="s">
        <v>184</v>
      </c>
      <c r="D322" s="14" t="s">
        <v>14</v>
      </c>
      <c r="E322" s="14">
        <v>11.46</v>
      </c>
      <c r="F322" s="14">
        <v>3.74</v>
      </c>
      <c r="G322" s="14">
        <v>1.82</v>
      </c>
      <c r="H322" s="14">
        <v>19.5</v>
      </c>
      <c r="I322" s="14">
        <v>107</v>
      </c>
      <c r="J322" s="14">
        <v>3.18</v>
      </c>
      <c r="K322" s="14">
        <v>2.58</v>
      </c>
      <c r="L322" s="14">
        <v>0.23999999999999899</v>
      </c>
      <c r="M322" s="14">
        <v>3.58</v>
      </c>
      <c r="N322" s="14">
        <v>2.8999999999999901</v>
      </c>
      <c r="O322" s="14">
        <v>0.75</v>
      </c>
      <c r="P322" s="14">
        <v>2.81</v>
      </c>
      <c r="Q322">
        <v>562</v>
      </c>
    </row>
    <row r="323" spans="3:17" x14ac:dyDescent="0.25">
      <c r="C323" s="15" t="s">
        <v>125</v>
      </c>
      <c r="D323" s="14" t="s">
        <v>13</v>
      </c>
      <c r="E323" s="14">
        <v>13.83</v>
      </c>
      <c r="F323" s="14">
        <v>1.6499999999999899</v>
      </c>
      <c r="G323" s="14">
        <v>2.6</v>
      </c>
      <c r="H323" s="14">
        <v>17.1999999999999</v>
      </c>
      <c r="I323" s="14">
        <v>94</v>
      </c>
      <c r="J323" s="14">
        <v>2.4500000000000002</v>
      </c>
      <c r="K323" s="14">
        <v>2.99</v>
      </c>
      <c r="L323" s="14">
        <v>0.22</v>
      </c>
      <c r="M323" s="14">
        <v>2.29</v>
      </c>
      <c r="N323" s="14">
        <v>5.5999999999999899</v>
      </c>
      <c r="O323" s="14">
        <v>1.24</v>
      </c>
      <c r="P323" s="14">
        <v>3.37</v>
      </c>
      <c r="Q323">
        <v>1265</v>
      </c>
    </row>
    <row r="324" spans="3:17" x14ac:dyDescent="0.25">
      <c r="C324" s="15" t="s">
        <v>113</v>
      </c>
      <c r="D324" s="14" t="s">
        <v>13</v>
      </c>
      <c r="E324" s="14">
        <v>14.22</v>
      </c>
      <c r="F324" s="14">
        <v>3.99</v>
      </c>
      <c r="G324" s="14">
        <v>2.50999999999999</v>
      </c>
      <c r="H324" s="14">
        <v>13.1999999999999</v>
      </c>
      <c r="I324" s="14">
        <v>128</v>
      </c>
      <c r="J324" s="14">
        <v>3</v>
      </c>
      <c r="K324" s="14">
        <v>3.04</v>
      </c>
      <c r="L324" s="14">
        <v>0.2</v>
      </c>
      <c r="M324" s="14">
        <v>2.08</v>
      </c>
      <c r="N324" s="14">
        <v>5.0999999999999899</v>
      </c>
      <c r="O324" s="14">
        <v>0.89</v>
      </c>
      <c r="P324" s="14">
        <v>3.52999999999999</v>
      </c>
      <c r="Q324">
        <v>760</v>
      </c>
    </row>
    <row r="325" spans="3:17" x14ac:dyDescent="0.25">
      <c r="C325" s="15" t="s">
        <v>385</v>
      </c>
      <c r="D325" s="14" t="s">
        <v>15</v>
      </c>
      <c r="E325" s="14">
        <v>13.84</v>
      </c>
      <c r="F325" s="14">
        <v>4.12</v>
      </c>
      <c r="G325" s="14">
        <v>2.3799999999999901</v>
      </c>
      <c r="H325" s="14">
        <v>19.5</v>
      </c>
      <c r="I325" s="14">
        <v>89</v>
      </c>
      <c r="J325" s="14">
        <v>1.8</v>
      </c>
      <c r="K325" s="14">
        <v>0.82999999999999896</v>
      </c>
      <c r="L325" s="14">
        <v>0.47999999999999898</v>
      </c>
      <c r="M325" s="14">
        <v>1.56</v>
      </c>
      <c r="N325" s="14">
        <v>9.0099999999999891</v>
      </c>
      <c r="O325" s="14">
        <v>0.56999999999999895</v>
      </c>
      <c r="P325" s="14">
        <v>1.6399999999999899</v>
      </c>
      <c r="Q325">
        <v>480</v>
      </c>
    </row>
    <row r="326" spans="3:17" x14ac:dyDescent="0.25">
      <c r="C326" s="15" t="s">
        <v>299</v>
      </c>
      <c r="D326" s="14" t="s">
        <v>14</v>
      </c>
      <c r="E326" s="14">
        <v>12.2899999999999</v>
      </c>
      <c r="F326" s="14">
        <v>1.61</v>
      </c>
      <c r="G326" s="14">
        <v>2.21</v>
      </c>
      <c r="H326" s="14">
        <v>20.399999999999899</v>
      </c>
      <c r="I326" s="14">
        <v>103</v>
      </c>
      <c r="J326" s="14">
        <v>1.1000000000000001</v>
      </c>
      <c r="K326" s="14">
        <v>1.02</v>
      </c>
      <c r="L326" s="14">
        <v>0.37</v>
      </c>
      <c r="M326" s="14">
        <v>1.46</v>
      </c>
      <c r="N326" s="14">
        <v>3.0499999999999901</v>
      </c>
      <c r="O326" s="14">
        <v>0.90600000000000003</v>
      </c>
      <c r="P326" s="14">
        <v>1.82</v>
      </c>
      <c r="Q326">
        <v>870</v>
      </c>
    </row>
    <row r="327" spans="3:17" x14ac:dyDescent="0.25">
      <c r="C327" s="15" t="s">
        <v>166</v>
      </c>
      <c r="D327" s="14" t="s">
        <v>14</v>
      </c>
      <c r="E327" s="14">
        <v>12.69</v>
      </c>
      <c r="F327" s="14">
        <v>1.53</v>
      </c>
      <c r="G327" s="14">
        <v>2.25999999999999</v>
      </c>
      <c r="H327" s="14">
        <v>20.6999999999999</v>
      </c>
      <c r="I327" s="14">
        <v>80</v>
      </c>
      <c r="J327" s="14">
        <v>1.3799999999999899</v>
      </c>
      <c r="K327" s="14">
        <v>1.46</v>
      </c>
      <c r="L327" s="14">
        <v>0.57999999999999896</v>
      </c>
      <c r="M327" s="14">
        <v>1.62</v>
      </c>
      <c r="N327" s="14">
        <v>3.0499999999999901</v>
      </c>
      <c r="O327" s="14">
        <v>0.95999999999999897</v>
      </c>
      <c r="P327" s="14">
        <v>2.06</v>
      </c>
      <c r="Q327">
        <v>495</v>
      </c>
    </row>
    <row r="328" spans="3:17" x14ac:dyDescent="0.25">
      <c r="C328" s="15" t="s">
        <v>289</v>
      </c>
      <c r="D328" s="14" t="s">
        <v>14</v>
      </c>
      <c r="E328" s="14">
        <v>12.33</v>
      </c>
      <c r="F328" s="14">
        <v>1.1000000000000001</v>
      </c>
      <c r="G328" s="14">
        <v>2.27999999999999</v>
      </c>
      <c r="H328" s="14">
        <v>16</v>
      </c>
      <c r="I328" s="14">
        <v>101</v>
      </c>
      <c r="J328" s="14">
        <v>2.0499999999999901</v>
      </c>
      <c r="K328" s="14">
        <v>1.0900000000000001</v>
      </c>
      <c r="L328" s="14">
        <v>0.63</v>
      </c>
      <c r="M328" s="14">
        <v>0.40999999999999898</v>
      </c>
      <c r="N328" s="14">
        <v>3.27</v>
      </c>
      <c r="O328" s="14">
        <v>1.25</v>
      </c>
      <c r="P328" s="14">
        <v>1.6699999999999899</v>
      </c>
      <c r="Q328">
        <v>680</v>
      </c>
    </row>
    <row r="329" spans="3:17" x14ac:dyDescent="0.25">
      <c r="C329" s="15" t="s">
        <v>176</v>
      </c>
      <c r="D329" s="14" t="s">
        <v>14</v>
      </c>
      <c r="E329" s="14">
        <v>12.34</v>
      </c>
      <c r="F329" s="14">
        <v>2.4500000000000002</v>
      </c>
      <c r="G329" s="14">
        <v>2.46</v>
      </c>
      <c r="H329" s="14">
        <v>21</v>
      </c>
      <c r="I329" s="14">
        <v>98</v>
      </c>
      <c r="J329" s="14">
        <v>2.56</v>
      </c>
      <c r="K329" s="14">
        <v>2.1099999999999901</v>
      </c>
      <c r="L329" s="14">
        <v>0.34</v>
      </c>
      <c r="M329" s="14">
        <v>1.31</v>
      </c>
      <c r="N329" s="14">
        <v>2.7999999999999901</v>
      </c>
      <c r="O329" s="14">
        <v>0.8</v>
      </c>
      <c r="P329" s="14">
        <v>3.3799999999999901</v>
      </c>
      <c r="Q329">
        <v>438</v>
      </c>
    </row>
    <row r="330" spans="3:17" x14ac:dyDescent="0.25">
      <c r="C330" s="15" t="s">
        <v>204</v>
      </c>
      <c r="D330" s="14" t="s">
        <v>15</v>
      </c>
      <c r="E330" s="14">
        <v>12.8599999999999</v>
      </c>
      <c r="F330" s="14">
        <v>1.35</v>
      </c>
      <c r="G330" s="14">
        <v>2.3199999999999901</v>
      </c>
      <c r="H330" s="14">
        <v>18</v>
      </c>
      <c r="I330" s="14">
        <v>122</v>
      </c>
      <c r="J330" s="14">
        <v>1.51</v>
      </c>
      <c r="K330" s="14">
        <v>1.25</v>
      </c>
      <c r="L330" s="14">
        <v>0.20999999999999899</v>
      </c>
      <c r="M330" s="14">
        <v>0.93999999999999895</v>
      </c>
      <c r="N330" s="14">
        <v>4.0999999999999899</v>
      </c>
      <c r="O330" s="14">
        <v>0.76</v>
      </c>
      <c r="P330" s="14">
        <v>1.29</v>
      </c>
      <c r="Q330">
        <v>630</v>
      </c>
    </row>
    <row r="331" spans="3:17" x14ac:dyDescent="0.25">
      <c r="C331" s="15" t="s">
        <v>374</v>
      </c>
      <c r="D331" s="14" t="s">
        <v>15</v>
      </c>
      <c r="E331" s="14">
        <v>13.16</v>
      </c>
      <c r="F331" s="14">
        <v>3.5699999999999901</v>
      </c>
      <c r="G331" s="14">
        <v>2.1499999999999901</v>
      </c>
      <c r="H331" s="14">
        <v>21</v>
      </c>
      <c r="I331" s="14">
        <v>102</v>
      </c>
      <c r="J331" s="14">
        <v>1.5</v>
      </c>
      <c r="K331" s="14">
        <v>0.55000000000000004</v>
      </c>
      <c r="L331" s="14">
        <v>0.42999999999999899</v>
      </c>
      <c r="M331" s="14">
        <v>1.3</v>
      </c>
      <c r="N331" s="14">
        <v>4</v>
      </c>
      <c r="O331" s="14">
        <v>0.59999999999999898</v>
      </c>
      <c r="P331" s="14">
        <v>1.6799999999999899</v>
      </c>
      <c r="Q331">
        <v>830</v>
      </c>
    </row>
    <row r="332" spans="3:17" x14ac:dyDescent="0.25">
      <c r="C332" s="15" t="s">
        <v>300</v>
      </c>
      <c r="D332" s="14" t="s">
        <v>14</v>
      </c>
      <c r="E332" s="14">
        <v>13.8599999999999</v>
      </c>
      <c r="F332" s="14">
        <v>1.51</v>
      </c>
      <c r="G332" s="14">
        <v>2.6699999999999902</v>
      </c>
      <c r="H332" s="14">
        <v>25</v>
      </c>
      <c r="I332" s="14">
        <v>86</v>
      </c>
      <c r="J332" s="14">
        <v>2.95</v>
      </c>
      <c r="K332" s="14">
        <v>2.8599999999999901</v>
      </c>
      <c r="L332" s="14">
        <v>0.20999999999999899</v>
      </c>
      <c r="M332" s="14">
        <v>1.87</v>
      </c>
      <c r="N332" s="14">
        <v>3.3799999999999901</v>
      </c>
      <c r="O332" s="14">
        <v>1.36</v>
      </c>
      <c r="P332" s="14">
        <v>3.16</v>
      </c>
      <c r="Q332">
        <v>410</v>
      </c>
    </row>
    <row r="333" spans="3:17" x14ac:dyDescent="0.25">
      <c r="C333" s="15" t="s">
        <v>279</v>
      </c>
      <c r="D333" s="14" t="s">
        <v>13</v>
      </c>
      <c r="E333" s="14">
        <v>13.05</v>
      </c>
      <c r="F333" s="14">
        <v>1.73</v>
      </c>
      <c r="G333" s="14">
        <v>2.04</v>
      </c>
      <c r="H333" s="14">
        <v>12.4</v>
      </c>
      <c r="I333" s="14">
        <v>92</v>
      </c>
      <c r="J333" s="14">
        <v>2.72</v>
      </c>
      <c r="K333" s="14">
        <v>3.27</v>
      </c>
      <c r="L333" s="14">
        <v>0.17</v>
      </c>
      <c r="M333" s="14">
        <v>2.91</v>
      </c>
      <c r="N333" s="14">
        <v>7.2</v>
      </c>
      <c r="O333" s="14">
        <v>1.1200000000000001</v>
      </c>
      <c r="P333" s="14">
        <v>2.91</v>
      </c>
      <c r="Q333">
        <v>1150</v>
      </c>
    </row>
    <row r="334" spans="3:17" x14ac:dyDescent="0.25">
      <c r="C334" s="15" t="s">
        <v>225</v>
      </c>
      <c r="D334" s="14" t="s">
        <v>15</v>
      </c>
      <c r="E334" s="14">
        <v>12.7899999999999</v>
      </c>
      <c r="F334" s="14">
        <v>2.6699999999999902</v>
      </c>
      <c r="G334" s="14">
        <v>2.48</v>
      </c>
      <c r="H334" s="14">
        <v>22</v>
      </c>
      <c r="I334" s="14">
        <v>112</v>
      </c>
      <c r="J334" s="14">
        <v>1.48</v>
      </c>
      <c r="K334" s="14">
        <v>1.36</v>
      </c>
      <c r="L334" s="14">
        <v>0.23999999999999899</v>
      </c>
      <c r="M334" s="14">
        <v>1.26</v>
      </c>
      <c r="N334" s="14">
        <v>10.8</v>
      </c>
      <c r="O334" s="14">
        <v>0.47999999999999898</v>
      </c>
      <c r="P334" s="14">
        <v>1.47</v>
      </c>
      <c r="Q334">
        <v>480</v>
      </c>
    </row>
    <row r="335" spans="3:17" x14ac:dyDescent="0.25">
      <c r="C335" s="15" t="s">
        <v>286</v>
      </c>
      <c r="D335" s="14" t="s">
        <v>13</v>
      </c>
      <c r="E335" s="14">
        <v>13.2899999999999</v>
      </c>
      <c r="F335" s="14">
        <v>1.97</v>
      </c>
      <c r="G335" s="14">
        <v>2.68</v>
      </c>
      <c r="H335" s="14">
        <v>16.8</v>
      </c>
      <c r="I335" s="14">
        <v>102</v>
      </c>
      <c r="J335" s="14">
        <v>3</v>
      </c>
      <c r="K335" s="14">
        <v>3.23</v>
      </c>
      <c r="L335" s="14">
        <v>0.31</v>
      </c>
      <c r="M335" s="14">
        <v>1.6599999999999899</v>
      </c>
      <c r="N335" s="14">
        <v>6</v>
      </c>
      <c r="O335" s="14">
        <v>1.07</v>
      </c>
      <c r="P335" s="14">
        <v>2.8399999999999901</v>
      </c>
      <c r="Q335">
        <v>1270</v>
      </c>
    </row>
    <row r="336" spans="3:17" x14ac:dyDescent="0.25">
      <c r="C336" s="15" t="s">
        <v>119</v>
      </c>
      <c r="D336" s="14" t="s">
        <v>13</v>
      </c>
      <c r="E336" s="14">
        <v>14.21</v>
      </c>
      <c r="F336" s="14">
        <v>4.04</v>
      </c>
      <c r="G336" s="14">
        <v>2.4399999999999902</v>
      </c>
      <c r="H336" s="14">
        <v>18.899999999999899</v>
      </c>
      <c r="I336" s="14">
        <v>111</v>
      </c>
      <c r="J336" s="14">
        <v>2.85</v>
      </c>
      <c r="K336" s="14">
        <v>2.6499999999999901</v>
      </c>
      <c r="L336" s="14">
        <v>0.29999999999999899</v>
      </c>
      <c r="M336" s="14">
        <v>1.25</v>
      </c>
      <c r="N336" s="14">
        <v>5.24</v>
      </c>
      <c r="O336" s="14">
        <v>0.87</v>
      </c>
      <c r="P336" s="14">
        <v>3.33</v>
      </c>
      <c r="Q336">
        <v>1080</v>
      </c>
    </row>
    <row r="337" spans="3:17" x14ac:dyDescent="0.25">
      <c r="C337" s="15" t="s">
        <v>82</v>
      </c>
      <c r="D337" s="14" t="s">
        <v>13</v>
      </c>
      <c r="E337" s="14">
        <v>14.83</v>
      </c>
      <c r="F337" s="14">
        <v>1.6399999999999899</v>
      </c>
      <c r="G337" s="14">
        <v>2.1699999999999902</v>
      </c>
      <c r="H337" s="14">
        <v>14</v>
      </c>
      <c r="I337" s="14">
        <v>97</v>
      </c>
      <c r="J337" s="14">
        <v>2.7999999999999901</v>
      </c>
      <c r="K337" s="14">
        <v>2.98</v>
      </c>
      <c r="L337" s="14">
        <v>0.28999999999999898</v>
      </c>
      <c r="M337" s="14">
        <v>1.98</v>
      </c>
      <c r="N337" s="14">
        <v>5.2</v>
      </c>
      <c r="O337" s="14">
        <v>1.08</v>
      </c>
      <c r="P337" s="14">
        <v>2.85</v>
      </c>
      <c r="Q337">
        <v>1045</v>
      </c>
    </row>
    <row r="338" spans="3:17" x14ac:dyDescent="0.25">
      <c r="C338" s="15" t="s">
        <v>304</v>
      </c>
      <c r="D338" s="14" t="s">
        <v>14</v>
      </c>
      <c r="E338" s="14">
        <v>11.66</v>
      </c>
      <c r="F338" s="14">
        <v>1.8799999999999899</v>
      </c>
      <c r="G338" s="14">
        <v>1.9199999999999899</v>
      </c>
      <c r="H338" s="14">
        <v>16</v>
      </c>
      <c r="I338" s="14">
        <v>97</v>
      </c>
      <c r="J338" s="14">
        <v>1.61</v>
      </c>
      <c r="K338" s="14">
        <v>1.57</v>
      </c>
      <c r="L338" s="14">
        <v>0.34</v>
      </c>
      <c r="M338" s="14">
        <v>1.1499999999999899</v>
      </c>
      <c r="N338" s="14">
        <v>3.7999999999999901</v>
      </c>
      <c r="O338" s="14">
        <v>1.23</v>
      </c>
      <c r="P338" s="14">
        <v>2.14</v>
      </c>
      <c r="Q338">
        <v>428</v>
      </c>
    </row>
    <row r="339" spans="3:17" x14ac:dyDescent="0.25">
      <c r="C339" s="15" t="s">
        <v>163</v>
      </c>
      <c r="D339" s="14" t="s">
        <v>14</v>
      </c>
      <c r="E339" s="14">
        <v>12.08</v>
      </c>
      <c r="F339" s="14">
        <v>1.33</v>
      </c>
      <c r="G339" s="14">
        <v>2.2999999999999901</v>
      </c>
      <c r="H339" s="14">
        <v>23.6</v>
      </c>
      <c r="I339" s="14">
        <v>70</v>
      </c>
      <c r="J339" s="14">
        <v>2.2000000000000002</v>
      </c>
      <c r="K339" s="14">
        <v>1.59</v>
      </c>
      <c r="L339" s="14">
        <v>0.41999999999999899</v>
      </c>
      <c r="M339" s="14">
        <v>1.3799999999999899</v>
      </c>
      <c r="N339" s="14">
        <v>1.74</v>
      </c>
      <c r="O339" s="14">
        <v>1.07</v>
      </c>
      <c r="P339" s="14">
        <v>3.21</v>
      </c>
      <c r="Q339">
        <v>625</v>
      </c>
    </row>
    <row r="340" spans="3:17" x14ac:dyDescent="0.25">
      <c r="C340" s="15" t="s">
        <v>152</v>
      </c>
      <c r="D340" s="14" t="s">
        <v>14</v>
      </c>
      <c r="E340" s="14">
        <v>12.33</v>
      </c>
      <c r="F340" s="14">
        <v>0.98999999999999899</v>
      </c>
      <c r="G340" s="14">
        <v>1.95</v>
      </c>
      <c r="H340" s="14">
        <v>14.8</v>
      </c>
      <c r="I340" s="14">
        <v>136</v>
      </c>
      <c r="J340" s="14">
        <v>1.8999999999999899</v>
      </c>
      <c r="K340" s="14">
        <v>1.85</v>
      </c>
      <c r="L340" s="14">
        <v>0.34999999999999898</v>
      </c>
      <c r="M340" s="14">
        <v>2.75999999999999</v>
      </c>
      <c r="N340" s="14">
        <v>3.3999999999999901</v>
      </c>
      <c r="O340" s="14">
        <v>1.06</v>
      </c>
      <c r="P340" s="14">
        <v>2.31</v>
      </c>
      <c r="Q340">
        <v>750</v>
      </c>
    </row>
    <row r="341" spans="3:17" x14ac:dyDescent="0.25">
      <c r="C341" s="15" t="s">
        <v>197</v>
      </c>
      <c r="D341" s="14" t="s">
        <v>14</v>
      </c>
      <c r="E341" s="14">
        <v>13.05</v>
      </c>
      <c r="F341" s="14">
        <v>5.7999999999999901</v>
      </c>
      <c r="G341" s="14">
        <v>2.1299999999999901</v>
      </c>
      <c r="H341" s="14">
        <v>21.5</v>
      </c>
      <c r="I341" s="14">
        <v>86</v>
      </c>
      <c r="J341" s="14">
        <v>2.62</v>
      </c>
      <c r="K341" s="14">
        <v>2.6499999999999901</v>
      </c>
      <c r="L341" s="14">
        <v>0.29999999999999899</v>
      </c>
      <c r="M341" s="14">
        <v>2.00999999999999</v>
      </c>
      <c r="N341" s="14">
        <v>2.6</v>
      </c>
      <c r="O341" s="14">
        <v>0.72999999999999898</v>
      </c>
      <c r="P341" s="14">
        <v>3.1</v>
      </c>
      <c r="Q341">
        <v>380</v>
      </c>
    </row>
    <row r="342" spans="3:17" x14ac:dyDescent="0.25">
      <c r="C342" s="15" t="s">
        <v>378</v>
      </c>
      <c r="D342" s="14" t="s">
        <v>15</v>
      </c>
      <c r="E342" s="14">
        <v>13.08</v>
      </c>
      <c r="F342" s="14">
        <v>3.8999999999999901</v>
      </c>
      <c r="G342" s="14">
        <v>2.3599999999999901</v>
      </c>
      <c r="H342" s="14">
        <v>21.5</v>
      </c>
      <c r="I342" s="14">
        <v>113</v>
      </c>
      <c r="J342" s="14">
        <v>1.4099999999999899</v>
      </c>
      <c r="K342" s="14">
        <v>1.3899999999999899</v>
      </c>
      <c r="L342" s="14">
        <v>0.34</v>
      </c>
      <c r="M342" s="14">
        <v>1.1399999999999899</v>
      </c>
      <c r="N342" s="14">
        <v>9.4</v>
      </c>
      <c r="O342" s="14">
        <v>0.56999999999999895</v>
      </c>
      <c r="P342" s="14">
        <v>1.33</v>
      </c>
      <c r="Q342">
        <v>550</v>
      </c>
    </row>
    <row r="343" spans="3:17" x14ac:dyDescent="0.25">
      <c r="C343" s="15" t="s">
        <v>233</v>
      </c>
      <c r="D343" s="14" t="s">
        <v>15</v>
      </c>
      <c r="E343" s="14">
        <v>13.48</v>
      </c>
      <c r="F343" s="14">
        <v>1.6699999999999899</v>
      </c>
      <c r="G343" s="14">
        <v>2.64</v>
      </c>
      <c r="H343" s="14">
        <v>22.5</v>
      </c>
      <c r="I343" s="14">
        <v>89</v>
      </c>
      <c r="J343" s="14">
        <v>2.6</v>
      </c>
      <c r="K343" s="14">
        <v>1.1000000000000001</v>
      </c>
      <c r="L343" s="14">
        <v>0.52</v>
      </c>
      <c r="M343" s="14">
        <v>2.29</v>
      </c>
      <c r="N343" s="14">
        <v>11.75</v>
      </c>
      <c r="O343" s="14">
        <v>0.56999999999999895</v>
      </c>
      <c r="P343" s="14">
        <v>1.78</v>
      </c>
      <c r="Q343">
        <v>620</v>
      </c>
    </row>
    <row r="344" spans="3:17" x14ac:dyDescent="0.25">
      <c r="C344" s="15" t="s">
        <v>346</v>
      </c>
      <c r="D344" s="14" t="s">
        <v>14</v>
      </c>
      <c r="E344" s="14">
        <v>12.42</v>
      </c>
      <c r="F344" s="14">
        <v>1.61</v>
      </c>
      <c r="G344" s="14">
        <v>2.1899999999999902</v>
      </c>
      <c r="H344" s="14">
        <v>22.5</v>
      </c>
      <c r="I344" s="14">
        <v>108</v>
      </c>
      <c r="J344" s="14">
        <v>2</v>
      </c>
      <c r="K344" s="14">
        <v>2.0899999999999901</v>
      </c>
      <c r="L344" s="14">
        <v>0.34</v>
      </c>
      <c r="M344" s="14">
        <v>1.61</v>
      </c>
      <c r="N344" s="14">
        <v>2.06</v>
      </c>
      <c r="O344" s="14">
        <v>1.06</v>
      </c>
      <c r="P344" s="14">
        <v>2.96</v>
      </c>
      <c r="Q344">
        <v>345</v>
      </c>
    </row>
    <row r="345" spans="3:17" x14ac:dyDescent="0.25">
      <c r="C345" s="15" t="s">
        <v>271</v>
      </c>
      <c r="D345" s="14" t="s">
        <v>13</v>
      </c>
      <c r="E345" s="14">
        <v>13.88</v>
      </c>
      <c r="F345" s="14">
        <v>1.8899999999999899</v>
      </c>
      <c r="G345" s="14">
        <v>2.5899999999999901</v>
      </c>
      <c r="H345" s="14">
        <v>15</v>
      </c>
      <c r="I345" s="14">
        <v>101</v>
      </c>
      <c r="J345" s="14">
        <v>3.25</v>
      </c>
      <c r="K345" s="14">
        <v>3.56</v>
      </c>
      <c r="L345" s="14">
        <v>0.17</v>
      </c>
      <c r="M345" s="14">
        <v>1.7</v>
      </c>
      <c r="N345" s="14">
        <v>5.4299999999999899</v>
      </c>
      <c r="O345" s="14">
        <v>0.88</v>
      </c>
      <c r="P345" s="14">
        <v>3.56</v>
      </c>
      <c r="Q345">
        <v>1095</v>
      </c>
    </row>
    <row r="346" spans="3:17" x14ac:dyDescent="0.25">
      <c r="C346" s="15" t="s">
        <v>228</v>
      </c>
      <c r="D346" s="14" t="s">
        <v>15</v>
      </c>
      <c r="E346" s="14">
        <v>12.58</v>
      </c>
      <c r="F346" s="14">
        <v>1.29</v>
      </c>
      <c r="G346" s="14">
        <v>2.1</v>
      </c>
      <c r="H346" s="14">
        <v>20</v>
      </c>
      <c r="I346" s="14">
        <v>103</v>
      </c>
      <c r="J346" s="14">
        <v>1.48</v>
      </c>
      <c r="K346" s="14">
        <v>0.57999999999999896</v>
      </c>
      <c r="L346" s="14">
        <v>0.53</v>
      </c>
      <c r="M346" s="14">
        <v>1.3999999999999899</v>
      </c>
      <c r="N346" s="14">
        <v>7.5999999999999899</v>
      </c>
      <c r="O346" s="14">
        <v>0.57999999999999896</v>
      </c>
      <c r="P346" s="14">
        <v>1.55</v>
      </c>
      <c r="Q346">
        <v>640</v>
      </c>
    </row>
    <row r="347" spans="3:17" x14ac:dyDescent="0.25">
      <c r="C347" s="15" t="s">
        <v>200</v>
      </c>
      <c r="D347" s="14" t="s">
        <v>14</v>
      </c>
      <c r="E347" s="14">
        <v>12.43</v>
      </c>
      <c r="F347" s="14">
        <v>1.53</v>
      </c>
      <c r="G347" s="14">
        <v>2.29</v>
      </c>
      <c r="H347" s="14">
        <v>21.5</v>
      </c>
      <c r="I347" s="14">
        <v>86</v>
      </c>
      <c r="J347" s="14">
        <v>2.74</v>
      </c>
      <c r="K347" s="14">
        <v>3.1499999999999901</v>
      </c>
      <c r="L347" s="14">
        <v>0.39</v>
      </c>
      <c r="M347" s="14">
        <v>1.77</v>
      </c>
      <c r="N347" s="14">
        <v>3.9399999999999902</v>
      </c>
      <c r="O347" s="14">
        <v>0.68999999999999895</v>
      </c>
      <c r="P347" s="14">
        <v>2.8399999999999901</v>
      </c>
      <c r="Q347">
        <v>352</v>
      </c>
    </row>
    <row r="348" spans="3:17" x14ac:dyDescent="0.25">
      <c r="C348" s="15" t="s">
        <v>270</v>
      </c>
      <c r="D348" s="14" t="s">
        <v>13</v>
      </c>
      <c r="E348" s="14">
        <v>13.41</v>
      </c>
      <c r="F348" s="14">
        <v>3.8399999999999901</v>
      </c>
      <c r="G348" s="14">
        <v>2.12</v>
      </c>
      <c r="H348" s="14">
        <v>18.8</v>
      </c>
      <c r="I348" s="14">
        <v>90</v>
      </c>
      <c r="J348" s="14">
        <v>2.4500000000000002</v>
      </c>
      <c r="K348" s="14">
        <v>2.68</v>
      </c>
      <c r="L348" s="14">
        <v>0.27</v>
      </c>
      <c r="M348" s="14">
        <v>1.48</v>
      </c>
      <c r="N348" s="14">
        <v>4.28</v>
      </c>
      <c r="O348" s="14">
        <v>0.91</v>
      </c>
      <c r="P348" s="14">
        <v>3</v>
      </c>
      <c r="Q348">
        <v>1035</v>
      </c>
    </row>
    <row r="349" spans="3:17" x14ac:dyDescent="0.25">
      <c r="C349" s="15" t="s">
        <v>208</v>
      </c>
      <c r="D349" s="14" t="s">
        <v>15</v>
      </c>
      <c r="E349" s="14">
        <v>12.51</v>
      </c>
      <c r="F349" s="14">
        <v>1.24</v>
      </c>
      <c r="G349" s="14">
        <v>2.25</v>
      </c>
      <c r="H349" s="14">
        <v>17.5</v>
      </c>
      <c r="I349" s="14">
        <v>85</v>
      </c>
      <c r="J349" s="14">
        <v>2</v>
      </c>
      <c r="K349" s="14">
        <v>0.57999999999999896</v>
      </c>
      <c r="L349" s="14">
        <v>0.59999999999999898</v>
      </c>
      <c r="M349" s="14">
        <v>1.25</v>
      </c>
      <c r="N349" s="14">
        <v>5.45</v>
      </c>
      <c r="O349" s="14">
        <v>0.75</v>
      </c>
      <c r="P349" s="14">
        <v>1.51</v>
      </c>
      <c r="Q349">
        <v>650</v>
      </c>
    </row>
    <row r="350" spans="3:17" x14ac:dyDescent="0.25">
      <c r="C350" s="15" t="s">
        <v>253</v>
      </c>
      <c r="D350" s="14" t="s">
        <v>13</v>
      </c>
      <c r="E350" s="14">
        <v>13.5</v>
      </c>
      <c r="F350" s="14">
        <v>1.81</v>
      </c>
      <c r="G350" s="14">
        <v>2.6099999999999901</v>
      </c>
      <c r="H350" s="14">
        <v>20</v>
      </c>
      <c r="I350" s="14">
        <v>96</v>
      </c>
      <c r="J350" s="14">
        <v>2.52999999999999</v>
      </c>
      <c r="K350" s="14">
        <v>2.6099999999999901</v>
      </c>
      <c r="L350" s="14">
        <v>0.28000000000000003</v>
      </c>
      <c r="M350" s="14">
        <v>1.6599999999999899</v>
      </c>
      <c r="N350" s="14">
        <v>3.52</v>
      </c>
      <c r="O350" s="14">
        <v>1.1200000000000001</v>
      </c>
      <c r="P350" s="14">
        <v>3.8199999999999901</v>
      </c>
      <c r="Q350">
        <v>845</v>
      </c>
    </row>
    <row r="351" spans="3:17" x14ac:dyDescent="0.25">
      <c r="C351" s="15" t="s">
        <v>224</v>
      </c>
      <c r="D351" s="14" t="s">
        <v>15</v>
      </c>
      <c r="E351" s="14">
        <v>13.5</v>
      </c>
      <c r="F351" s="14">
        <v>3.12</v>
      </c>
      <c r="G351" s="14">
        <v>2.62</v>
      </c>
      <c r="H351" s="14">
        <v>24</v>
      </c>
      <c r="I351" s="14">
        <v>123</v>
      </c>
      <c r="J351" s="14">
        <v>1.3999999999999899</v>
      </c>
      <c r="K351" s="14">
        <v>1.57</v>
      </c>
      <c r="L351" s="14">
        <v>0.22</v>
      </c>
      <c r="M351" s="14">
        <v>1.25</v>
      </c>
      <c r="N351" s="14">
        <v>8.5999999999999908</v>
      </c>
      <c r="O351" s="14">
        <v>0.58999999999999897</v>
      </c>
      <c r="P351" s="14">
        <v>1.3</v>
      </c>
      <c r="Q351">
        <v>500</v>
      </c>
    </row>
    <row r="352" spans="3:17" x14ac:dyDescent="0.25">
      <c r="C352" s="15" t="s">
        <v>245</v>
      </c>
      <c r="D352" s="14" t="s">
        <v>15</v>
      </c>
      <c r="E352" s="14">
        <v>12.77</v>
      </c>
      <c r="F352" s="14">
        <v>2.39</v>
      </c>
      <c r="G352" s="14">
        <v>2.27999999999999</v>
      </c>
      <c r="H352" s="14">
        <v>19.5</v>
      </c>
      <c r="I352" s="14">
        <v>86</v>
      </c>
      <c r="J352" s="14">
        <v>1.3899999999999899</v>
      </c>
      <c r="K352" s="14">
        <v>0.51</v>
      </c>
      <c r="L352" s="14">
        <v>0.47999999999999898</v>
      </c>
      <c r="M352" s="14">
        <v>0.64</v>
      </c>
      <c r="N352" s="14">
        <v>9.8999989999999904</v>
      </c>
      <c r="O352" s="14">
        <v>0.56999999999999895</v>
      </c>
      <c r="P352" s="14">
        <v>1.6299999999999899</v>
      </c>
      <c r="Q352">
        <v>470</v>
      </c>
    </row>
    <row r="353" spans="3:17" x14ac:dyDescent="0.25">
      <c r="C353" s="15" t="s">
        <v>194</v>
      </c>
      <c r="D353" s="14" t="s">
        <v>14</v>
      </c>
      <c r="E353" s="14">
        <v>11.4499999999999</v>
      </c>
      <c r="F353" s="14">
        <v>2.3999999999999901</v>
      </c>
      <c r="G353" s="14">
        <v>2.4199999999999902</v>
      </c>
      <c r="H353" s="14">
        <v>20</v>
      </c>
      <c r="I353" s="14">
        <v>96</v>
      </c>
      <c r="J353" s="14">
        <v>2.8999999999999901</v>
      </c>
      <c r="K353" s="14">
        <v>2.79</v>
      </c>
      <c r="L353" s="14">
        <v>0.32</v>
      </c>
      <c r="M353" s="14">
        <v>1.83</v>
      </c>
      <c r="N353" s="14">
        <v>3.25</v>
      </c>
      <c r="O353" s="14">
        <v>0.8</v>
      </c>
      <c r="P353" s="14">
        <v>3.39</v>
      </c>
      <c r="Q353">
        <v>625</v>
      </c>
    </row>
    <row r="354" spans="3:17" x14ac:dyDescent="0.25">
      <c r="C354" s="15" t="s">
        <v>251</v>
      </c>
      <c r="D354" s="14" t="s">
        <v>15</v>
      </c>
      <c r="E354" s="14">
        <v>14.13</v>
      </c>
      <c r="F354" s="14">
        <v>4.0999999999999899</v>
      </c>
      <c r="G354" s="14">
        <v>2.74</v>
      </c>
      <c r="H354" s="14">
        <v>24.5</v>
      </c>
      <c r="I354" s="14">
        <v>96</v>
      </c>
      <c r="J354" s="14">
        <v>2.0499999999999901</v>
      </c>
      <c r="K354" s="14">
        <v>0.76</v>
      </c>
      <c r="L354" s="14">
        <v>0.56000000000000005</v>
      </c>
      <c r="M354" s="14">
        <v>1.35</v>
      </c>
      <c r="N354" s="14">
        <v>9.1999999999999904</v>
      </c>
      <c r="O354" s="14">
        <v>0.60999999999999899</v>
      </c>
      <c r="P354" s="14">
        <v>1.6</v>
      </c>
      <c r="Q354">
        <v>560</v>
      </c>
    </row>
    <row r="355" spans="3:17" x14ac:dyDescent="0.25">
      <c r="C355" s="15" t="s">
        <v>349</v>
      </c>
      <c r="D355" s="14" t="s">
        <v>14</v>
      </c>
      <c r="E355" s="14">
        <v>11.4499999999999</v>
      </c>
      <c r="F355" s="14">
        <v>2.3999999999999901</v>
      </c>
      <c r="G355" s="14">
        <v>2.4199999999999902</v>
      </c>
      <c r="H355" s="14">
        <v>20</v>
      </c>
      <c r="I355" s="14">
        <v>96</v>
      </c>
      <c r="J355" s="14">
        <v>2.8999999999999901</v>
      </c>
      <c r="K355" s="14">
        <v>2.79</v>
      </c>
      <c r="L355" s="14">
        <v>0.32</v>
      </c>
      <c r="M355" s="14">
        <v>1.83</v>
      </c>
      <c r="N355" s="14">
        <v>3.25</v>
      </c>
      <c r="O355" s="14">
        <v>0.8</v>
      </c>
      <c r="P355" s="14">
        <v>3.39</v>
      </c>
      <c r="Q355">
        <v>625</v>
      </c>
    </row>
    <row r="356" spans="3:17" x14ac:dyDescent="0.25">
      <c r="C356" s="15" t="s">
        <v>107</v>
      </c>
      <c r="D356" s="14" t="s">
        <v>13</v>
      </c>
      <c r="E356" s="14">
        <v>13.76</v>
      </c>
      <c r="F356" s="14">
        <v>1.53</v>
      </c>
      <c r="G356" s="14">
        <v>2.7</v>
      </c>
      <c r="H356" s="14">
        <v>19.5</v>
      </c>
      <c r="I356" s="14">
        <v>132</v>
      </c>
      <c r="J356" s="14">
        <v>2.95</v>
      </c>
      <c r="K356" s="14">
        <v>2.74</v>
      </c>
      <c r="L356" s="14">
        <v>0.5</v>
      </c>
      <c r="M356" s="14">
        <v>1.35</v>
      </c>
      <c r="N356" s="14">
        <v>5.4</v>
      </c>
      <c r="O356" s="14">
        <v>1.25</v>
      </c>
      <c r="P356" s="14">
        <v>3</v>
      </c>
      <c r="Q356">
        <v>1235</v>
      </c>
    </row>
    <row r="357" spans="3:17" x14ac:dyDescent="0.25">
      <c r="C357" s="15" t="s">
        <v>169</v>
      </c>
      <c r="D357" s="14" t="s">
        <v>14</v>
      </c>
      <c r="E357" s="14">
        <v>12.47</v>
      </c>
      <c r="F357" s="14">
        <v>1.52</v>
      </c>
      <c r="G357" s="14">
        <v>2.2000000000000002</v>
      </c>
      <c r="H357" s="14">
        <v>19</v>
      </c>
      <c r="I357" s="14">
        <v>162</v>
      </c>
      <c r="J357" s="14">
        <v>2.5</v>
      </c>
      <c r="K357" s="14">
        <v>2.27</v>
      </c>
      <c r="L357" s="14">
        <v>0.32</v>
      </c>
      <c r="M357" s="14">
        <v>3.27999999999999</v>
      </c>
      <c r="N357" s="14">
        <v>2.6</v>
      </c>
      <c r="O357" s="14">
        <v>1.1599999999999899</v>
      </c>
      <c r="P357" s="14">
        <v>2.6299999999999901</v>
      </c>
      <c r="Q357">
        <v>937</v>
      </c>
    </row>
    <row r="358" spans="3:17" x14ac:dyDescent="0.25">
      <c r="C358" s="15" t="s">
        <v>361</v>
      </c>
      <c r="D358" s="14" t="s">
        <v>15</v>
      </c>
      <c r="E358" s="14">
        <v>12.81</v>
      </c>
      <c r="F358" s="14">
        <v>2.31</v>
      </c>
      <c r="G358" s="14">
        <v>2.3999999999999901</v>
      </c>
      <c r="H358" s="14">
        <v>24</v>
      </c>
      <c r="I358" s="14">
        <v>98</v>
      </c>
      <c r="J358" s="14">
        <v>1.1499999999999899</v>
      </c>
      <c r="K358" s="14">
        <v>1.0900000000000001</v>
      </c>
      <c r="L358" s="14">
        <v>0.27</v>
      </c>
      <c r="M358" s="14">
        <v>0.82999999999999896</v>
      </c>
      <c r="N358" s="14">
        <v>5.7</v>
      </c>
      <c r="O358" s="14">
        <v>0.66</v>
      </c>
      <c r="P358" s="14">
        <v>1.36</v>
      </c>
      <c r="Q358">
        <v>560</v>
      </c>
    </row>
    <row r="359" spans="3:17" x14ac:dyDescent="0.25">
      <c r="C359" s="15" t="s">
        <v>328</v>
      </c>
      <c r="D359" s="14" t="s">
        <v>14</v>
      </c>
      <c r="E359" s="14">
        <v>12.2899999999999</v>
      </c>
      <c r="F359" s="14">
        <v>3.1699999999999902</v>
      </c>
      <c r="G359" s="14">
        <v>2.21</v>
      </c>
      <c r="H359" s="14">
        <v>18</v>
      </c>
      <c r="I359" s="14">
        <v>88</v>
      </c>
      <c r="J359" s="14">
        <v>2.85</v>
      </c>
      <c r="K359" s="14">
        <v>2.99</v>
      </c>
      <c r="L359" s="14">
        <v>0.45</v>
      </c>
      <c r="M359" s="14">
        <v>2.81</v>
      </c>
      <c r="N359" s="14">
        <v>2.2999999999999901</v>
      </c>
      <c r="O359" s="14">
        <v>1.4199999999999899</v>
      </c>
      <c r="P359" s="14">
        <v>2.83</v>
      </c>
      <c r="Q359">
        <v>406</v>
      </c>
    </row>
    <row r="360" spans="3:17" x14ac:dyDescent="0.25">
      <c r="C360" s="15" t="s">
        <v>311</v>
      </c>
      <c r="D360" s="14" t="s">
        <v>14</v>
      </c>
      <c r="E360" s="14">
        <v>12.08</v>
      </c>
      <c r="F360" s="14">
        <v>1.1299999999999899</v>
      </c>
      <c r="G360" s="14">
        <v>2.50999999999999</v>
      </c>
      <c r="H360" s="14">
        <v>24</v>
      </c>
      <c r="I360" s="14">
        <v>78</v>
      </c>
      <c r="J360" s="14">
        <v>2</v>
      </c>
      <c r="K360" s="14">
        <v>1.58</v>
      </c>
      <c r="L360" s="14">
        <v>0.4</v>
      </c>
      <c r="M360" s="14">
        <v>1.3999999999999899</v>
      </c>
      <c r="N360" s="14">
        <v>2.2000000000000002</v>
      </c>
      <c r="O360" s="14">
        <v>1.31</v>
      </c>
      <c r="P360" s="14">
        <v>2.72</v>
      </c>
      <c r="Q360">
        <v>630</v>
      </c>
    </row>
    <row r="361" spans="3:17" x14ac:dyDescent="0.25">
      <c r="C361" s="15" t="s">
        <v>276</v>
      </c>
      <c r="D361" s="14" t="s">
        <v>13</v>
      </c>
      <c r="E361" s="14">
        <v>13.9</v>
      </c>
      <c r="F361" s="14">
        <v>1.6799999999999899</v>
      </c>
      <c r="G361" s="14">
        <v>2.12</v>
      </c>
      <c r="H361" s="14">
        <v>16</v>
      </c>
      <c r="I361" s="14">
        <v>101</v>
      </c>
      <c r="J361" s="14">
        <v>3.1</v>
      </c>
      <c r="K361" s="14">
        <v>3.39</v>
      </c>
      <c r="L361" s="14">
        <v>0.20999999999999899</v>
      </c>
      <c r="M361" s="14">
        <v>2.14</v>
      </c>
      <c r="N361" s="14">
        <v>6.0999999999999899</v>
      </c>
      <c r="O361" s="14">
        <v>0.91</v>
      </c>
      <c r="P361" s="14">
        <v>3.33</v>
      </c>
      <c r="Q361">
        <v>985</v>
      </c>
    </row>
    <row r="362" spans="3:17" x14ac:dyDescent="0.25">
      <c r="C362" s="15" t="s">
        <v>379</v>
      </c>
      <c r="D362" s="14" t="s">
        <v>15</v>
      </c>
      <c r="E362" s="14">
        <v>13.5</v>
      </c>
      <c r="F362" s="14">
        <v>3.12</v>
      </c>
      <c r="G362" s="14">
        <v>2.62</v>
      </c>
      <c r="H362" s="14">
        <v>24</v>
      </c>
      <c r="I362" s="14">
        <v>123</v>
      </c>
      <c r="J362" s="14">
        <v>1.3999999999999899</v>
      </c>
      <c r="K362" s="14">
        <v>1.57</v>
      </c>
      <c r="L362" s="14">
        <v>0.22</v>
      </c>
      <c r="M362" s="14">
        <v>1.25</v>
      </c>
      <c r="N362" s="14">
        <v>8.5999999999999908</v>
      </c>
      <c r="O362" s="14">
        <v>0.58999999999999897</v>
      </c>
      <c r="P362" s="14">
        <v>1.3</v>
      </c>
      <c r="Q362">
        <v>500</v>
      </c>
    </row>
    <row r="363" spans="3:17" x14ac:dyDescent="0.25">
      <c r="C363" s="15" t="s">
        <v>369</v>
      </c>
      <c r="D363" s="14" t="s">
        <v>15</v>
      </c>
      <c r="E363" s="14">
        <v>12.93</v>
      </c>
      <c r="F363" s="14">
        <v>2.81</v>
      </c>
      <c r="G363" s="14">
        <v>2.7</v>
      </c>
      <c r="H363" s="14">
        <v>21</v>
      </c>
      <c r="I363" s="14">
        <v>96</v>
      </c>
      <c r="J363" s="14">
        <v>1.54</v>
      </c>
      <c r="K363" s="14">
        <v>0.5</v>
      </c>
      <c r="L363" s="14">
        <v>0.53</v>
      </c>
      <c r="M363" s="14">
        <v>0.75</v>
      </c>
      <c r="N363" s="14">
        <v>4.5999999999999899</v>
      </c>
      <c r="O363" s="14">
        <v>0.77</v>
      </c>
      <c r="P363" s="14">
        <v>2.31</v>
      </c>
      <c r="Q363">
        <v>600</v>
      </c>
    </row>
    <row r="364" spans="3:17" x14ac:dyDescent="0.25">
      <c r="C364" s="15" t="s">
        <v>222</v>
      </c>
      <c r="D364" s="14" t="s">
        <v>15</v>
      </c>
      <c r="E364" s="14">
        <v>13.32</v>
      </c>
      <c r="F364" s="14">
        <v>3.24</v>
      </c>
      <c r="G364" s="14">
        <v>2.3799999999999901</v>
      </c>
      <c r="H364" s="14">
        <v>21.5</v>
      </c>
      <c r="I364" s="14">
        <v>92</v>
      </c>
      <c r="J364" s="14">
        <v>1.9299999999999899</v>
      </c>
      <c r="K364" s="14">
        <v>0.76</v>
      </c>
      <c r="L364" s="14">
        <v>0.45</v>
      </c>
      <c r="M364" s="14">
        <v>1.25</v>
      </c>
      <c r="N364" s="14">
        <v>8.4199999999999893</v>
      </c>
      <c r="O364" s="14">
        <v>0.55000000000000004</v>
      </c>
      <c r="P364" s="14">
        <v>1.62</v>
      </c>
      <c r="Q364">
        <v>650</v>
      </c>
    </row>
    <row r="365" spans="3:17" x14ac:dyDescent="0.25">
      <c r="C365" s="15" t="s">
        <v>383</v>
      </c>
      <c r="D365" s="14" t="s">
        <v>15</v>
      </c>
      <c r="E365" s="14">
        <v>12.58</v>
      </c>
      <c r="F365" s="14">
        <v>1.29</v>
      </c>
      <c r="G365" s="14">
        <v>2.1</v>
      </c>
      <c r="H365" s="14">
        <v>20</v>
      </c>
      <c r="I365" s="14">
        <v>103</v>
      </c>
      <c r="J365" s="14">
        <v>1.48</v>
      </c>
      <c r="K365" s="14">
        <v>0.57999999999999896</v>
      </c>
      <c r="L365" s="14">
        <v>0.53</v>
      </c>
      <c r="M365" s="14">
        <v>1.3999999999999899</v>
      </c>
      <c r="N365" s="14">
        <v>7.5999999999999899</v>
      </c>
      <c r="O365" s="14">
        <v>0.57999999999999896</v>
      </c>
      <c r="P365" s="14">
        <v>1.55</v>
      </c>
      <c r="Q365">
        <v>640</v>
      </c>
    </row>
  </sheetData>
  <mergeCells count="27"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C18:S18"/>
    <mergeCell ref="C19:E19"/>
    <mergeCell ref="C20:E20"/>
    <mergeCell ref="F19:S19"/>
    <mergeCell ref="C22:I22"/>
    <mergeCell ref="C24:E24"/>
    <mergeCell ref="C25:E25"/>
    <mergeCell ref="C26:E26"/>
    <mergeCell ref="F23:I23"/>
    <mergeCell ref="F24:I24"/>
    <mergeCell ref="F25:I25"/>
    <mergeCell ref="F26:I26"/>
    <mergeCell ref="C23:E23"/>
    <mergeCell ref="B4:C4"/>
    <mergeCell ref="D4:E4"/>
    <mergeCell ref="F4:G4"/>
    <mergeCell ref="B3:G3"/>
    <mergeCell ref="J3:M3"/>
  </mergeCells>
  <hyperlinks>
    <hyperlink ref="B4" location="'STDPartition1'!$B$10:$B$10" display="Inputs" xr:uid="{90C3EFC7-B064-4D7C-A50E-2D337E041EDE}"/>
    <hyperlink ref="D4" location="'STDPartition1'!$B$28:$B$28" display="Partition Summary" xr:uid="{96FD0B66-5A45-4BF3-9FFB-6EEC016CE9B0}"/>
    <hyperlink ref="F4" location="'STDPartition1'!$B$34:$B$34" display="Partitioned Data" xr:uid="{5D8547CE-FA84-42B0-8DC4-E5932779EC25}"/>
  </hyperlinks>
  <pageMargins left="0.7" right="0.7" top="0.75" bottom="0.75" header="0.3" footer="0.3"/>
  <tableParts count="2">
    <tablePart r:id="rId1"/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4987-AD8D-4F05-97F4-099DFE302614}">
  <dimension ref="B1:CV81"/>
  <sheetViews>
    <sheetView showGridLines="0" topLeftCell="A12" workbookViewId="0"/>
  </sheetViews>
  <sheetFormatPr defaultRowHeight="13.2" x14ac:dyDescent="0.25"/>
  <cols>
    <col min="3" max="3" width="18" customWidth="1"/>
    <col min="4" max="4" width="12.6640625" customWidth="1"/>
    <col min="7" max="7" width="18" customWidth="1"/>
    <col min="8" max="8" width="12.109375" customWidth="1"/>
    <col min="14" max="14" width="33.109375" bestFit="1" customWidth="1"/>
  </cols>
  <sheetData>
    <row r="1" spans="2:100" ht="18" x14ac:dyDescent="0.35">
      <c r="B1" s="12" t="s">
        <v>564</v>
      </c>
      <c r="N1" t="s">
        <v>622</v>
      </c>
      <c r="CV1" s="19" t="s">
        <v>596</v>
      </c>
    </row>
    <row r="3" spans="2:100" ht="15.6" x14ac:dyDescent="0.3">
      <c r="B3" s="21" t="s">
        <v>30</v>
      </c>
      <c r="C3" s="22"/>
      <c r="D3" s="22"/>
      <c r="E3" s="22"/>
      <c r="F3" s="22"/>
      <c r="G3" s="22"/>
      <c r="H3" s="22"/>
      <c r="I3" s="22"/>
      <c r="J3" s="22"/>
      <c r="K3" s="23"/>
      <c r="N3" s="21" t="s">
        <v>53</v>
      </c>
      <c r="O3" s="22"/>
      <c r="P3" s="22"/>
      <c r="Q3" s="23"/>
    </row>
    <row r="4" spans="2:100" ht="13.8" x14ac:dyDescent="0.3">
      <c r="B4" s="35" t="s">
        <v>543</v>
      </c>
      <c r="C4" s="36"/>
      <c r="D4" s="35" t="s">
        <v>544</v>
      </c>
      <c r="E4" s="36"/>
      <c r="F4" s="35" t="s">
        <v>545</v>
      </c>
      <c r="G4" s="36"/>
      <c r="H4" s="35" t="s">
        <v>31</v>
      </c>
      <c r="I4" s="36"/>
      <c r="J4" s="35" t="s">
        <v>546</v>
      </c>
      <c r="K4" s="36"/>
      <c r="N4" s="18" t="s">
        <v>54</v>
      </c>
      <c r="O4" s="18" t="s">
        <v>55</v>
      </c>
      <c r="P4" s="18" t="s">
        <v>56</v>
      </c>
      <c r="Q4" s="18" t="s">
        <v>57</v>
      </c>
    </row>
    <row r="5" spans="2:100" ht="13.8" x14ac:dyDescent="0.3">
      <c r="B5" s="35" t="s">
        <v>421</v>
      </c>
      <c r="C5" s="36"/>
      <c r="D5" s="35" t="s">
        <v>547</v>
      </c>
      <c r="E5" s="36"/>
      <c r="F5" s="35" t="s">
        <v>548</v>
      </c>
      <c r="G5" s="36"/>
      <c r="H5" s="30"/>
      <c r="I5" s="31"/>
      <c r="J5" s="30"/>
      <c r="K5" s="31"/>
      <c r="N5" s="16">
        <v>181</v>
      </c>
      <c r="O5" s="16">
        <v>59</v>
      </c>
      <c r="P5" s="16">
        <v>7</v>
      </c>
      <c r="Q5" s="16">
        <v>247</v>
      </c>
    </row>
    <row r="10" spans="2:100" ht="18" x14ac:dyDescent="0.35">
      <c r="B10" s="13" t="s">
        <v>31</v>
      </c>
    </row>
    <row r="12" spans="2:100" ht="15.6" x14ac:dyDescent="0.3">
      <c r="C12" s="28" t="s">
        <v>33</v>
      </c>
      <c r="D12" s="28"/>
      <c r="E12" s="28"/>
      <c r="F12" s="28"/>
      <c r="G12" s="28"/>
      <c r="H12" s="28"/>
      <c r="I12" s="28"/>
      <c r="J12" s="28"/>
      <c r="K12" s="28"/>
    </row>
    <row r="13" spans="2:100" ht="13.8" x14ac:dyDescent="0.3">
      <c r="C13" s="24" t="s">
        <v>34</v>
      </c>
      <c r="D13" s="24"/>
      <c r="E13" s="24"/>
      <c r="F13" s="25"/>
      <c r="G13" s="27" t="s">
        <v>48</v>
      </c>
      <c r="H13" s="27"/>
      <c r="I13" s="27"/>
      <c r="J13" s="27"/>
      <c r="K13" s="27"/>
    </row>
    <row r="14" spans="2:100" ht="13.8" x14ac:dyDescent="0.3">
      <c r="C14" s="24" t="s">
        <v>35</v>
      </c>
      <c r="D14" s="24"/>
      <c r="E14" s="24"/>
      <c r="F14" s="25"/>
      <c r="G14" s="27" t="s">
        <v>666</v>
      </c>
      <c r="H14" s="27"/>
      <c r="I14" s="27"/>
      <c r="J14" s="27"/>
      <c r="K14" s="27"/>
    </row>
    <row r="15" spans="2:100" ht="13.8" x14ac:dyDescent="0.3">
      <c r="C15" s="24" t="s">
        <v>577</v>
      </c>
      <c r="D15" s="24"/>
      <c r="E15" s="24"/>
      <c r="F15" s="25"/>
      <c r="G15" s="27" t="s">
        <v>667</v>
      </c>
      <c r="H15" s="27"/>
      <c r="I15" s="27"/>
      <c r="J15" s="27"/>
      <c r="K15" s="27"/>
    </row>
    <row r="16" spans="2:100" ht="13.8" x14ac:dyDescent="0.3">
      <c r="C16" s="24" t="s">
        <v>578</v>
      </c>
      <c r="D16" s="24"/>
      <c r="E16" s="24"/>
      <c r="F16" s="25"/>
      <c r="G16" s="27">
        <v>230</v>
      </c>
      <c r="H16" s="27"/>
      <c r="I16" s="27"/>
      <c r="J16" s="27"/>
      <c r="K16" s="27"/>
    </row>
    <row r="17" spans="3:17" ht="13.8" x14ac:dyDescent="0.3">
      <c r="C17" s="24" t="s">
        <v>579</v>
      </c>
      <c r="D17" s="24"/>
      <c r="E17" s="24"/>
      <c r="F17" s="25"/>
      <c r="G17" s="27" t="s">
        <v>668</v>
      </c>
      <c r="H17" s="27"/>
      <c r="I17" s="27"/>
      <c r="J17" s="27"/>
      <c r="K17" s="27"/>
    </row>
    <row r="18" spans="3:17" ht="13.8" x14ac:dyDescent="0.3">
      <c r="C18" s="24" t="s">
        <v>580</v>
      </c>
      <c r="D18" s="24"/>
      <c r="E18" s="24"/>
      <c r="F18" s="25"/>
      <c r="G18" s="27">
        <v>99</v>
      </c>
      <c r="H18" s="27"/>
      <c r="I18" s="27"/>
      <c r="J18" s="27"/>
      <c r="K18" s="27"/>
    </row>
    <row r="20" spans="3:17" ht="15.6" x14ac:dyDescent="0.3">
      <c r="C20" s="28" t="s">
        <v>38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  <row r="21" spans="3:17" ht="13.8" x14ac:dyDescent="0.3">
      <c r="C21" s="24" t="s">
        <v>581</v>
      </c>
      <c r="D21" s="25"/>
      <c r="E21" s="27">
        <v>13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2" spans="3:17" ht="13.8" x14ac:dyDescent="0.3">
      <c r="C22" s="24" t="s">
        <v>582</v>
      </c>
      <c r="D22" s="25"/>
      <c r="E22" s="16" t="s">
        <v>61</v>
      </c>
      <c r="F22" s="16" t="s">
        <v>62</v>
      </c>
      <c r="G22" s="16" t="s">
        <v>63</v>
      </c>
      <c r="H22" s="16" t="s">
        <v>64</v>
      </c>
      <c r="I22" s="16" t="s">
        <v>65</v>
      </c>
      <c r="J22" s="16" t="s">
        <v>66</v>
      </c>
      <c r="K22" s="16" t="s">
        <v>67</v>
      </c>
      <c r="L22" s="16" t="s">
        <v>68</v>
      </c>
      <c r="M22" s="16" t="s">
        <v>69</v>
      </c>
      <c r="N22" s="16" t="s">
        <v>70</v>
      </c>
      <c r="O22" s="16" t="s">
        <v>71</v>
      </c>
      <c r="P22" s="16" t="s">
        <v>72</v>
      </c>
      <c r="Q22" s="16" t="s">
        <v>73</v>
      </c>
    </row>
    <row r="23" spans="3:17" ht="13.8" x14ac:dyDescent="0.3">
      <c r="C23" s="24" t="s">
        <v>583</v>
      </c>
      <c r="D23" s="2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 spans="3:17" ht="13.8" x14ac:dyDescent="0.3">
      <c r="C24" s="24" t="s">
        <v>584</v>
      </c>
      <c r="D24" s="25"/>
      <c r="E24" s="29" t="s">
        <v>0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6" spans="3:17" ht="15.6" x14ac:dyDescent="0.3">
      <c r="C26" s="28" t="s">
        <v>585</v>
      </c>
      <c r="D26" s="28"/>
      <c r="E26" s="28"/>
      <c r="F26" s="28"/>
      <c r="G26" s="28"/>
      <c r="H26" s="28"/>
      <c r="I26" s="28"/>
    </row>
    <row r="27" spans="3:17" ht="13.8" x14ac:dyDescent="0.3">
      <c r="C27" s="24" t="s">
        <v>586</v>
      </c>
      <c r="D27" s="24"/>
      <c r="E27" s="25"/>
      <c r="F27" s="27" t="b">
        <v>1</v>
      </c>
      <c r="G27" s="27"/>
      <c r="H27" s="27"/>
      <c r="I27" s="27"/>
    </row>
    <row r="28" spans="3:17" ht="13.8" x14ac:dyDescent="0.3">
      <c r="C28" s="24" t="s">
        <v>587</v>
      </c>
      <c r="D28" s="24"/>
      <c r="E28" s="25"/>
      <c r="F28" s="39" t="s">
        <v>591</v>
      </c>
      <c r="G28" s="40"/>
      <c r="H28" s="40"/>
      <c r="I28" s="41"/>
    </row>
    <row r="29" spans="3:17" ht="13.8" x14ac:dyDescent="0.3">
      <c r="C29" s="24" t="s">
        <v>588</v>
      </c>
      <c r="D29" s="24"/>
      <c r="E29" s="25"/>
      <c r="F29" s="39">
        <v>0.01</v>
      </c>
      <c r="G29" s="40"/>
      <c r="H29" s="40"/>
      <c r="I29" s="41"/>
    </row>
    <row r="31" spans="3:17" ht="15.6" x14ac:dyDescent="0.3">
      <c r="C31" s="21" t="s">
        <v>589</v>
      </c>
      <c r="D31" s="22"/>
      <c r="E31" s="22"/>
      <c r="F31" s="22"/>
      <c r="G31" s="22"/>
      <c r="H31" s="22"/>
      <c r="I31" s="23"/>
    </row>
    <row r="32" spans="3:17" ht="13.8" x14ac:dyDescent="0.3">
      <c r="C32" s="25" t="s">
        <v>590</v>
      </c>
      <c r="D32" s="37"/>
      <c r="E32" s="38"/>
      <c r="F32" s="39" t="s">
        <v>592</v>
      </c>
      <c r="G32" s="40"/>
      <c r="H32" s="40"/>
      <c r="I32" s="41"/>
    </row>
    <row r="34" spans="3:9" ht="15.6" x14ac:dyDescent="0.3">
      <c r="C34" s="21" t="s">
        <v>598</v>
      </c>
      <c r="D34" s="22"/>
      <c r="E34" s="22"/>
      <c r="F34" s="22"/>
      <c r="G34" s="22"/>
      <c r="H34" s="22"/>
      <c r="I34" s="23"/>
    </row>
    <row r="35" spans="3:9" ht="13.8" x14ac:dyDescent="0.3">
      <c r="C35" s="25" t="s">
        <v>599</v>
      </c>
      <c r="D35" s="37"/>
      <c r="E35" s="38"/>
      <c r="F35" s="39" t="b">
        <v>1</v>
      </c>
      <c r="G35" s="40"/>
      <c r="H35" s="40"/>
      <c r="I35" s="41"/>
    </row>
    <row r="36" spans="3:9" ht="13.8" x14ac:dyDescent="0.3">
      <c r="C36" s="25" t="s">
        <v>600</v>
      </c>
      <c r="D36" s="37"/>
      <c r="E36" s="38"/>
      <c r="F36" s="39" t="s">
        <v>610</v>
      </c>
      <c r="G36" s="40"/>
      <c r="H36" s="40"/>
      <c r="I36" s="41"/>
    </row>
    <row r="38" spans="3:9" ht="15.6" x14ac:dyDescent="0.3">
      <c r="C38" s="21" t="s">
        <v>601</v>
      </c>
      <c r="D38" s="22"/>
      <c r="E38" s="22"/>
      <c r="F38" s="22"/>
      <c r="G38" s="22"/>
      <c r="H38" s="22"/>
      <c r="I38" s="23"/>
    </row>
    <row r="39" spans="3:9" ht="13.8" x14ac:dyDescent="0.3">
      <c r="C39" s="25" t="s">
        <v>602</v>
      </c>
      <c r="D39" s="37"/>
      <c r="E39" s="38"/>
      <c r="F39" s="39">
        <v>3</v>
      </c>
      <c r="G39" s="40"/>
      <c r="H39" s="40"/>
      <c r="I39" s="41"/>
    </row>
    <row r="41" spans="3:9" ht="15.6" x14ac:dyDescent="0.3">
      <c r="C41" s="21" t="s">
        <v>603</v>
      </c>
      <c r="D41" s="22"/>
      <c r="E41" s="22"/>
      <c r="F41" s="22"/>
      <c r="G41" s="22"/>
      <c r="H41" s="22"/>
      <c r="I41" s="23"/>
    </row>
    <row r="42" spans="3:9" ht="13.8" x14ac:dyDescent="0.3">
      <c r="C42" s="25" t="s">
        <v>604</v>
      </c>
      <c r="D42" s="37"/>
      <c r="E42" s="38"/>
      <c r="F42" s="39" t="s">
        <v>611</v>
      </c>
      <c r="G42" s="40"/>
      <c r="H42" s="40"/>
      <c r="I42" s="41"/>
    </row>
    <row r="43" spans="3:9" ht="13.8" x14ac:dyDescent="0.3">
      <c r="C43" s="25" t="s">
        <v>605</v>
      </c>
      <c r="D43" s="37"/>
      <c r="E43" s="38"/>
      <c r="F43" s="39">
        <v>7</v>
      </c>
      <c r="G43" s="40"/>
      <c r="H43" s="40"/>
      <c r="I43" s="41"/>
    </row>
    <row r="44" spans="3:9" ht="13.8" x14ac:dyDescent="0.3">
      <c r="C44" s="25" t="s">
        <v>606</v>
      </c>
      <c r="D44" s="37"/>
      <c r="E44" s="38"/>
      <c r="F44" s="39" t="b">
        <v>1</v>
      </c>
      <c r="G44" s="40"/>
      <c r="H44" s="40"/>
      <c r="I44" s="41"/>
    </row>
    <row r="46" spans="3:9" ht="15.6" x14ac:dyDescent="0.3">
      <c r="C46" s="21" t="s">
        <v>607</v>
      </c>
      <c r="D46" s="22"/>
      <c r="E46" s="22"/>
      <c r="F46" s="22"/>
      <c r="G46" s="23"/>
    </row>
    <row r="47" spans="3:9" ht="13.8" x14ac:dyDescent="0.3">
      <c r="C47" s="32" t="s">
        <v>608</v>
      </c>
      <c r="D47" s="33"/>
      <c r="E47" s="33"/>
      <c r="F47" s="33"/>
      <c r="G47" s="34"/>
    </row>
    <row r="48" spans="3:9" ht="13.8" x14ac:dyDescent="0.3">
      <c r="C48" s="32" t="s">
        <v>609</v>
      </c>
      <c r="D48" s="33"/>
      <c r="E48" s="33"/>
      <c r="F48" s="33"/>
      <c r="G48" s="34"/>
    </row>
    <row r="51" spans="2:8" ht="18" x14ac:dyDescent="0.35">
      <c r="B51" s="13" t="s">
        <v>597</v>
      </c>
      <c r="F51" s="13" t="s">
        <v>612</v>
      </c>
    </row>
    <row r="53" spans="2:8" x14ac:dyDescent="0.25">
      <c r="C53" s="15" t="s">
        <v>613</v>
      </c>
      <c r="D53" t="s">
        <v>614</v>
      </c>
      <c r="G53" s="15" t="s">
        <v>613</v>
      </c>
      <c r="H53" t="s">
        <v>614</v>
      </c>
    </row>
    <row r="54" spans="2:8" x14ac:dyDescent="0.25">
      <c r="C54" s="15">
        <v>0</v>
      </c>
      <c r="D54">
        <v>0.56956521739130439</v>
      </c>
      <c r="G54" s="15">
        <v>0</v>
      </c>
      <c r="H54">
        <v>0.56565656565656564</v>
      </c>
    </row>
    <row r="55" spans="2:8" x14ac:dyDescent="0.25">
      <c r="C55" s="15">
        <v>1</v>
      </c>
      <c r="D55">
        <v>0.282608695652174</v>
      </c>
      <c r="G55" s="15">
        <v>1</v>
      </c>
      <c r="H55">
        <v>0.38383838383838381</v>
      </c>
    </row>
    <row r="56" spans="2:8" x14ac:dyDescent="0.25">
      <c r="C56" s="15">
        <v>2</v>
      </c>
      <c r="D56">
        <v>9.5652173913043481E-2</v>
      </c>
      <c r="G56" s="15">
        <v>2</v>
      </c>
      <c r="H56">
        <v>0.19191919191919191</v>
      </c>
    </row>
    <row r="57" spans="2:8" x14ac:dyDescent="0.25">
      <c r="C57" s="15">
        <v>3</v>
      </c>
      <c r="D57">
        <v>6.9565217391304307E-2</v>
      </c>
      <c r="G57" s="15">
        <v>3</v>
      </c>
      <c r="H57">
        <v>0.15151515151515152</v>
      </c>
    </row>
    <row r="58" spans="2:8" x14ac:dyDescent="0.25">
      <c r="C58" s="15">
        <v>4</v>
      </c>
      <c r="D58">
        <v>2.6086956521739094E-2</v>
      </c>
      <c r="G58" s="15">
        <v>4</v>
      </c>
      <c r="H58">
        <v>0.15151515151515152</v>
      </c>
    </row>
    <row r="59" spans="2:8" x14ac:dyDescent="0.25">
      <c r="C59" s="15">
        <v>5</v>
      </c>
      <c r="D59">
        <v>2.1739130434782591E-2</v>
      </c>
      <c r="G59" s="15">
        <v>5</v>
      </c>
      <c r="H59">
        <v>9.0909090909090925E-2</v>
      </c>
    </row>
    <row r="60" spans="2:8" x14ac:dyDescent="0.25">
      <c r="C60" s="15">
        <v>6</v>
      </c>
      <c r="D60">
        <v>1.3043478260869551E-2</v>
      </c>
      <c r="G60" s="15">
        <v>6</v>
      </c>
      <c r="H60">
        <v>7.0707070707070704E-2</v>
      </c>
    </row>
    <row r="61" spans="2:8" x14ac:dyDescent="0.25">
      <c r="C61" s="15">
        <v>7</v>
      </c>
      <c r="D61">
        <v>4.3478260869565018E-3</v>
      </c>
      <c r="G61" s="15">
        <v>7</v>
      </c>
      <c r="H61">
        <v>2.0202020202020204E-2</v>
      </c>
    </row>
    <row r="62" spans="2:8" x14ac:dyDescent="0.25">
      <c r="C62" s="15">
        <v>8</v>
      </c>
      <c r="D62">
        <v>4.3478260869565357E-3</v>
      </c>
      <c r="G62" s="15">
        <v>8</v>
      </c>
      <c r="H62">
        <v>2.0202020202020204E-2</v>
      </c>
    </row>
    <row r="63" spans="2:8" x14ac:dyDescent="0.25">
      <c r="C63" s="15">
        <v>9</v>
      </c>
      <c r="D63">
        <v>1.3877787807814457E-17</v>
      </c>
      <c r="G63" s="15">
        <v>9</v>
      </c>
      <c r="H63">
        <v>2.0202020202020204E-2</v>
      </c>
    </row>
    <row r="66" spans="2:4" ht="18" x14ac:dyDescent="0.35">
      <c r="B66" s="13" t="s">
        <v>546</v>
      </c>
    </row>
    <row r="68" spans="2:4" x14ac:dyDescent="0.25">
      <c r="C68" s="15" t="s">
        <v>615</v>
      </c>
      <c r="D68" t="s">
        <v>616</v>
      </c>
    </row>
    <row r="69" spans="2:4" x14ac:dyDescent="0.25">
      <c r="C69" s="15" t="s">
        <v>61</v>
      </c>
      <c r="D69">
        <v>0</v>
      </c>
    </row>
    <row r="70" spans="2:4" x14ac:dyDescent="0.25">
      <c r="C70" s="15" t="s">
        <v>62</v>
      </c>
      <c r="D70">
        <v>2.1739130434782591E-2</v>
      </c>
    </row>
    <row r="71" spans="2:4" x14ac:dyDescent="0.25">
      <c r="C71" s="15" t="s">
        <v>63</v>
      </c>
      <c r="D71">
        <v>4.3478260869565357E-3</v>
      </c>
    </row>
    <row r="72" spans="2:4" x14ac:dyDescent="0.25">
      <c r="C72" s="15" t="s">
        <v>64</v>
      </c>
      <c r="D72">
        <v>0</v>
      </c>
    </row>
    <row r="73" spans="2:4" x14ac:dyDescent="0.25">
      <c r="C73" s="15" t="s">
        <v>65</v>
      </c>
      <c r="D73">
        <v>1.3043478260869551E-2</v>
      </c>
    </row>
    <row r="74" spans="2:4" x14ac:dyDescent="0.25">
      <c r="C74" s="15" t="s">
        <v>66</v>
      </c>
      <c r="D74">
        <v>0</v>
      </c>
    </row>
    <row r="75" spans="2:4" x14ac:dyDescent="0.25">
      <c r="C75" s="15" t="s">
        <v>67</v>
      </c>
      <c r="D75">
        <v>0.37826086956521748</v>
      </c>
    </row>
    <row r="76" spans="2:4" x14ac:dyDescent="0.25">
      <c r="C76" s="15" t="s">
        <v>68</v>
      </c>
      <c r="D76">
        <v>0</v>
      </c>
    </row>
    <row r="77" spans="2:4" x14ac:dyDescent="0.25">
      <c r="C77" s="15" t="s">
        <v>69</v>
      </c>
      <c r="D77">
        <v>0</v>
      </c>
    </row>
    <row r="78" spans="2:4" x14ac:dyDescent="0.25">
      <c r="C78" s="15" t="s">
        <v>70</v>
      </c>
      <c r="D78">
        <v>9.5652173913043398E-2</v>
      </c>
    </row>
    <row r="79" spans="2:4" x14ac:dyDescent="0.25">
      <c r="C79" s="15" t="s">
        <v>71</v>
      </c>
      <c r="D79">
        <v>0</v>
      </c>
    </row>
    <row r="80" spans="2:4" x14ac:dyDescent="0.25">
      <c r="C80" s="15" t="s">
        <v>72</v>
      </c>
      <c r="D80">
        <v>0</v>
      </c>
    </row>
    <row r="81" spans="3:4" x14ac:dyDescent="0.25">
      <c r="C81" s="15" t="s">
        <v>73</v>
      </c>
      <c r="D81">
        <v>0.57391304347826089</v>
      </c>
    </row>
  </sheetData>
  <mergeCells count="60">
    <mergeCell ref="C12:K12"/>
    <mergeCell ref="C13:F13"/>
    <mergeCell ref="C14:F14"/>
    <mergeCell ref="C15:F15"/>
    <mergeCell ref="C16:F16"/>
    <mergeCell ref="C18:F18"/>
    <mergeCell ref="G13:K13"/>
    <mergeCell ref="G14:K14"/>
    <mergeCell ref="G15:K15"/>
    <mergeCell ref="G16:K16"/>
    <mergeCell ref="G17:K17"/>
    <mergeCell ref="G18:K18"/>
    <mergeCell ref="C17:F17"/>
    <mergeCell ref="C20:Q20"/>
    <mergeCell ref="C21:D21"/>
    <mergeCell ref="C22:D22"/>
    <mergeCell ref="C23:D23"/>
    <mergeCell ref="C24:D24"/>
    <mergeCell ref="E21:Q21"/>
    <mergeCell ref="E24:Q24"/>
    <mergeCell ref="C36:E36"/>
    <mergeCell ref="F35:I35"/>
    <mergeCell ref="F36:I36"/>
    <mergeCell ref="C26:I26"/>
    <mergeCell ref="C27:E27"/>
    <mergeCell ref="C28:E28"/>
    <mergeCell ref="C29:E29"/>
    <mergeCell ref="F27:I27"/>
    <mergeCell ref="F28:I28"/>
    <mergeCell ref="F29:I29"/>
    <mergeCell ref="C31:I31"/>
    <mergeCell ref="C32:E32"/>
    <mergeCell ref="F32:I32"/>
    <mergeCell ref="C34:I34"/>
    <mergeCell ref="C35:E35"/>
    <mergeCell ref="F44:I44"/>
    <mergeCell ref="C46:G46"/>
    <mergeCell ref="C47:G47"/>
    <mergeCell ref="C38:I38"/>
    <mergeCell ref="C39:E39"/>
    <mergeCell ref="F39:I39"/>
    <mergeCell ref="C41:I41"/>
    <mergeCell ref="C42:E42"/>
    <mergeCell ref="C43:E43"/>
    <mergeCell ref="J5:K5"/>
    <mergeCell ref="B3:K3"/>
    <mergeCell ref="N3:Q3"/>
    <mergeCell ref="C48:G48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C44:E44"/>
    <mergeCell ref="F42:I42"/>
    <mergeCell ref="F43:I43"/>
  </mergeCells>
  <hyperlinks>
    <hyperlink ref="B4" location="'CT_BestTree1'!$B$10:$B$10" display="Best Pruned Tree Rules (Using Validation Data)" xr:uid="{9BC11F3E-A5FA-48C4-A158-834B71D7E79E}"/>
    <hyperlink ref="D4" location="'CT_FullTree1'!$B$10:$B$10" display="Fully Grown Tree Rules (Using Training Data)" xr:uid="{320F8010-7B70-4CB3-A854-DEC78BC48818}"/>
    <hyperlink ref="F4" location="'CT_MinErrorTree1'!$B$10:$B$10" display="Min Error Tree Rules (Using Validation Data)" xr:uid="{DD0EC9F6-3695-4FC6-B922-FE6CF3940505}"/>
    <hyperlink ref="H4" location="'CT_Output1'!$B$10:$B$10" display="Inputs" xr:uid="{DC7CB916-423C-42D7-8361-2D196CE86716}"/>
    <hyperlink ref="J4" location="'CT_Output1'!$B$66:$B$66" display="Feature Importance" xr:uid="{F663855E-5B8C-4D0F-A507-5A5566B890F7}"/>
    <hyperlink ref="B5" location="'CT_Stored1'!$B$10:$B$10" display="PMML Model" xr:uid="{6753F7F1-2247-405F-9349-212D0BC3858C}"/>
    <hyperlink ref="D5" location="'CT_TrainingScore1'!$B$10:$B$10" display="Training: Classification Summary" xr:uid="{3E6F735E-7B3C-41B7-B958-75AA6F28F7DE}"/>
    <hyperlink ref="F5" location="'CT_ValidationScore1'!$B$10:$B$10" display="Validation: Classification Summary" xr:uid="{DBE23A91-9A4B-49A0-8918-DD9A8D8BA697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CB0A3-5627-471B-8559-A2101694A646}">
  <dimension ref="B1:Q31"/>
  <sheetViews>
    <sheetView showGridLines="0" workbookViewId="0"/>
  </sheetViews>
  <sheetFormatPr defaultRowHeight="13.2" x14ac:dyDescent="0.25"/>
  <cols>
    <col min="3" max="3" width="9.77734375" customWidth="1"/>
    <col min="4" max="4" width="11" customWidth="1"/>
    <col min="5" max="5" width="13.5546875" customWidth="1"/>
    <col min="6" max="6" width="14.88671875" customWidth="1"/>
    <col min="7" max="7" width="10.33203125" customWidth="1"/>
    <col min="8" max="8" width="15.5546875" customWidth="1"/>
    <col min="9" max="9" width="15.88671875" customWidth="1"/>
    <col min="10" max="10" width="17.33203125" customWidth="1"/>
    <col min="11" max="11" width="11.5546875" customWidth="1"/>
    <col min="12" max="12" width="12.21875" customWidth="1"/>
    <col min="14" max="14" width="24.33203125" bestFit="1" customWidth="1"/>
  </cols>
  <sheetData>
    <row r="1" spans="2:17" ht="18" x14ac:dyDescent="0.35">
      <c r="B1" s="12" t="s">
        <v>564</v>
      </c>
      <c r="N1" t="s">
        <v>622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181</v>
      </c>
      <c r="O5" s="16">
        <v>59</v>
      </c>
      <c r="P5" s="16">
        <v>7</v>
      </c>
      <c r="Q5" s="16">
        <v>247</v>
      </c>
    </row>
    <row r="10" spans="2:17" ht="18" x14ac:dyDescent="0.35">
      <c r="B10" s="13" t="s">
        <v>544</v>
      </c>
    </row>
    <row r="12" spans="2:17" x14ac:dyDescent="0.25">
      <c r="C12" s="15" t="s">
        <v>565</v>
      </c>
      <c r="D12" t="s">
        <v>566</v>
      </c>
      <c r="E12" t="s">
        <v>567</v>
      </c>
      <c r="F12" t="s">
        <v>568</v>
      </c>
      <c r="G12" t="s">
        <v>569</v>
      </c>
      <c r="H12" t="s">
        <v>570</v>
      </c>
      <c r="I12" t="s">
        <v>571</v>
      </c>
      <c r="J12" t="s">
        <v>572</v>
      </c>
      <c r="K12" t="s">
        <v>573</v>
      </c>
      <c r="L12" t="s">
        <v>574</v>
      </c>
    </row>
    <row r="13" spans="2:17" x14ac:dyDescent="0.25">
      <c r="C13" s="15">
        <v>1</v>
      </c>
      <c r="D13" s="14" t="e">
        <f>NA()</f>
        <v>#N/A</v>
      </c>
      <c r="E13" s="14">
        <v>2</v>
      </c>
      <c r="F13" s="14">
        <v>3</v>
      </c>
      <c r="G13" s="14" t="s">
        <v>73</v>
      </c>
      <c r="H13" s="14">
        <v>0.37589</v>
      </c>
      <c r="I13" s="14">
        <v>230</v>
      </c>
      <c r="J13" s="14">
        <v>99</v>
      </c>
      <c r="K13" s="14" t="s">
        <v>14</v>
      </c>
      <c r="L13" t="s">
        <v>575</v>
      </c>
    </row>
    <row r="14" spans="2:17" x14ac:dyDescent="0.25">
      <c r="C14" s="15">
        <v>2</v>
      </c>
      <c r="D14" s="14">
        <v>1</v>
      </c>
      <c r="E14" s="14">
        <v>4</v>
      </c>
      <c r="F14" s="14">
        <v>5</v>
      </c>
      <c r="G14" s="14" t="s">
        <v>67</v>
      </c>
      <c r="H14" s="14">
        <v>0.20693</v>
      </c>
      <c r="I14" s="14">
        <v>150</v>
      </c>
      <c r="J14" s="14">
        <v>69</v>
      </c>
      <c r="K14" s="14" t="s">
        <v>14</v>
      </c>
      <c r="L14" t="s">
        <v>575</v>
      </c>
    </row>
    <row r="15" spans="2:17" x14ac:dyDescent="0.25">
      <c r="C15" s="15">
        <v>3</v>
      </c>
      <c r="D15" s="14">
        <v>1</v>
      </c>
      <c r="E15" s="14">
        <v>6</v>
      </c>
      <c r="F15" s="14">
        <v>7</v>
      </c>
      <c r="G15" s="14" t="s">
        <v>67</v>
      </c>
      <c r="H15" s="14">
        <v>0.38550000000000001</v>
      </c>
      <c r="I15" s="14">
        <v>80</v>
      </c>
      <c r="J15" s="14">
        <v>30</v>
      </c>
      <c r="K15" s="14" t="s">
        <v>13</v>
      </c>
      <c r="L15" t="s">
        <v>575</v>
      </c>
    </row>
    <row r="16" spans="2:17" x14ac:dyDescent="0.25">
      <c r="C16" s="15">
        <v>4</v>
      </c>
      <c r="D16" s="14">
        <v>2</v>
      </c>
      <c r="E16" s="14">
        <v>8</v>
      </c>
      <c r="F16" s="14">
        <v>9</v>
      </c>
      <c r="G16" s="14" t="s">
        <v>70</v>
      </c>
      <c r="H16" s="14">
        <v>0.20910999999999999</v>
      </c>
      <c r="I16" s="14">
        <v>63</v>
      </c>
      <c r="J16" s="14">
        <v>27</v>
      </c>
      <c r="K16" s="14" t="s">
        <v>15</v>
      </c>
      <c r="L16" t="s">
        <v>575</v>
      </c>
    </row>
    <row r="17" spans="3:12" x14ac:dyDescent="0.25">
      <c r="C17" s="15">
        <v>5</v>
      </c>
      <c r="D17" s="14">
        <v>2</v>
      </c>
      <c r="E17" s="14">
        <v>10</v>
      </c>
      <c r="F17" s="14">
        <v>11</v>
      </c>
      <c r="G17" s="14" t="s">
        <v>70</v>
      </c>
      <c r="H17" s="14">
        <v>0.54769999999999996</v>
      </c>
      <c r="I17" s="14">
        <v>87</v>
      </c>
      <c r="J17" s="14">
        <v>42</v>
      </c>
      <c r="K17" s="14" t="s">
        <v>14</v>
      </c>
      <c r="L17" t="s">
        <v>575</v>
      </c>
    </row>
    <row r="18" spans="3:12" x14ac:dyDescent="0.25">
      <c r="C18" s="15">
        <v>6</v>
      </c>
      <c r="D18" s="14">
        <v>3</v>
      </c>
      <c r="E18" s="14">
        <v>12</v>
      </c>
      <c r="F18" s="14">
        <v>13</v>
      </c>
      <c r="G18" s="14" t="s">
        <v>62</v>
      </c>
      <c r="H18" s="14">
        <v>0.27484999999999998</v>
      </c>
      <c r="I18" s="14">
        <v>8</v>
      </c>
      <c r="J18" s="14">
        <v>6</v>
      </c>
      <c r="K18" s="14" t="s">
        <v>15</v>
      </c>
      <c r="L18" t="s">
        <v>575</v>
      </c>
    </row>
    <row r="19" spans="3:12" x14ac:dyDescent="0.25">
      <c r="C19" s="15">
        <v>7</v>
      </c>
      <c r="D19" s="14">
        <v>3</v>
      </c>
      <c r="E19" s="14">
        <v>14</v>
      </c>
      <c r="F19" s="14">
        <v>15</v>
      </c>
      <c r="G19" s="14" t="s">
        <v>65</v>
      </c>
      <c r="H19" s="14">
        <v>0.71191000000000004</v>
      </c>
      <c r="I19" s="14">
        <v>72</v>
      </c>
      <c r="J19" s="14">
        <v>24</v>
      </c>
      <c r="K19" s="14" t="s">
        <v>13</v>
      </c>
      <c r="L19" t="s">
        <v>575</v>
      </c>
    </row>
    <row r="20" spans="3:12" x14ac:dyDescent="0.25">
      <c r="C20" s="15">
        <v>8</v>
      </c>
      <c r="D20" s="14">
        <v>4</v>
      </c>
      <c r="E20" s="14" t="e">
        <f>NA()</f>
        <v>#N/A</v>
      </c>
      <c r="F20" s="14" t="e">
        <f>NA()</f>
        <v>#N/A</v>
      </c>
      <c r="G20" s="14" t="e">
        <f>NA()</f>
        <v>#N/A</v>
      </c>
      <c r="H20" s="14" t="e">
        <f>NA()</f>
        <v>#N/A</v>
      </c>
      <c r="I20" s="14">
        <v>10</v>
      </c>
      <c r="J20" s="14">
        <v>4</v>
      </c>
      <c r="K20" s="14" t="s">
        <v>14</v>
      </c>
      <c r="L20" t="s">
        <v>576</v>
      </c>
    </row>
    <row r="21" spans="3:12" x14ac:dyDescent="0.25">
      <c r="C21" s="15">
        <v>9</v>
      </c>
      <c r="D21" s="14">
        <v>4</v>
      </c>
      <c r="E21" s="14" t="e">
        <f>NA()</f>
        <v>#N/A</v>
      </c>
      <c r="F21" s="14" t="e">
        <f>NA()</f>
        <v>#N/A</v>
      </c>
      <c r="G21" s="14" t="e">
        <f>NA()</f>
        <v>#N/A</v>
      </c>
      <c r="H21" s="14" t="e">
        <f>NA()</f>
        <v>#N/A</v>
      </c>
      <c r="I21" s="14">
        <v>53</v>
      </c>
      <c r="J21" s="14">
        <v>23</v>
      </c>
      <c r="K21" s="14" t="s">
        <v>15</v>
      </c>
      <c r="L21" t="s">
        <v>576</v>
      </c>
    </row>
    <row r="22" spans="3:12" x14ac:dyDescent="0.25">
      <c r="C22" s="15">
        <v>10</v>
      </c>
      <c r="D22" s="14">
        <v>5</v>
      </c>
      <c r="E22" s="14">
        <v>16</v>
      </c>
      <c r="F22" s="14">
        <v>17</v>
      </c>
      <c r="G22" s="14" t="s">
        <v>73</v>
      </c>
      <c r="H22" s="14">
        <v>0.35185</v>
      </c>
      <c r="I22" s="14">
        <v>86</v>
      </c>
      <c r="J22" s="14">
        <v>37</v>
      </c>
      <c r="K22" s="14" t="s">
        <v>14</v>
      </c>
      <c r="L22" t="s">
        <v>575</v>
      </c>
    </row>
    <row r="23" spans="3:12" x14ac:dyDescent="0.25">
      <c r="C23" s="15">
        <v>11</v>
      </c>
      <c r="D23" s="14">
        <v>5</v>
      </c>
      <c r="E23" s="14" t="e">
        <f>NA()</f>
        <v>#N/A</v>
      </c>
      <c r="F23" s="14" t="e">
        <f>NA()</f>
        <v>#N/A</v>
      </c>
      <c r="G23" s="14" t="e">
        <f>NA()</f>
        <v>#N/A</v>
      </c>
      <c r="H23" s="14" t="e">
        <f>NA()</f>
        <v>#N/A</v>
      </c>
      <c r="I23" s="14">
        <v>1</v>
      </c>
      <c r="J23" s="14">
        <v>5</v>
      </c>
      <c r="K23" s="14" t="s">
        <v>15</v>
      </c>
      <c r="L23" t="s">
        <v>576</v>
      </c>
    </row>
    <row r="24" spans="3:12" x14ac:dyDescent="0.25">
      <c r="C24" s="15">
        <v>12</v>
      </c>
      <c r="D24" s="14">
        <v>6</v>
      </c>
      <c r="E24" s="14" t="e">
        <f>NA()</f>
        <v>#N/A</v>
      </c>
      <c r="F24" s="14" t="e">
        <f>NA()</f>
        <v>#N/A</v>
      </c>
      <c r="G24" s="14" t="e">
        <f>NA()</f>
        <v>#N/A</v>
      </c>
      <c r="H24" s="14" t="e">
        <f>NA()</f>
        <v>#N/A</v>
      </c>
      <c r="I24" s="14">
        <v>2</v>
      </c>
      <c r="J24" s="14">
        <v>2</v>
      </c>
      <c r="K24" s="14" t="s">
        <v>14</v>
      </c>
      <c r="L24" t="s">
        <v>576</v>
      </c>
    </row>
    <row r="25" spans="3:12" x14ac:dyDescent="0.25">
      <c r="C25" s="15">
        <v>13</v>
      </c>
      <c r="D25" s="14">
        <v>6</v>
      </c>
      <c r="E25" s="14" t="e">
        <f>NA()</f>
        <v>#N/A</v>
      </c>
      <c r="F25" s="14" t="e">
        <f>NA()</f>
        <v>#N/A</v>
      </c>
      <c r="G25" s="14" t="e">
        <f>NA()</f>
        <v>#N/A</v>
      </c>
      <c r="H25" s="14" t="e">
        <f>NA()</f>
        <v>#N/A</v>
      </c>
      <c r="I25" s="14">
        <v>6</v>
      </c>
      <c r="J25" s="14">
        <v>4</v>
      </c>
      <c r="K25" s="14" t="s">
        <v>15</v>
      </c>
      <c r="L25" t="s">
        <v>576</v>
      </c>
    </row>
    <row r="26" spans="3:12" x14ac:dyDescent="0.25">
      <c r="C26" s="15">
        <v>14</v>
      </c>
      <c r="D26" s="14">
        <v>7</v>
      </c>
      <c r="E26" s="14" t="e">
        <f>NA()</f>
        <v>#N/A</v>
      </c>
      <c r="F26" s="14" t="e">
        <f>NA()</f>
        <v>#N/A</v>
      </c>
      <c r="G26" s="14" t="e">
        <f>NA()</f>
        <v>#N/A</v>
      </c>
      <c r="H26" s="14" t="e">
        <f>NA()</f>
        <v>#N/A</v>
      </c>
      <c r="I26" s="14">
        <v>70</v>
      </c>
      <c r="J26" s="14">
        <v>22</v>
      </c>
      <c r="K26" s="14" t="s">
        <v>13</v>
      </c>
      <c r="L26" t="s">
        <v>576</v>
      </c>
    </row>
    <row r="27" spans="3:12" x14ac:dyDescent="0.25">
      <c r="C27" s="15">
        <v>15</v>
      </c>
      <c r="D27" s="14">
        <v>7</v>
      </c>
      <c r="E27" s="14" t="e">
        <f>NA()</f>
        <v>#N/A</v>
      </c>
      <c r="F27" s="14" t="e">
        <f>NA()</f>
        <v>#N/A</v>
      </c>
      <c r="G27" s="14" t="e">
        <f>NA()</f>
        <v>#N/A</v>
      </c>
      <c r="H27" s="14" t="e">
        <f>NA()</f>
        <v>#N/A</v>
      </c>
      <c r="I27" s="14">
        <v>2</v>
      </c>
      <c r="J27" s="14">
        <v>2</v>
      </c>
      <c r="K27" s="14" t="s">
        <v>14</v>
      </c>
      <c r="L27" t="s">
        <v>576</v>
      </c>
    </row>
    <row r="28" spans="3:12" x14ac:dyDescent="0.25">
      <c r="C28" s="15">
        <v>16</v>
      </c>
      <c r="D28" s="14">
        <v>10</v>
      </c>
      <c r="E28" s="14" t="e">
        <f>NA()</f>
        <v>#N/A</v>
      </c>
      <c r="F28" s="14" t="e">
        <f>NA()</f>
        <v>#N/A</v>
      </c>
      <c r="G28" s="14" t="e">
        <f>NA()</f>
        <v>#N/A</v>
      </c>
      <c r="H28" s="14" t="e">
        <f>NA()</f>
        <v>#N/A</v>
      </c>
      <c r="I28" s="14">
        <v>84</v>
      </c>
      <c r="J28" s="14">
        <v>36</v>
      </c>
      <c r="K28" s="14" t="s">
        <v>14</v>
      </c>
      <c r="L28" t="s">
        <v>576</v>
      </c>
    </row>
    <row r="29" spans="3:12" x14ac:dyDescent="0.25">
      <c r="C29" s="15">
        <v>17</v>
      </c>
      <c r="D29" s="14">
        <v>10</v>
      </c>
      <c r="E29" s="14">
        <v>18</v>
      </c>
      <c r="F29" s="14">
        <v>19</v>
      </c>
      <c r="G29" s="14" t="s">
        <v>63</v>
      </c>
      <c r="H29" s="14">
        <v>0.56084999999999996</v>
      </c>
      <c r="I29" s="14">
        <v>2</v>
      </c>
      <c r="J29" s="14">
        <v>1</v>
      </c>
      <c r="K29" s="14" t="s">
        <v>13</v>
      </c>
      <c r="L29" t="s">
        <v>575</v>
      </c>
    </row>
    <row r="30" spans="3:12" x14ac:dyDescent="0.25">
      <c r="C30" s="15">
        <v>18</v>
      </c>
      <c r="D30" s="14">
        <v>17</v>
      </c>
      <c r="E30" s="14" t="e">
        <f>NA()</f>
        <v>#N/A</v>
      </c>
      <c r="F30" s="14" t="e">
        <f>NA()</f>
        <v>#N/A</v>
      </c>
      <c r="G30" s="14" t="e">
        <f>NA()</f>
        <v>#N/A</v>
      </c>
      <c r="H30" s="14" t="e">
        <f>NA()</f>
        <v>#N/A</v>
      </c>
      <c r="I30" s="14">
        <v>1</v>
      </c>
      <c r="J30" s="14">
        <v>1</v>
      </c>
      <c r="K30" s="14" t="s">
        <v>14</v>
      </c>
      <c r="L30" t="s">
        <v>576</v>
      </c>
    </row>
    <row r="31" spans="3:12" x14ac:dyDescent="0.25">
      <c r="C31" s="15">
        <v>19</v>
      </c>
      <c r="D31" s="14">
        <v>17</v>
      </c>
      <c r="E31" s="14" t="e">
        <f>NA()</f>
        <v>#N/A</v>
      </c>
      <c r="F31" s="14" t="e">
        <f>NA()</f>
        <v>#N/A</v>
      </c>
      <c r="G31" s="14" t="e">
        <f>NA()</f>
        <v>#N/A</v>
      </c>
      <c r="H31" s="14" t="e">
        <f>NA()</f>
        <v>#N/A</v>
      </c>
      <c r="I31" s="14">
        <v>1</v>
      </c>
      <c r="J31" s="14">
        <v>0</v>
      </c>
      <c r="K31" s="14" t="s">
        <v>13</v>
      </c>
      <c r="L31" t="s">
        <v>576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1'!$B$10:$B$10" display="Best Pruned Tree Rules (Using Validation Data)" xr:uid="{060A71FD-B584-4921-BF08-DE94A5CE230E}"/>
    <hyperlink ref="D4" location="'CT_FullTree1'!$B$10:$B$10" display="Fully Grown Tree Rules (Using Training Data)" xr:uid="{C79E2515-93E3-4B1E-9B41-9A2DD322D92F}"/>
    <hyperlink ref="F4" location="'CT_MinErrorTree1'!$B$10:$B$10" display="Min Error Tree Rules (Using Validation Data)" xr:uid="{677547DE-887D-4FA4-BB7D-56C9B9A9527E}"/>
    <hyperlink ref="H4" location="'CT_Output1'!$B$10:$B$10" display="Inputs" xr:uid="{382F4955-F4E4-4D37-98D3-87B8EE9FB83B}"/>
    <hyperlink ref="J4" location="'CT_Output1'!$B$66:$B$66" display="Feature Importance" xr:uid="{336795AA-DA4A-4844-BB25-3D476AB78DDA}"/>
    <hyperlink ref="B5" location="'CT_Stored1'!$B$10:$B$10" display="PMML Model" xr:uid="{BC3948E0-2CD2-473A-9E74-92232E34F1F8}"/>
    <hyperlink ref="D5" location="'CT_TrainingScore1'!$B$10:$B$10" display="Training: Classification Summary" xr:uid="{08D53951-65E8-4AEA-9AF6-6D8F780D59FB}"/>
    <hyperlink ref="F5" location="'CT_ValidationScore1'!$B$10:$B$10" display="Validation: Classification Summary" xr:uid="{10F41543-8C96-4109-BF21-6EC99A30DA27}"/>
  </hyperlinks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244B-9B67-4E1A-81CA-B4B5A176182A}">
  <dimension ref="B1:Q27"/>
  <sheetViews>
    <sheetView showGridLines="0" topLeftCell="A3" workbookViewId="0">
      <selection activeCell="N20" sqref="N20"/>
    </sheetView>
  </sheetViews>
  <sheetFormatPr defaultRowHeight="13.2" x14ac:dyDescent="0.25"/>
  <cols>
    <col min="3" max="3" width="9.77734375" customWidth="1"/>
    <col min="4" max="4" width="11" customWidth="1"/>
    <col min="5" max="5" width="13.5546875" customWidth="1"/>
    <col min="6" max="6" width="14.88671875" customWidth="1"/>
    <col min="7" max="7" width="10.33203125" customWidth="1"/>
    <col min="8" max="8" width="15.5546875" customWidth="1"/>
    <col min="9" max="9" width="15.88671875" customWidth="1"/>
    <col min="10" max="10" width="17.33203125" customWidth="1"/>
    <col min="11" max="11" width="11.5546875" customWidth="1"/>
    <col min="12" max="12" width="12.21875" customWidth="1"/>
    <col min="14" max="14" width="24.33203125" bestFit="1" customWidth="1"/>
  </cols>
  <sheetData>
    <row r="1" spans="2:17" ht="18" x14ac:dyDescent="0.35">
      <c r="B1" s="12" t="s">
        <v>564</v>
      </c>
      <c r="N1" t="s">
        <v>622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181</v>
      </c>
      <c r="O5" s="16">
        <v>59</v>
      </c>
      <c r="P5" s="16">
        <v>7</v>
      </c>
      <c r="Q5" s="16">
        <v>247</v>
      </c>
    </row>
    <row r="10" spans="2:17" ht="18" x14ac:dyDescent="0.35">
      <c r="B10" s="13" t="s">
        <v>543</v>
      </c>
    </row>
    <row r="12" spans="2:17" x14ac:dyDescent="0.25">
      <c r="C12" s="15" t="s">
        <v>565</v>
      </c>
      <c r="D12" t="s">
        <v>566</v>
      </c>
      <c r="E12" t="s">
        <v>567</v>
      </c>
      <c r="F12" t="s">
        <v>568</v>
      </c>
      <c r="G12" t="s">
        <v>569</v>
      </c>
      <c r="H12" t="s">
        <v>570</v>
      </c>
      <c r="I12" t="s">
        <v>571</v>
      </c>
      <c r="J12" t="s">
        <v>572</v>
      </c>
      <c r="K12" t="s">
        <v>573</v>
      </c>
      <c r="L12" t="s">
        <v>574</v>
      </c>
    </row>
    <row r="13" spans="2:17" x14ac:dyDescent="0.25">
      <c r="C13" s="15">
        <v>1</v>
      </c>
      <c r="D13" s="14" t="e">
        <f>NA()</f>
        <v>#N/A</v>
      </c>
      <c r="E13" s="14">
        <v>2</v>
      </c>
      <c r="F13" s="14">
        <v>3</v>
      </c>
      <c r="G13" s="14" t="s">
        <v>73</v>
      </c>
      <c r="H13" s="14">
        <v>0.37589</v>
      </c>
      <c r="I13" s="14">
        <v>230</v>
      </c>
      <c r="J13" s="14">
        <v>99</v>
      </c>
      <c r="K13" s="14" t="s">
        <v>14</v>
      </c>
      <c r="L13" t="s">
        <v>575</v>
      </c>
    </row>
    <row r="14" spans="2:17" x14ac:dyDescent="0.25">
      <c r="C14" s="15">
        <v>2</v>
      </c>
      <c r="D14" s="14">
        <v>1</v>
      </c>
      <c r="E14" s="14">
        <v>4</v>
      </c>
      <c r="F14" s="14">
        <v>5</v>
      </c>
      <c r="G14" s="14" t="s">
        <v>67</v>
      </c>
      <c r="H14" s="14">
        <v>0.20693</v>
      </c>
      <c r="I14" s="14">
        <v>150</v>
      </c>
      <c r="J14" s="14">
        <v>69</v>
      </c>
      <c r="K14" s="14" t="s">
        <v>14</v>
      </c>
      <c r="L14" t="s">
        <v>575</v>
      </c>
    </row>
    <row r="15" spans="2:17" x14ac:dyDescent="0.25">
      <c r="C15" s="15">
        <v>3</v>
      </c>
      <c r="D15" s="14">
        <v>1</v>
      </c>
      <c r="E15" s="14">
        <v>6</v>
      </c>
      <c r="F15" s="14">
        <v>7</v>
      </c>
      <c r="G15" s="14" t="s">
        <v>67</v>
      </c>
      <c r="H15" s="14">
        <v>0.38550000000000001</v>
      </c>
      <c r="I15" s="14">
        <v>80</v>
      </c>
      <c r="J15" s="14">
        <v>30</v>
      </c>
      <c r="K15" s="14" t="s">
        <v>13</v>
      </c>
      <c r="L15" t="s">
        <v>575</v>
      </c>
    </row>
    <row r="16" spans="2:17" x14ac:dyDescent="0.25">
      <c r="C16" s="15">
        <v>4</v>
      </c>
      <c r="D16" s="14">
        <v>2</v>
      </c>
      <c r="E16" s="14">
        <v>8</v>
      </c>
      <c r="F16" s="14">
        <v>9</v>
      </c>
      <c r="G16" s="14" t="s">
        <v>70</v>
      </c>
      <c r="H16" s="14">
        <v>0.20910999999999999</v>
      </c>
      <c r="I16" s="14">
        <v>63</v>
      </c>
      <c r="J16" s="14">
        <v>27</v>
      </c>
      <c r="K16" s="14" t="s">
        <v>15</v>
      </c>
      <c r="L16" t="s">
        <v>575</v>
      </c>
    </row>
    <row r="17" spans="3:12" x14ac:dyDescent="0.25">
      <c r="C17" s="15">
        <v>5</v>
      </c>
      <c r="D17" s="14">
        <v>2</v>
      </c>
      <c r="E17" s="14">
        <v>10</v>
      </c>
      <c r="F17" s="14">
        <v>11</v>
      </c>
      <c r="G17" s="14" t="s">
        <v>70</v>
      </c>
      <c r="H17" s="14">
        <v>0.54769999999999996</v>
      </c>
      <c r="I17" s="14">
        <v>87</v>
      </c>
      <c r="J17" s="14">
        <v>42</v>
      </c>
      <c r="K17" s="14" t="s">
        <v>14</v>
      </c>
      <c r="L17" t="s">
        <v>575</v>
      </c>
    </row>
    <row r="18" spans="3:12" x14ac:dyDescent="0.25">
      <c r="C18" s="15">
        <v>6</v>
      </c>
      <c r="D18" s="14">
        <v>3</v>
      </c>
      <c r="E18" s="14">
        <v>12</v>
      </c>
      <c r="F18" s="14">
        <v>13</v>
      </c>
      <c r="G18" s="14" t="s">
        <v>62</v>
      </c>
      <c r="H18" s="14">
        <v>0.27484999999999998</v>
      </c>
      <c r="I18" s="14">
        <v>8</v>
      </c>
      <c r="J18" s="14">
        <v>6</v>
      </c>
      <c r="K18" s="14" t="s">
        <v>15</v>
      </c>
      <c r="L18" t="s">
        <v>575</v>
      </c>
    </row>
    <row r="19" spans="3:12" x14ac:dyDescent="0.25">
      <c r="C19" s="15">
        <v>7</v>
      </c>
      <c r="D19" s="14">
        <v>3</v>
      </c>
      <c r="E19" s="14">
        <v>14</v>
      </c>
      <c r="F19" s="14">
        <v>15</v>
      </c>
      <c r="G19" s="14" t="s">
        <v>65</v>
      </c>
      <c r="H19" s="14">
        <v>0.71191000000000004</v>
      </c>
      <c r="I19" s="14">
        <v>72</v>
      </c>
      <c r="J19" s="14">
        <v>24</v>
      </c>
      <c r="K19" s="14" t="s">
        <v>13</v>
      </c>
      <c r="L19" t="s">
        <v>575</v>
      </c>
    </row>
    <row r="20" spans="3:12" x14ac:dyDescent="0.25">
      <c r="C20" s="15">
        <v>8</v>
      </c>
      <c r="D20" s="14">
        <v>4</v>
      </c>
      <c r="E20" s="14" t="e">
        <f>NA()</f>
        <v>#N/A</v>
      </c>
      <c r="F20" s="14" t="e">
        <f>NA()</f>
        <v>#N/A</v>
      </c>
      <c r="G20" s="14" t="e">
        <f>NA()</f>
        <v>#N/A</v>
      </c>
      <c r="H20" s="14" t="e">
        <f>NA()</f>
        <v>#N/A</v>
      </c>
      <c r="I20" s="14">
        <v>10</v>
      </c>
      <c r="J20" s="14">
        <v>4</v>
      </c>
      <c r="K20" s="14" t="s">
        <v>14</v>
      </c>
      <c r="L20" t="s">
        <v>576</v>
      </c>
    </row>
    <row r="21" spans="3:12" x14ac:dyDescent="0.25">
      <c r="C21" s="15">
        <v>9</v>
      </c>
      <c r="D21" s="14">
        <v>4</v>
      </c>
      <c r="E21" s="14" t="e">
        <f>NA()</f>
        <v>#N/A</v>
      </c>
      <c r="F21" s="14" t="e">
        <f>NA()</f>
        <v>#N/A</v>
      </c>
      <c r="G21" s="14" t="e">
        <f>NA()</f>
        <v>#N/A</v>
      </c>
      <c r="H21" s="14" t="e">
        <f>NA()</f>
        <v>#N/A</v>
      </c>
      <c r="I21" s="14">
        <v>53</v>
      </c>
      <c r="J21" s="14">
        <v>23</v>
      </c>
      <c r="K21" s="14" t="s">
        <v>15</v>
      </c>
      <c r="L21" t="s">
        <v>576</v>
      </c>
    </row>
    <row r="22" spans="3:12" x14ac:dyDescent="0.25">
      <c r="C22" s="15">
        <v>10</v>
      </c>
      <c r="D22" s="14">
        <v>5</v>
      </c>
      <c r="E22" s="14" t="e">
        <f>NA()</f>
        <v>#N/A</v>
      </c>
      <c r="F22" s="14" t="e">
        <f>NA()</f>
        <v>#N/A</v>
      </c>
      <c r="G22" s="14" t="e">
        <f>NA()</f>
        <v>#N/A</v>
      </c>
      <c r="H22" s="14" t="e">
        <f>NA()</f>
        <v>#N/A</v>
      </c>
      <c r="I22" s="14">
        <v>86</v>
      </c>
      <c r="J22" s="14">
        <v>37</v>
      </c>
      <c r="K22" s="14" t="s">
        <v>14</v>
      </c>
      <c r="L22" t="s">
        <v>576</v>
      </c>
    </row>
    <row r="23" spans="3:12" x14ac:dyDescent="0.25">
      <c r="C23" s="15">
        <v>11</v>
      </c>
      <c r="D23" s="14">
        <v>5</v>
      </c>
      <c r="E23" s="14" t="e">
        <f>NA()</f>
        <v>#N/A</v>
      </c>
      <c r="F23" s="14" t="e">
        <f>NA()</f>
        <v>#N/A</v>
      </c>
      <c r="G23" s="14" t="e">
        <f>NA()</f>
        <v>#N/A</v>
      </c>
      <c r="H23" s="14" t="e">
        <f>NA()</f>
        <v>#N/A</v>
      </c>
      <c r="I23" s="14">
        <v>1</v>
      </c>
      <c r="J23" s="14">
        <v>5</v>
      </c>
      <c r="K23" s="14" t="s">
        <v>15</v>
      </c>
      <c r="L23" t="s">
        <v>576</v>
      </c>
    </row>
    <row r="24" spans="3:12" x14ac:dyDescent="0.25">
      <c r="C24" s="15">
        <v>12</v>
      </c>
      <c r="D24" s="14">
        <v>6</v>
      </c>
      <c r="E24" s="14" t="e">
        <f>NA()</f>
        <v>#N/A</v>
      </c>
      <c r="F24" s="14" t="e">
        <f>NA()</f>
        <v>#N/A</v>
      </c>
      <c r="G24" s="14" t="e">
        <f>NA()</f>
        <v>#N/A</v>
      </c>
      <c r="H24" s="14" t="e">
        <f>NA()</f>
        <v>#N/A</v>
      </c>
      <c r="I24" s="14">
        <v>2</v>
      </c>
      <c r="J24" s="14">
        <v>2</v>
      </c>
      <c r="K24" s="14" t="s">
        <v>14</v>
      </c>
      <c r="L24" t="s">
        <v>576</v>
      </c>
    </row>
    <row r="25" spans="3:12" x14ac:dyDescent="0.25">
      <c r="C25" s="15">
        <v>13</v>
      </c>
      <c r="D25" s="14">
        <v>6</v>
      </c>
      <c r="E25" s="14" t="e">
        <f>NA()</f>
        <v>#N/A</v>
      </c>
      <c r="F25" s="14" t="e">
        <f>NA()</f>
        <v>#N/A</v>
      </c>
      <c r="G25" s="14" t="e">
        <f>NA()</f>
        <v>#N/A</v>
      </c>
      <c r="H25" s="14" t="e">
        <f>NA()</f>
        <v>#N/A</v>
      </c>
      <c r="I25" s="14">
        <v>6</v>
      </c>
      <c r="J25" s="14">
        <v>4</v>
      </c>
      <c r="K25" s="14" t="s">
        <v>15</v>
      </c>
      <c r="L25" t="s">
        <v>576</v>
      </c>
    </row>
    <row r="26" spans="3:12" x14ac:dyDescent="0.25">
      <c r="C26" s="15">
        <v>14</v>
      </c>
      <c r="D26" s="14">
        <v>7</v>
      </c>
      <c r="E26" s="14" t="e">
        <f>NA()</f>
        <v>#N/A</v>
      </c>
      <c r="F26" s="14" t="e">
        <f>NA()</f>
        <v>#N/A</v>
      </c>
      <c r="G26" s="14" t="e">
        <f>NA()</f>
        <v>#N/A</v>
      </c>
      <c r="H26" s="14" t="e">
        <f>NA()</f>
        <v>#N/A</v>
      </c>
      <c r="I26" s="14">
        <v>70</v>
      </c>
      <c r="J26" s="14">
        <v>22</v>
      </c>
      <c r="K26" s="14" t="s">
        <v>13</v>
      </c>
      <c r="L26" t="s">
        <v>576</v>
      </c>
    </row>
    <row r="27" spans="3:12" x14ac:dyDescent="0.25">
      <c r="C27" s="15">
        <v>15</v>
      </c>
      <c r="D27" s="14">
        <v>7</v>
      </c>
      <c r="E27" s="14" t="e">
        <f>NA()</f>
        <v>#N/A</v>
      </c>
      <c r="F27" s="14" t="e">
        <f>NA()</f>
        <v>#N/A</v>
      </c>
      <c r="G27" s="14" t="e">
        <f>NA()</f>
        <v>#N/A</v>
      </c>
      <c r="H27" s="14" t="e">
        <f>NA()</f>
        <v>#N/A</v>
      </c>
      <c r="I27" s="14">
        <v>2</v>
      </c>
      <c r="J27" s="14">
        <v>2</v>
      </c>
      <c r="K27" s="14" t="s">
        <v>14</v>
      </c>
      <c r="L27" t="s">
        <v>576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1'!$B$10:$B$10" display="Best Pruned Tree Rules (Using Validation Data)" xr:uid="{1E88A430-DEDD-4AB8-A7A6-D41F70B3A7A1}"/>
    <hyperlink ref="D4" location="'CT_FullTree1'!$B$10:$B$10" display="Fully Grown Tree Rules (Using Training Data)" xr:uid="{A7994489-C322-485D-80F3-0D4F3A6C139A}"/>
    <hyperlink ref="F4" location="'CT_MinErrorTree1'!$B$10:$B$10" display="Min Error Tree Rules (Using Validation Data)" xr:uid="{55443518-19F7-4886-B25B-A4F42BF88E4A}"/>
    <hyperlink ref="H4" location="'CT_Output1'!$B$10:$B$10" display="Inputs" xr:uid="{EE495CA3-3E89-4D48-AE37-BE4F04BA59AE}"/>
    <hyperlink ref="J4" location="'CT_Output1'!$B$66:$B$66" display="Feature Importance" xr:uid="{62706F65-CB8E-4582-B456-A76EA1F4921E}"/>
    <hyperlink ref="B5" location="'CT_Stored1'!$B$10:$B$10" display="PMML Model" xr:uid="{F0154661-8ADB-4430-874A-6738C2628A73}"/>
    <hyperlink ref="D5" location="'CT_TrainingScore1'!$B$10:$B$10" display="Training: Classification Summary" xr:uid="{55B1D1C2-D265-49BC-92EC-2C4099BF336A}"/>
    <hyperlink ref="F5" location="'CT_ValidationScore1'!$B$10:$B$10" display="Validation: Classification Summary" xr:uid="{2CE8379B-2462-4F7B-82A3-E5641D4EB5E1}"/>
  </hyperlinks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F232-8F42-48A8-BA02-BE46152F1205}">
  <dimension ref="B1:Q27"/>
  <sheetViews>
    <sheetView showGridLines="0" workbookViewId="0"/>
  </sheetViews>
  <sheetFormatPr defaultRowHeight="13.2" x14ac:dyDescent="0.25"/>
  <cols>
    <col min="3" max="3" width="9.77734375" customWidth="1"/>
    <col min="4" max="4" width="11" customWidth="1"/>
    <col min="5" max="5" width="13.5546875" customWidth="1"/>
    <col min="6" max="6" width="14.88671875" customWidth="1"/>
    <col min="7" max="7" width="10.33203125" customWidth="1"/>
    <col min="8" max="8" width="15.5546875" customWidth="1"/>
    <col min="9" max="9" width="15.88671875" customWidth="1"/>
    <col min="10" max="10" width="17.33203125" customWidth="1"/>
    <col min="11" max="11" width="11.5546875" customWidth="1"/>
    <col min="12" max="12" width="12.21875" customWidth="1"/>
    <col min="14" max="14" width="24.33203125" bestFit="1" customWidth="1"/>
  </cols>
  <sheetData>
    <row r="1" spans="2:17" ht="18" x14ac:dyDescent="0.35">
      <c r="B1" s="12" t="s">
        <v>564</v>
      </c>
      <c r="N1" t="s">
        <v>622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181</v>
      </c>
      <c r="O5" s="16">
        <v>59</v>
      </c>
      <c r="P5" s="16">
        <v>7</v>
      </c>
      <c r="Q5" s="16">
        <v>247</v>
      </c>
    </row>
    <row r="10" spans="2:17" ht="18" x14ac:dyDescent="0.35">
      <c r="B10" s="13" t="s">
        <v>545</v>
      </c>
    </row>
    <row r="12" spans="2:17" x14ac:dyDescent="0.25">
      <c r="C12" s="15" t="s">
        <v>565</v>
      </c>
      <c r="D12" t="s">
        <v>566</v>
      </c>
      <c r="E12" t="s">
        <v>567</v>
      </c>
      <c r="F12" t="s">
        <v>568</v>
      </c>
      <c r="G12" t="s">
        <v>569</v>
      </c>
      <c r="H12" t="s">
        <v>570</v>
      </c>
      <c r="I12" t="s">
        <v>571</v>
      </c>
      <c r="J12" t="s">
        <v>572</v>
      </c>
      <c r="K12" t="s">
        <v>573</v>
      </c>
      <c r="L12" t="s">
        <v>574</v>
      </c>
    </row>
    <row r="13" spans="2:17" x14ac:dyDescent="0.25">
      <c r="C13" s="15">
        <v>1</v>
      </c>
      <c r="D13" s="14" t="e">
        <f>NA()</f>
        <v>#N/A</v>
      </c>
      <c r="E13" s="14">
        <v>2</v>
      </c>
      <c r="F13" s="14">
        <v>3</v>
      </c>
      <c r="G13" s="14" t="s">
        <v>73</v>
      </c>
      <c r="H13" s="14">
        <v>0.37589</v>
      </c>
      <c r="I13" s="14">
        <v>230</v>
      </c>
      <c r="J13" s="14">
        <v>99</v>
      </c>
      <c r="K13" s="14" t="s">
        <v>14</v>
      </c>
      <c r="L13" t="s">
        <v>575</v>
      </c>
    </row>
    <row r="14" spans="2:17" x14ac:dyDescent="0.25">
      <c r="C14" s="15">
        <v>2</v>
      </c>
      <c r="D14" s="14">
        <v>1</v>
      </c>
      <c r="E14" s="14">
        <v>4</v>
      </c>
      <c r="F14" s="14">
        <v>5</v>
      </c>
      <c r="G14" s="14" t="s">
        <v>67</v>
      </c>
      <c r="H14" s="14">
        <v>0.20693</v>
      </c>
      <c r="I14" s="14">
        <v>150</v>
      </c>
      <c r="J14" s="14">
        <v>69</v>
      </c>
      <c r="K14" s="14" t="s">
        <v>14</v>
      </c>
      <c r="L14" t="s">
        <v>575</v>
      </c>
    </row>
    <row r="15" spans="2:17" x14ac:dyDescent="0.25">
      <c r="C15" s="15">
        <v>3</v>
      </c>
      <c r="D15" s="14">
        <v>1</v>
      </c>
      <c r="E15" s="14">
        <v>6</v>
      </c>
      <c r="F15" s="14">
        <v>7</v>
      </c>
      <c r="G15" s="14" t="s">
        <v>67</v>
      </c>
      <c r="H15" s="14">
        <v>0.38550000000000001</v>
      </c>
      <c r="I15" s="14">
        <v>80</v>
      </c>
      <c r="J15" s="14">
        <v>30</v>
      </c>
      <c r="K15" s="14" t="s">
        <v>13</v>
      </c>
      <c r="L15" t="s">
        <v>575</v>
      </c>
    </row>
    <row r="16" spans="2:17" x14ac:dyDescent="0.25">
      <c r="C16" s="15">
        <v>4</v>
      </c>
      <c r="D16" s="14">
        <v>2</v>
      </c>
      <c r="E16" s="14">
        <v>8</v>
      </c>
      <c r="F16" s="14">
        <v>9</v>
      </c>
      <c r="G16" s="14" t="s">
        <v>70</v>
      </c>
      <c r="H16" s="14">
        <v>0.20910999999999999</v>
      </c>
      <c r="I16" s="14">
        <v>63</v>
      </c>
      <c r="J16" s="14">
        <v>27</v>
      </c>
      <c r="K16" s="14" t="s">
        <v>15</v>
      </c>
      <c r="L16" t="s">
        <v>575</v>
      </c>
    </row>
    <row r="17" spans="3:12" x14ac:dyDescent="0.25">
      <c r="C17" s="15">
        <v>5</v>
      </c>
      <c r="D17" s="14">
        <v>2</v>
      </c>
      <c r="E17" s="14">
        <v>10</v>
      </c>
      <c r="F17" s="14">
        <v>11</v>
      </c>
      <c r="G17" s="14" t="s">
        <v>70</v>
      </c>
      <c r="H17" s="14">
        <v>0.54769999999999996</v>
      </c>
      <c r="I17" s="14">
        <v>87</v>
      </c>
      <c r="J17" s="14">
        <v>42</v>
      </c>
      <c r="K17" s="14" t="s">
        <v>14</v>
      </c>
      <c r="L17" t="s">
        <v>575</v>
      </c>
    </row>
    <row r="18" spans="3:12" x14ac:dyDescent="0.25">
      <c r="C18" s="15">
        <v>6</v>
      </c>
      <c r="D18" s="14">
        <v>3</v>
      </c>
      <c r="E18" s="14">
        <v>12</v>
      </c>
      <c r="F18" s="14">
        <v>13</v>
      </c>
      <c r="G18" s="14" t="s">
        <v>62</v>
      </c>
      <c r="H18" s="14">
        <v>0.27484999999999998</v>
      </c>
      <c r="I18" s="14">
        <v>8</v>
      </c>
      <c r="J18" s="14">
        <v>6</v>
      </c>
      <c r="K18" s="14" t="s">
        <v>15</v>
      </c>
      <c r="L18" t="s">
        <v>575</v>
      </c>
    </row>
    <row r="19" spans="3:12" x14ac:dyDescent="0.25">
      <c r="C19" s="15">
        <v>7</v>
      </c>
      <c r="D19" s="14">
        <v>3</v>
      </c>
      <c r="E19" s="14">
        <v>14</v>
      </c>
      <c r="F19" s="14">
        <v>15</v>
      </c>
      <c r="G19" s="14" t="s">
        <v>65</v>
      </c>
      <c r="H19" s="14">
        <v>0.71191000000000004</v>
      </c>
      <c r="I19" s="14">
        <v>72</v>
      </c>
      <c r="J19" s="14">
        <v>24</v>
      </c>
      <c r="K19" s="14" t="s">
        <v>13</v>
      </c>
      <c r="L19" t="s">
        <v>575</v>
      </c>
    </row>
    <row r="20" spans="3:12" x14ac:dyDescent="0.25">
      <c r="C20" s="15">
        <v>8</v>
      </c>
      <c r="D20" s="14">
        <v>4</v>
      </c>
      <c r="E20" s="14" t="e">
        <f>NA()</f>
        <v>#N/A</v>
      </c>
      <c r="F20" s="14" t="e">
        <f>NA()</f>
        <v>#N/A</v>
      </c>
      <c r="G20" s="14" t="e">
        <f>NA()</f>
        <v>#N/A</v>
      </c>
      <c r="H20" s="14" t="e">
        <f>NA()</f>
        <v>#N/A</v>
      </c>
      <c r="I20" s="14">
        <v>10</v>
      </c>
      <c r="J20" s="14">
        <v>4</v>
      </c>
      <c r="K20" s="14" t="s">
        <v>14</v>
      </c>
      <c r="L20" t="s">
        <v>576</v>
      </c>
    </row>
    <row r="21" spans="3:12" x14ac:dyDescent="0.25">
      <c r="C21" s="15">
        <v>9</v>
      </c>
      <c r="D21" s="14">
        <v>4</v>
      </c>
      <c r="E21" s="14" t="e">
        <f>NA()</f>
        <v>#N/A</v>
      </c>
      <c r="F21" s="14" t="e">
        <f>NA()</f>
        <v>#N/A</v>
      </c>
      <c r="G21" s="14" t="e">
        <f>NA()</f>
        <v>#N/A</v>
      </c>
      <c r="H21" s="14" t="e">
        <f>NA()</f>
        <v>#N/A</v>
      </c>
      <c r="I21" s="14">
        <v>53</v>
      </c>
      <c r="J21" s="14">
        <v>23</v>
      </c>
      <c r="K21" s="14" t="s">
        <v>15</v>
      </c>
      <c r="L21" t="s">
        <v>576</v>
      </c>
    </row>
    <row r="22" spans="3:12" x14ac:dyDescent="0.25">
      <c r="C22" s="15">
        <v>10</v>
      </c>
      <c r="D22" s="14">
        <v>5</v>
      </c>
      <c r="E22" s="14" t="e">
        <f>NA()</f>
        <v>#N/A</v>
      </c>
      <c r="F22" s="14" t="e">
        <f>NA()</f>
        <v>#N/A</v>
      </c>
      <c r="G22" s="14" t="e">
        <f>NA()</f>
        <v>#N/A</v>
      </c>
      <c r="H22" s="14" t="e">
        <f>NA()</f>
        <v>#N/A</v>
      </c>
      <c r="I22" s="14">
        <v>86</v>
      </c>
      <c r="J22" s="14">
        <v>37</v>
      </c>
      <c r="K22" s="14" t="s">
        <v>14</v>
      </c>
      <c r="L22" t="s">
        <v>576</v>
      </c>
    </row>
    <row r="23" spans="3:12" x14ac:dyDescent="0.25">
      <c r="C23" s="15">
        <v>11</v>
      </c>
      <c r="D23" s="14">
        <v>5</v>
      </c>
      <c r="E23" s="14" t="e">
        <f>NA()</f>
        <v>#N/A</v>
      </c>
      <c r="F23" s="14" t="e">
        <f>NA()</f>
        <v>#N/A</v>
      </c>
      <c r="G23" s="14" t="e">
        <f>NA()</f>
        <v>#N/A</v>
      </c>
      <c r="H23" s="14" t="e">
        <f>NA()</f>
        <v>#N/A</v>
      </c>
      <c r="I23" s="14">
        <v>1</v>
      </c>
      <c r="J23" s="14">
        <v>5</v>
      </c>
      <c r="K23" s="14" t="s">
        <v>15</v>
      </c>
      <c r="L23" t="s">
        <v>576</v>
      </c>
    </row>
    <row r="24" spans="3:12" x14ac:dyDescent="0.25">
      <c r="C24" s="15">
        <v>12</v>
      </c>
      <c r="D24" s="14">
        <v>6</v>
      </c>
      <c r="E24" s="14" t="e">
        <f>NA()</f>
        <v>#N/A</v>
      </c>
      <c r="F24" s="14" t="e">
        <f>NA()</f>
        <v>#N/A</v>
      </c>
      <c r="G24" s="14" t="e">
        <f>NA()</f>
        <v>#N/A</v>
      </c>
      <c r="H24" s="14" t="e">
        <f>NA()</f>
        <v>#N/A</v>
      </c>
      <c r="I24" s="14">
        <v>2</v>
      </c>
      <c r="J24" s="14">
        <v>2</v>
      </c>
      <c r="K24" s="14" t="s">
        <v>14</v>
      </c>
      <c r="L24" t="s">
        <v>576</v>
      </c>
    </row>
    <row r="25" spans="3:12" x14ac:dyDescent="0.25">
      <c r="C25" s="15">
        <v>13</v>
      </c>
      <c r="D25" s="14">
        <v>6</v>
      </c>
      <c r="E25" s="14" t="e">
        <f>NA()</f>
        <v>#N/A</v>
      </c>
      <c r="F25" s="14" t="e">
        <f>NA()</f>
        <v>#N/A</v>
      </c>
      <c r="G25" s="14" t="e">
        <f>NA()</f>
        <v>#N/A</v>
      </c>
      <c r="H25" s="14" t="e">
        <f>NA()</f>
        <v>#N/A</v>
      </c>
      <c r="I25" s="14">
        <v>6</v>
      </c>
      <c r="J25" s="14">
        <v>4</v>
      </c>
      <c r="K25" s="14" t="s">
        <v>15</v>
      </c>
      <c r="L25" t="s">
        <v>576</v>
      </c>
    </row>
    <row r="26" spans="3:12" x14ac:dyDescent="0.25">
      <c r="C26" s="15">
        <v>14</v>
      </c>
      <c r="D26" s="14">
        <v>7</v>
      </c>
      <c r="E26" s="14" t="e">
        <f>NA()</f>
        <v>#N/A</v>
      </c>
      <c r="F26" s="14" t="e">
        <f>NA()</f>
        <v>#N/A</v>
      </c>
      <c r="G26" s="14" t="e">
        <f>NA()</f>
        <v>#N/A</v>
      </c>
      <c r="H26" s="14" t="e">
        <f>NA()</f>
        <v>#N/A</v>
      </c>
      <c r="I26" s="14">
        <v>70</v>
      </c>
      <c r="J26" s="14">
        <v>22</v>
      </c>
      <c r="K26" s="14" t="s">
        <v>13</v>
      </c>
      <c r="L26" t="s">
        <v>576</v>
      </c>
    </row>
    <row r="27" spans="3:12" x14ac:dyDescent="0.25">
      <c r="C27" s="15">
        <v>15</v>
      </c>
      <c r="D27" s="14">
        <v>7</v>
      </c>
      <c r="E27" s="14" t="e">
        <f>NA()</f>
        <v>#N/A</v>
      </c>
      <c r="F27" s="14" t="e">
        <f>NA()</f>
        <v>#N/A</v>
      </c>
      <c r="G27" s="14" t="e">
        <f>NA()</f>
        <v>#N/A</v>
      </c>
      <c r="H27" s="14" t="e">
        <f>NA()</f>
        <v>#N/A</v>
      </c>
      <c r="I27" s="14">
        <v>2</v>
      </c>
      <c r="J27" s="14">
        <v>2</v>
      </c>
      <c r="K27" s="14" t="s">
        <v>14</v>
      </c>
      <c r="L27" t="s">
        <v>576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1'!$B$10:$B$10" display="Best Pruned Tree Rules (Using Validation Data)" xr:uid="{78A1A551-7C6F-44C4-972F-2E978444CC70}"/>
    <hyperlink ref="D4" location="'CT_FullTree1'!$B$10:$B$10" display="Fully Grown Tree Rules (Using Training Data)" xr:uid="{7E1D9348-882F-48A0-B054-5002753F3336}"/>
    <hyperlink ref="F4" location="'CT_MinErrorTree1'!$B$10:$B$10" display="Min Error Tree Rules (Using Validation Data)" xr:uid="{FB757BD6-6117-4B46-81A8-1DA6397BF9B9}"/>
    <hyperlink ref="H4" location="'CT_Output1'!$B$10:$B$10" display="Inputs" xr:uid="{215FC6BB-5743-41BD-9910-3E6CBBA7CC47}"/>
    <hyperlink ref="J4" location="'CT_Output1'!$B$66:$B$66" display="Feature Importance" xr:uid="{BBC0519E-8B24-4BF1-8B87-58DAAC15FE6B}"/>
    <hyperlink ref="B5" location="'CT_Stored1'!$B$10:$B$10" display="PMML Model" xr:uid="{BD8C483E-8F7B-41C8-84CF-7C67CEF1052F}"/>
    <hyperlink ref="D5" location="'CT_TrainingScore1'!$B$10:$B$10" display="Training: Classification Summary" xr:uid="{27FB514C-57E5-4DDB-B819-18AB273DFFD6}"/>
    <hyperlink ref="F5" location="'CT_ValidationScore1'!$B$10:$B$10" display="Validation: Classification Summary" xr:uid="{27FE6584-4F2A-4439-BC27-0C920336E520}"/>
  </hyperlinks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E018-C991-4B2D-97FE-1CB4E0804A3A}">
  <dimension ref="B1:Q28"/>
  <sheetViews>
    <sheetView showGridLines="0" topLeftCell="A6" workbookViewId="0">
      <selection activeCell="F23" sqref="F23"/>
    </sheetView>
  </sheetViews>
  <sheetFormatPr defaultRowHeight="13.2" x14ac:dyDescent="0.25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4" max="14" width="24.33203125" bestFit="1" customWidth="1"/>
  </cols>
  <sheetData>
    <row r="1" spans="2:17" ht="18" x14ac:dyDescent="0.35">
      <c r="B1" s="12" t="s">
        <v>563</v>
      </c>
      <c r="N1" t="s">
        <v>622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181</v>
      </c>
      <c r="O5" s="16">
        <v>59</v>
      </c>
      <c r="P5" s="16">
        <v>7</v>
      </c>
      <c r="Q5" s="16">
        <v>247</v>
      </c>
    </row>
    <row r="10" spans="2:17" ht="18" x14ac:dyDescent="0.35">
      <c r="B10" s="13" t="s">
        <v>547</v>
      </c>
    </row>
    <row r="12" spans="2:17" ht="15.6" x14ac:dyDescent="0.3">
      <c r="C12" s="28" t="s">
        <v>550</v>
      </c>
      <c r="D12" s="28"/>
      <c r="E12" s="28"/>
      <c r="F12" s="28"/>
    </row>
    <row r="13" spans="2:17" x14ac:dyDescent="0.25">
      <c r="C13" s="15" t="s">
        <v>562</v>
      </c>
      <c r="D13" t="s">
        <v>13</v>
      </c>
      <c r="E13" t="s">
        <v>14</v>
      </c>
      <c r="F13" t="s">
        <v>15</v>
      </c>
    </row>
    <row r="14" spans="2:17" x14ac:dyDescent="0.25">
      <c r="C14" s="15" t="s">
        <v>13</v>
      </c>
      <c r="D14" s="14">
        <v>70</v>
      </c>
      <c r="E14" s="14">
        <v>1</v>
      </c>
      <c r="F14">
        <v>0</v>
      </c>
    </row>
    <row r="15" spans="2:17" x14ac:dyDescent="0.25">
      <c r="C15" s="15" t="s">
        <v>14</v>
      </c>
      <c r="D15" s="14">
        <v>0</v>
      </c>
      <c r="E15" s="14">
        <v>99</v>
      </c>
      <c r="F15">
        <v>0</v>
      </c>
    </row>
    <row r="16" spans="2:17" x14ac:dyDescent="0.25">
      <c r="C16" s="15" t="s">
        <v>15</v>
      </c>
      <c r="D16" s="14">
        <v>0</v>
      </c>
      <c r="E16" s="14">
        <v>0</v>
      </c>
      <c r="F16">
        <v>60</v>
      </c>
    </row>
    <row r="18" spans="3:6" ht="15.6" x14ac:dyDescent="0.3">
      <c r="C18" s="28" t="s">
        <v>551</v>
      </c>
      <c r="D18" s="28"/>
      <c r="E18" s="28"/>
      <c r="F18" s="28"/>
    </row>
    <row r="19" spans="3:6" x14ac:dyDescent="0.25">
      <c r="C19" t="s">
        <v>552</v>
      </c>
      <c r="D19" t="s">
        <v>558</v>
      </c>
      <c r="E19" t="s">
        <v>560</v>
      </c>
      <c r="F19" t="s">
        <v>561</v>
      </c>
    </row>
    <row r="20" spans="3:6" x14ac:dyDescent="0.25">
      <c r="C20" s="15" t="s">
        <v>13</v>
      </c>
      <c r="D20">
        <f>SUM($D$14:$F$14)</f>
        <v>71</v>
      </c>
      <c r="E20">
        <f>SUM($D$14:$F$14) - $D$14</f>
        <v>1</v>
      </c>
      <c r="F20">
        <f>IF($D$20=0,"Undefined",$E$20*100 / $D$20)</f>
        <v>1.408450704225352</v>
      </c>
    </row>
    <row r="21" spans="3:6" x14ac:dyDescent="0.25">
      <c r="C21" s="15" t="s">
        <v>14</v>
      </c>
      <c r="D21">
        <f>SUM($D$15:$F$15)</f>
        <v>99</v>
      </c>
      <c r="E21">
        <f>SUM($D$15:$F$15) - $E$15</f>
        <v>0</v>
      </c>
      <c r="F21">
        <f>IF($D$21=0,"Undefined",$E$21*100 / $D$21)</f>
        <v>0</v>
      </c>
    </row>
    <row r="22" spans="3:6" x14ac:dyDescent="0.25">
      <c r="C22" s="15" t="s">
        <v>15</v>
      </c>
      <c r="D22">
        <f>SUM($D$16:$F$16)</f>
        <v>60</v>
      </c>
      <c r="E22">
        <f>SUM($D$16:$F$16) - $F$16</f>
        <v>0</v>
      </c>
      <c r="F22">
        <f>IF($D$22=0,"Undefined",$E$22*100 / $D$22)</f>
        <v>0</v>
      </c>
    </row>
    <row r="23" spans="3:6" x14ac:dyDescent="0.25">
      <c r="C23" s="15" t="s">
        <v>553</v>
      </c>
      <c r="D23">
        <f>SUM($D$20:$D$22)</f>
        <v>230</v>
      </c>
      <c r="E23">
        <f>SUM($E$20:$E$22)</f>
        <v>1</v>
      </c>
      <c r="F23">
        <f>IF($D$23=0,"Undefined",$E$23*100 / $D$23)</f>
        <v>0.43478260869565216</v>
      </c>
    </row>
    <row r="25" spans="3:6" ht="15.6" x14ac:dyDescent="0.3">
      <c r="C25" s="28" t="s">
        <v>554</v>
      </c>
      <c r="D25" s="28"/>
    </row>
    <row r="26" spans="3:6" x14ac:dyDescent="0.25">
      <c r="C26" t="s">
        <v>555</v>
      </c>
      <c r="D26" t="s">
        <v>559</v>
      </c>
    </row>
    <row r="27" spans="3:6" x14ac:dyDescent="0.25">
      <c r="C27" t="s">
        <v>556</v>
      </c>
      <c r="D27">
        <v>229</v>
      </c>
    </row>
    <row r="28" spans="3:6" x14ac:dyDescent="0.25">
      <c r="C28" t="s">
        <v>557</v>
      </c>
      <c r="D28">
        <v>99.565217391304344</v>
      </c>
    </row>
  </sheetData>
  <mergeCells count="15">
    <mergeCell ref="C12:F12"/>
    <mergeCell ref="C18:F18"/>
    <mergeCell ref="C25:D25"/>
    <mergeCell ref="B4:C4"/>
    <mergeCell ref="D4:E4"/>
    <mergeCell ref="F4:G4"/>
    <mergeCell ref="B3:K3"/>
    <mergeCell ref="N3:Q3"/>
    <mergeCell ref="H4:I4"/>
    <mergeCell ref="J4:K4"/>
    <mergeCell ref="B5:C5"/>
    <mergeCell ref="D5:E5"/>
    <mergeCell ref="F5:G5"/>
    <mergeCell ref="H5:I5"/>
    <mergeCell ref="J5:K5"/>
  </mergeCells>
  <hyperlinks>
    <hyperlink ref="B4" location="'CT_BestTree1'!$B$10:$B$10" display="Best Pruned Tree Rules (Using Validation Data)" xr:uid="{F6A2F584-A647-4B46-8855-F4319C6946B5}"/>
    <hyperlink ref="D4" location="'CT_FullTree1'!$B$10:$B$10" display="Fully Grown Tree Rules (Using Training Data)" xr:uid="{3858F62F-DE2D-408B-B9D0-153DB0B9D4D4}"/>
    <hyperlink ref="F4" location="'CT_MinErrorTree1'!$B$10:$B$10" display="Min Error Tree Rules (Using Validation Data)" xr:uid="{AB57C449-8874-4BE2-8FC3-99046976CE29}"/>
    <hyperlink ref="H4" location="'CT_Output1'!$B$10:$B$10" display="Inputs" xr:uid="{BA5A601B-3A46-4B8A-A468-2DA1F2FB323E}"/>
    <hyperlink ref="J4" location="'CT_Output1'!$B$66:$B$66" display="Feature Importance" xr:uid="{38DB41E1-350A-451A-B1A1-1F28304192C7}"/>
    <hyperlink ref="B5" location="'CT_Stored1'!$B$10:$B$10" display="PMML Model" xr:uid="{5A9FA141-11A2-417A-A622-F486D4618F42}"/>
    <hyperlink ref="D5" location="'CT_TrainingScore1'!$B$10:$B$10" display="Training: Classification Summary" xr:uid="{4E461AC4-09A0-4914-98B9-38D068FFF590}"/>
    <hyperlink ref="F5" location="'CT_ValidationScore1'!$B$10:$B$10" display="Validation: Classification Summary" xr:uid="{A413E79C-178B-47B7-946B-78D231E9CA68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17759-892E-40E1-A91D-2A8649D38356}">
  <dimension ref="B1:Q28"/>
  <sheetViews>
    <sheetView showGridLines="0" topLeftCell="A3" workbookViewId="0">
      <selection activeCell="D28" sqref="D28"/>
    </sheetView>
  </sheetViews>
  <sheetFormatPr defaultRowHeight="13.2" x14ac:dyDescent="0.25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4" max="14" width="24.33203125" bestFit="1" customWidth="1"/>
  </cols>
  <sheetData>
    <row r="1" spans="2:17" ht="18" x14ac:dyDescent="0.35">
      <c r="B1" s="12" t="s">
        <v>549</v>
      </c>
      <c r="N1" t="s">
        <v>622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181</v>
      </c>
      <c r="O5" s="16">
        <v>59</v>
      </c>
      <c r="P5" s="16">
        <v>7</v>
      </c>
      <c r="Q5" s="16">
        <v>247</v>
      </c>
    </row>
    <row r="10" spans="2:17" ht="18" x14ac:dyDescent="0.35">
      <c r="B10" s="13" t="s">
        <v>548</v>
      </c>
    </row>
    <row r="12" spans="2:17" ht="15.6" x14ac:dyDescent="0.3">
      <c r="C12" s="28" t="s">
        <v>550</v>
      </c>
      <c r="D12" s="28"/>
      <c r="E12" s="28"/>
      <c r="F12" s="28"/>
    </row>
    <row r="13" spans="2:17" x14ac:dyDescent="0.25">
      <c r="C13" s="15" t="s">
        <v>562</v>
      </c>
      <c r="D13" t="s">
        <v>13</v>
      </c>
      <c r="E13" t="s">
        <v>14</v>
      </c>
      <c r="F13" t="s">
        <v>15</v>
      </c>
    </row>
    <row r="14" spans="2:17" x14ac:dyDescent="0.25">
      <c r="C14" s="15" t="s">
        <v>13</v>
      </c>
      <c r="D14" s="14">
        <v>22</v>
      </c>
      <c r="E14" s="14">
        <v>2</v>
      </c>
      <c r="F14">
        <v>0</v>
      </c>
    </row>
    <row r="15" spans="2:17" x14ac:dyDescent="0.25">
      <c r="C15" s="15" t="s">
        <v>14</v>
      </c>
      <c r="D15" s="14">
        <v>0</v>
      </c>
      <c r="E15" s="14">
        <v>43</v>
      </c>
      <c r="F15">
        <v>0</v>
      </c>
    </row>
    <row r="16" spans="2:17" x14ac:dyDescent="0.25">
      <c r="C16" s="15" t="s">
        <v>15</v>
      </c>
      <c r="D16" s="14">
        <v>0</v>
      </c>
      <c r="E16" s="14">
        <v>0</v>
      </c>
      <c r="F16">
        <v>32</v>
      </c>
    </row>
    <row r="18" spans="3:6" ht="15.6" x14ac:dyDescent="0.3">
      <c r="C18" s="28" t="s">
        <v>551</v>
      </c>
      <c r="D18" s="28"/>
      <c r="E18" s="28"/>
      <c r="F18" s="28"/>
    </row>
    <row r="19" spans="3:6" x14ac:dyDescent="0.25">
      <c r="C19" t="s">
        <v>552</v>
      </c>
      <c r="D19" t="s">
        <v>558</v>
      </c>
      <c r="E19" t="s">
        <v>560</v>
      </c>
      <c r="F19" t="s">
        <v>561</v>
      </c>
    </row>
    <row r="20" spans="3:6" x14ac:dyDescent="0.25">
      <c r="C20" s="15" t="s">
        <v>13</v>
      </c>
      <c r="D20">
        <f>SUM($D$14:$F$14)</f>
        <v>24</v>
      </c>
      <c r="E20">
        <f>SUM($D$14:$F$14) - $D$14</f>
        <v>2</v>
      </c>
      <c r="F20">
        <f>IF($D$20=0,"Undefined",$E$20*100 / $D$20)</f>
        <v>8.3333333333333339</v>
      </c>
    </row>
    <row r="21" spans="3:6" x14ac:dyDescent="0.25">
      <c r="C21" s="15" t="s">
        <v>14</v>
      </c>
      <c r="D21">
        <f>SUM($D$15:$F$15)</f>
        <v>43</v>
      </c>
      <c r="E21">
        <f>SUM($D$15:$F$15) - $E$15</f>
        <v>0</v>
      </c>
      <c r="F21">
        <f>IF($D$21=0,"Undefined",$E$21*100 / $D$21)</f>
        <v>0</v>
      </c>
    </row>
    <row r="22" spans="3:6" x14ac:dyDescent="0.25">
      <c r="C22" s="15" t="s">
        <v>15</v>
      </c>
      <c r="D22">
        <f>SUM($D$16:$F$16)</f>
        <v>32</v>
      </c>
      <c r="E22">
        <f>SUM($D$16:$F$16) - $F$16</f>
        <v>0</v>
      </c>
      <c r="F22">
        <f>IF($D$22=0,"Undefined",$E$22*100 / $D$22)</f>
        <v>0</v>
      </c>
    </row>
    <row r="23" spans="3:6" x14ac:dyDescent="0.25">
      <c r="C23" s="15" t="s">
        <v>553</v>
      </c>
      <c r="D23">
        <f>SUM($D$20:$D$22)</f>
        <v>99</v>
      </c>
      <c r="E23">
        <f>SUM($E$20:$E$22)</f>
        <v>2</v>
      </c>
      <c r="F23">
        <f>IF($D$23=0,"Undefined",$E$23*100 / $D$23)</f>
        <v>2.0202020202020203</v>
      </c>
    </row>
    <row r="25" spans="3:6" ht="15.6" x14ac:dyDescent="0.3">
      <c r="C25" s="28" t="s">
        <v>554</v>
      </c>
      <c r="D25" s="28"/>
    </row>
    <row r="26" spans="3:6" x14ac:dyDescent="0.25">
      <c r="C26" t="s">
        <v>555</v>
      </c>
      <c r="D26" t="s">
        <v>559</v>
      </c>
    </row>
    <row r="27" spans="3:6" x14ac:dyDescent="0.25">
      <c r="C27" t="s">
        <v>556</v>
      </c>
      <c r="D27">
        <v>97</v>
      </c>
    </row>
    <row r="28" spans="3:6" x14ac:dyDescent="0.25">
      <c r="C28" t="s">
        <v>557</v>
      </c>
      <c r="D28">
        <v>97.979797979797979</v>
      </c>
    </row>
  </sheetData>
  <mergeCells count="15">
    <mergeCell ref="C12:F12"/>
    <mergeCell ref="C18:F18"/>
    <mergeCell ref="C25:D25"/>
    <mergeCell ref="B4:C4"/>
    <mergeCell ref="D4:E4"/>
    <mergeCell ref="F4:G4"/>
    <mergeCell ref="B3:K3"/>
    <mergeCell ref="N3:Q3"/>
    <mergeCell ref="H4:I4"/>
    <mergeCell ref="J4:K4"/>
    <mergeCell ref="B5:C5"/>
    <mergeCell ref="D5:E5"/>
    <mergeCell ref="F5:G5"/>
    <mergeCell ref="H5:I5"/>
    <mergeCell ref="J5:K5"/>
  </mergeCells>
  <hyperlinks>
    <hyperlink ref="B4" location="'CT_BestTree1'!$B$10:$B$10" display="Best Pruned Tree Rules (Using Validation Data)" xr:uid="{B1FEFB5E-46A5-4F4A-B476-CE28C575BA74}"/>
    <hyperlink ref="D4" location="'CT_FullTree1'!$B$10:$B$10" display="Fully Grown Tree Rules (Using Training Data)" xr:uid="{E1C3B243-341F-4EDC-92D3-00E1E106E01A}"/>
    <hyperlink ref="F4" location="'CT_MinErrorTree1'!$B$10:$B$10" display="Min Error Tree Rules (Using Validation Data)" xr:uid="{1CC106F7-76F7-43E1-BB41-D69B0FD65935}"/>
    <hyperlink ref="H4" location="'CT_Output1'!$B$10:$B$10" display="Inputs" xr:uid="{1DF39171-0F6C-4D08-A8F2-ECB6216A7708}"/>
    <hyperlink ref="J4" location="'CT_Output1'!$B$66:$B$66" display="Feature Importance" xr:uid="{BDC64439-0969-4BFD-8143-E69555842C21}"/>
    <hyperlink ref="B5" location="'CT_Stored1'!$B$10:$B$10" display="PMML Model" xr:uid="{78A2822D-DEE0-4D43-86F9-1C4176D576E7}"/>
    <hyperlink ref="D5" location="'CT_TrainingScore1'!$B$10:$B$10" display="Training: Classification Summary" xr:uid="{3BA4A807-EA5C-40F6-9527-E780670CA779}"/>
    <hyperlink ref="F5" location="'CT_ValidationScore1'!$B$10:$B$10" display="Validation: Classification Summary" xr:uid="{DC75AC23-9E4A-4905-B131-4D69AE8148C0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BDEA5-1365-4ABA-A39B-8F23953C58C2}">
  <dimension ref="B1:Q181"/>
  <sheetViews>
    <sheetView showGridLines="0" workbookViewId="0"/>
  </sheetViews>
  <sheetFormatPr defaultRowHeight="13.2" x14ac:dyDescent="0.25"/>
  <cols>
    <col min="14" max="14" width="24.33203125" bestFit="1" customWidth="1"/>
  </cols>
  <sheetData>
    <row r="1" spans="2:17" ht="18" x14ac:dyDescent="0.35">
      <c r="B1" s="12" t="s">
        <v>420</v>
      </c>
      <c r="N1" t="s">
        <v>622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181</v>
      </c>
      <c r="O5" s="16">
        <v>59</v>
      </c>
      <c r="P5" s="16">
        <v>7</v>
      </c>
      <c r="Q5" s="16">
        <v>247</v>
      </c>
    </row>
    <row r="10" spans="2:17" ht="18" x14ac:dyDescent="0.35">
      <c r="B10" s="13" t="s">
        <v>421</v>
      </c>
    </row>
    <row r="12" spans="2:17" x14ac:dyDescent="0.25">
      <c r="B12" t="s">
        <v>422</v>
      </c>
    </row>
    <row r="13" spans="2:17" x14ac:dyDescent="0.25">
      <c r="B13" t="s">
        <v>423</v>
      </c>
    </row>
    <row r="14" spans="2:17" x14ac:dyDescent="0.25">
      <c r="B14" t="s">
        <v>424</v>
      </c>
    </row>
    <row r="15" spans="2:17" x14ac:dyDescent="0.25">
      <c r="B15" t="s">
        <v>425</v>
      </c>
    </row>
    <row r="16" spans="2:17" x14ac:dyDescent="0.25">
      <c r="B16" t="s">
        <v>621</v>
      </c>
    </row>
    <row r="17" spans="2:2" x14ac:dyDescent="0.25">
      <c r="B17" t="s">
        <v>426</v>
      </c>
    </row>
    <row r="18" spans="2:2" x14ac:dyDescent="0.25">
      <c r="B18" t="s">
        <v>427</v>
      </c>
    </row>
    <row r="19" spans="2:2" x14ac:dyDescent="0.25">
      <c r="B19" t="s">
        <v>428</v>
      </c>
    </row>
    <row r="20" spans="2:2" x14ac:dyDescent="0.25">
      <c r="B20" t="s">
        <v>429</v>
      </c>
    </row>
    <row r="21" spans="2:2" x14ac:dyDescent="0.25">
      <c r="B21" t="s">
        <v>430</v>
      </c>
    </row>
    <row r="22" spans="2:2" x14ac:dyDescent="0.25">
      <c r="B22" t="s">
        <v>431</v>
      </c>
    </row>
    <row r="23" spans="2:2" x14ac:dyDescent="0.25">
      <c r="B23" t="s">
        <v>432</v>
      </c>
    </row>
    <row r="24" spans="2:2" x14ac:dyDescent="0.25">
      <c r="B24" t="s">
        <v>433</v>
      </c>
    </row>
    <row r="25" spans="2:2" x14ac:dyDescent="0.25">
      <c r="B25" t="s">
        <v>434</v>
      </c>
    </row>
    <row r="26" spans="2:2" x14ac:dyDescent="0.25">
      <c r="B26" t="s">
        <v>435</v>
      </c>
    </row>
    <row r="27" spans="2:2" x14ac:dyDescent="0.25">
      <c r="B27" t="s">
        <v>436</v>
      </c>
    </row>
    <row r="28" spans="2:2" x14ac:dyDescent="0.25">
      <c r="B28" t="s">
        <v>437</v>
      </c>
    </row>
    <row r="29" spans="2:2" x14ac:dyDescent="0.25">
      <c r="B29" t="s">
        <v>438</v>
      </c>
    </row>
    <row r="30" spans="2:2" x14ac:dyDescent="0.25">
      <c r="B30" t="s">
        <v>439</v>
      </c>
    </row>
    <row r="31" spans="2:2" x14ac:dyDescent="0.25">
      <c r="B31" t="s">
        <v>440</v>
      </c>
    </row>
    <row r="32" spans="2:2" x14ac:dyDescent="0.25">
      <c r="B32" t="s">
        <v>441</v>
      </c>
    </row>
    <row r="33" spans="2:2" x14ac:dyDescent="0.25">
      <c r="B33" t="s">
        <v>442</v>
      </c>
    </row>
    <row r="34" spans="2:2" x14ac:dyDescent="0.25">
      <c r="B34" t="s">
        <v>443</v>
      </c>
    </row>
    <row r="35" spans="2:2" x14ac:dyDescent="0.25">
      <c r="B35" t="s">
        <v>444</v>
      </c>
    </row>
    <row r="36" spans="2:2" x14ac:dyDescent="0.25">
      <c r="B36" t="s">
        <v>445</v>
      </c>
    </row>
    <row r="37" spans="2:2" x14ac:dyDescent="0.25">
      <c r="B37" t="s">
        <v>446</v>
      </c>
    </row>
    <row r="38" spans="2:2" x14ac:dyDescent="0.25">
      <c r="B38" t="s">
        <v>447</v>
      </c>
    </row>
    <row r="39" spans="2:2" x14ac:dyDescent="0.25">
      <c r="B39" t="s">
        <v>448</v>
      </c>
    </row>
    <row r="40" spans="2:2" x14ac:dyDescent="0.25">
      <c r="B40" t="s">
        <v>449</v>
      </c>
    </row>
    <row r="41" spans="2:2" x14ac:dyDescent="0.25">
      <c r="B41" t="s">
        <v>450</v>
      </c>
    </row>
    <row r="42" spans="2:2" x14ac:dyDescent="0.25">
      <c r="B42" t="s">
        <v>451</v>
      </c>
    </row>
    <row r="43" spans="2:2" x14ac:dyDescent="0.25">
      <c r="B43" t="s">
        <v>452</v>
      </c>
    </row>
    <row r="44" spans="2:2" x14ac:dyDescent="0.25">
      <c r="B44" t="s">
        <v>453</v>
      </c>
    </row>
    <row r="45" spans="2:2" x14ac:dyDescent="0.25">
      <c r="B45" t="s">
        <v>454</v>
      </c>
    </row>
    <row r="46" spans="2:2" x14ac:dyDescent="0.25">
      <c r="B46" t="s">
        <v>455</v>
      </c>
    </row>
    <row r="47" spans="2:2" x14ac:dyDescent="0.25">
      <c r="B47" t="s">
        <v>623</v>
      </c>
    </row>
    <row r="48" spans="2:2" x14ac:dyDescent="0.25">
      <c r="B48" t="s">
        <v>624</v>
      </c>
    </row>
    <row r="49" spans="2:2" x14ac:dyDescent="0.25">
      <c r="B49" t="s">
        <v>625</v>
      </c>
    </row>
    <row r="50" spans="2:2" x14ac:dyDescent="0.25">
      <c r="B50" t="s">
        <v>626</v>
      </c>
    </row>
    <row r="51" spans="2:2" x14ac:dyDescent="0.25">
      <c r="B51" t="s">
        <v>454</v>
      </c>
    </row>
    <row r="52" spans="2:2" x14ac:dyDescent="0.25">
      <c r="B52" t="s">
        <v>455</v>
      </c>
    </row>
    <row r="53" spans="2:2" x14ac:dyDescent="0.25">
      <c r="B53" t="s">
        <v>456</v>
      </c>
    </row>
    <row r="54" spans="2:2" x14ac:dyDescent="0.25">
      <c r="B54" t="s">
        <v>457</v>
      </c>
    </row>
    <row r="55" spans="2:2" x14ac:dyDescent="0.25">
      <c r="B55" t="s">
        <v>458</v>
      </c>
    </row>
    <row r="56" spans="2:2" x14ac:dyDescent="0.25">
      <c r="B56" t="s">
        <v>459</v>
      </c>
    </row>
    <row r="57" spans="2:2" x14ac:dyDescent="0.25">
      <c r="B57" t="s">
        <v>454</v>
      </c>
    </row>
    <row r="58" spans="2:2" x14ac:dyDescent="0.25">
      <c r="B58" t="s">
        <v>455</v>
      </c>
    </row>
    <row r="59" spans="2:2" x14ac:dyDescent="0.25">
      <c r="B59" t="s">
        <v>627</v>
      </c>
    </row>
    <row r="60" spans="2:2" x14ac:dyDescent="0.25">
      <c r="B60" t="s">
        <v>628</v>
      </c>
    </row>
    <row r="61" spans="2:2" x14ac:dyDescent="0.25">
      <c r="B61" t="s">
        <v>629</v>
      </c>
    </row>
    <row r="62" spans="2:2" x14ac:dyDescent="0.25">
      <c r="B62" t="s">
        <v>630</v>
      </c>
    </row>
    <row r="63" spans="2:2" x14ac:dyDescent="0.25">
      <c r="B63" t="s">
        <v>454</v>
      </c>
    </row>
    <row r="64" spans="2:2" x14ac:dyDescent="0.25">
      <c r="B64" t="s">
        <v>455</v>
      </c>
    </row>
    <row r="65" spans="2:2" x14ac:dyDescent="0.25">
      <c r="B65" t="s">
        <v>468</v>
      </c>
    </row>
    <row r="66" spans="2:2" x14ac:dyDescent="0.25">
      <c r="B66" t="s">
        <v>469</v>
      </c>
    </row>
    <row r="67" spans="2:2" x14ac:dyDescent="0.25">
      <c r="B67" t="s">
        <v>470</v>
      </c>
    </row>
    <row r="68" spans="2:2" x14ac:dyDescent="0.25">
      <c r="B68" t="s">
        <v>471</v>
      </c>
    </row>
    <row r="69" spans="2:2" x14ac:dyDescent="0.25">
      <c r="B69" t="s">
        <v>454</v>
      </c>
    </row>
    <row r="70" spans="2:2" x14ac:dyDescent="0.25">
      <c r="B70" t="s">
        <v>455</v>
      </c>
    </row>
    <row r="71" spans="2:2" x14ac:dyDescent="0.25">
      <c r="B71" t="s">
        <v>472</v>
      </c>
    </row>
    <row r="72" spans="2:2" x14ac:dyDescent="0.25">
      <c r="B72" t="s">
        <v>473</v>
      </c>
    </row>
    <row r="73" spans="2:2" x14ac:dyDescent="0.25">
      <c r="B73" t="s">
        <v>474</v>
      </c>
    </row>
    <row r="74" spans="2:2" x14ac:dyDescent="0.25">
      <c r="B74" t="s">
        <v>475</v>
      </c>
    </row>
    <row r="75" spans="2:2" x14ac:dyDescent="0.25">
      <c r="B75" t="s">
        <v>631</v>
      </c>
    </row>
    <row r="76" spans="2:2" x14ac:dyDescent="0.25">
      <c r="B76" t="s">
        <v>476</v>
      </c>
    </row>
    <row r="77" spans="2:2" x14ac:dyDescent="0.25">
      <c r="B77" t="s">
        <v>632</v>
      </c>
    </row>
    <row r="78" spans="2:2" x14ac:dyDescent="0.25">
      <c r="B78" t="s">
        <v>479</v>
      </c>
    </row>
    <row r="79" spans="2:2" x14ac:dyDescent="0.25">
      <c r="B79" t="s">
        <v>480</v>
      </c>
    </row>
    <row r="80" spans="2:2" x14ac:dyDescent="0.25">
      <c r="B80" t="s">
        <v>481</v>
      </c>
    </row>
    <row r="81" spans="2:2" x14ac:dyDescent="0.25">
      <c r="B81" t="s">
        <v>482</v>
      </c>
    </row>
    <row r="82" spans="2:2" x14ac:dyDescent="0.25">
      <c r="B82" t="s">
        <v>483</v>
      </c>
    </row>
    <row r="83" spans="2:2" x14ac:dyDescent="0.25">
      <c r="B83" t="s">
        <v>484</v>
      </c>
    </row>
    <row r="84" spans="2:2" x14ac:dyDescent="0.25">
      <c r="B84" t="s">
        <v>485</v>
      </c>
    </row>
    <row r="85" spans="2:2" x14ac:dyDescent="0.25">
      <c r="B85" t="s">
        <v>633</v>
      </c>
    </row>
    <row r="86" spans="2:2" x14ac:dyDescent="0.25">
      <c r="B86" t="s">
        <v>634</v>
      </c>
    </row>
    <row r="87" spans="2:2" x14ac:dyDescent="0.25">
      <c r="B87" t="s">
        <v>635</v>
      </c>
    </row>
    <row r="88" spans="2:2" x14ac:dyDescent="0.25">
      <c r="B88" t="s">
        <v>489</v>
      </c>
    </row>
    <row r="89" spans="2:2" x14ac:dyDescent="0.25">
      <c r="B89" t="s">
        <v>490</v>
      </c>
    </row>
    <row r="90" spans="2:2" x14ac:dyDescent="0.25">
      <c r="B90" t="s">
        <v>636</v>
      </c>
    </row>
    <row r="91" spans="2:2" x14ac:dyDescent="0.25">
      <c r="B91" t="s">
        <v>492</v>
      </c>
    </row>
    <row r="92" spans="2:2" x14ac:dyDescent="0.25">
      <c r="B92" t="s">
        <v>637</v>
      </c>
    </row>
    <row r="93" spans="2:2" x14ac:dyDescent="0.25">
      <c r="B93" t="s">
        <v>638</v>
      </c>
    </row>
    <row r="94" spans="2:2" x14ac:dyDescent="0.25">
      <c r="B94" t="s">
        <v>639</v>
      </c>
    </row>
    <row r="95" spans="2:2" x14ac:dyDescent="0.25">
      <c r="B95" t="s">
        <v>640</v>
      </c>
    </row>
    <row r="96" spans="2:2" x14ac:dyDescent="0.25">
      <c r="B96" t="s">
        <v>497</v>
      </c>
    </row>
    <row r="97" spans="2:2" x14ac:dyDescent="0.25">
      <c r="B97" t="s">
        <v>498</v>
      </c>
    </row>
    <row r="98" spans="2:2" x14ac:dyDescent="0.25">
      <c r="B98" t="s">
        <v>641</v>
      </c>
    </row>
    <row r="99" spans="2:2" x14ac:dyDescent="0.25">
      <c r="B99" t="s">
        <v>642</v>
      </c>
    </row>
    <row r="100" spans="2:2" x14ac:dyDescent="0.25">
      <c r="B100" t="s">
        <v>643</v>
      </c>
    </row>
    <row r="101" spans="2:2" x14ac:dyDescent="0.25">
      <c r="B101" t="s">
        <v>644</v>
      </c>
    </row>
    <row r="102" spans="2:2" x14ac:dyDescent="0.25">
      <c r="B102" t="s">
        <v>503</v>
      </c>
    </row>
    <row r="103" spans="2:2" x14ac:dyDescent="0.25">
      <c r="B103" t="s">
        <v>645</v>
      </c>
    </row>
    <row r="104" spans="2:2" x14ac:dyDescent="0.25">
      <c r="B104" t="s">
        <v>646</v>
      </c>
    </row>
    <row r="105" spans="2:2" x14ac:dyDescent="0.25">
      <c r="B105" t="s">
        <v>647</v>
      </c>
    </row>
    <row r="106" spans="2:2" x14ac:dyDescent="0.25">
      <c r="B106" t="s">
        <v>648</v>
      </c>
    </row>
    <row r="107" spans="2:2" x14ac:dyDescent="0.25">
      <c r="B107" t="s">
        <v>503</v>
      </c>
    </row>
    <row r="108" spans="2:2" x14ac:dyDescent="0.25">
      <c r="B108" t="s">
        <v>645</v>
      </c>
    </row>
    <row r="109" spans="2:2" x14ac:dyDescent="0.25">
      <c r="B109" t="s">
        <v>515</v>
      </c>
    </row>
    <row r="110" spans="2:2" x14ac:dyDescent="0.25">
      <c r="B110" t="s">
        <v>512</v>
      </c>
    </row>
    <row r="111" spans="2:2" x14ac:dyDescent="0.25">
      <c r="B111" t="s">
        <v>649</v>
      </c>
    </row>
    <row r="112" spans="2:2" x14ac:dyDescent="0.25">
      <c r="B112" t="s">
        <v>650</v>
      </c>
    </row>
    <row r="113" spans="2:2" x14ac:dyDescent="0.25">
      <c r="B113" t="s">
        <v>503</v>
      </c>
    </row>
    <row r="114" spans="2:2" x14ac:dyDescent="0.25">
      <c r="B114" t="s">
        <v>511</v>
      </c>
    </row>
    <row r="115" spans="2:2" x14ac:dyDescent="0.25">
      <c r="B115" t="s">
        <v>646</v>
      </c>
    </row>
    <row r="116" spans="2:2" x14ac:dyDescent="0.25">
      <c r="B116" t="s">
        <v>512</v>
      </c>
    </row>
    <row r="117" spans="2:2" x14ac:dyDescent="0.25">
      <c r="B117" t="s">
        <v>512</v>
      </c>
    </row>
    <row r="118" spans="2:2" x14ac:dyDescent="0.25">
      <c r="B118" t="s">
        <v>651</v>
      </c>
    </row>
    <row r="119" spans="2:2" x14ac:dyDescent="0.25">
      <c r="B119" t="s">
        <v>652</v>
      </c>
    </row>
    <row r="120" spans="2:2" x14ac:dyDescent="0.25">
      <c r="B120" t="s">
        <v>498</v>
      </c>
    </row>
    <row r="121" spans="2:2" x14ac:dyDescent="0.25">
      <c r="B121" t="s">
        <v>653</v>
      </c>
    </row>
    <row r="122" spans="2:2" x14ac:dyDescent="0.25">
      <c r="B122" t="s">
        <v>654</v>
      </c>
    </row>
    <row r="123" spans="2:2" x14ac:dyDescent="0.25">
      <c r="B123" t="s">
        <v>655</v>
      </c>
    </row>
    <row r="124" spans="2:2" x14ac:dyDescent="0.25">
      <c r="B124" t="s">
        <v>656</v>
      </c>
    </row>
    <row r="125" spans="2:2" x14ac:dyDescent="0.25">
      <c r="B125" t="s">
        <v>498</v>
      </c>
    </row>
    <row r="126" spans="2:2" x14ac:dyDescent="0.25">
      <c r="B126" t="s">
        <v>653</v>
      </c>
    </row>
    <row r="127" spans="2:2" x14ac:dyDescent="0.25">
      <c r="B127" t="s">
        <v>515</v>
      </c>
    </row>
    <row r="128" spans="2:2" x14ac:dyDescent="0.25">
      <c r="B128" t="s">
        <v>512</v>
      </c>
    </row>
    <row r="129" spans="2:2" x14ac:dyDescent="0.25">
      <c r="B129" t="s">
        <v>657</v>
      </c>
    </row>
    <row r="130" spans="2:2" x14ac:dyDescent="0.25">
      <c r="B130" t="s">
        <v>658</v>
      </c>
    </row>
    <row r="131" spans="2:2" x14ac:dyDescent="0.25">
      <c r="B131" t="s">
        <v>503</v>
      </c>
    </row>
    <row r="132" spans="2:2" x14ac:dyDescent="0.25">
      <c r="B132" t="s">
        <v>511</v>
      </c>
    </row>
    <row r="133" spans="2:2" x14ac:dyDescent="0.25">
      <c r="B133" t="s">
        <v>654</v>
      </c>
    </row>
    <row r="134" spans="2:2" x14ac:dyDescent="0.25">
      <c r="B134" t="s">
        <v>512</v>
      </c>
    </row>
    <row r="135" spans="2:2" x14ac:dyDescent="0.25">
      <c r="B135" t="s">
        <v>512</v>
      </c>
    </row>
    <row r="136" spans="2:2" x14ac:dyDescent="0.25">
      <c r="B136" t="s">
        <v>512</v>
      </c>
    </row>
    <row r="137" spans="2:2" x14ac:dyDescent="0.25">
      <c r="B137" t="s">
        <v>659</v>
      </c>
    </row>
    <row r="138" spans="2:2" x14ac:dyDescent="0.25">
      <c r="B138" t="s">
        <v>528</v>
      </c>
    </row>
    <row r="139" spans="2:2" x14ac:dyDescent="0.25">
      <c r="B139" t="s">
        <v>660</v>
      </c>
    </row>
    <row r="140" spans="2:2" x14ac:dyDescent="0.25">
      <c r="B140" t="s">
        <v>661</v>
      </c>
    </row>
    <row r="141" spans="2:2" x14ac:dyDescent="0.25">
      <c r="B141" t="s">
        <v>531</v>
      </c>
    </row>
    <row r="142" spans="2:2" x14ac:dyDescent="0.25">
      <c r="B142" t="s">
        <v>532</v>
      </c>
    </row>
    <row r="143" spans="2:2" x14ac:dyDescent="0.25">
      <c r="B143" t="s">
        <v>533</v>
      </c>
    </row>
    <row r="144" spans="2:2" x14ac:dyDescent="0.25">
      <c r="B144" t="s">
        <v>503</v>
      </c>
    </row>
    <row r="145" spans="2:2" x14ac:dyDescent="0.25">
      <c r="B145" t="s">
        <v>508</v>
      </c>
    </row>
    <row r="146" spans="2:2" x14ac:dyDescent="0.25">
      <c r="B146" t="s">
        <v>531</v>
      </c>
    </row>
    <row r="147" spans="2:2" x14ac:dyDescent="0.25">
      <c r="B147" t="s">
        <v>534</v>
      </c>
    </row>
    <row r="148" spans="2:2" x14ac:dyDescent="0.25">
      <c r="B148" t="s">
        <v>535</v>
      </c>
    </row>
    <row r="149" spans="2:2" x14ac:dyDescent="0.25">
      <c r="B149" t="s">
        <v>503</v>
      </c>
    </row>
    <row r="150" spans="2:2" x14ac:dyDescent="0.25">
      <c r="B150" t="s">
        <v>508</v>
      </c>
    </row>
    <row r="151" spans="2:2" x14ac:dyDescent="0.25">
      <c r="B151" t="s">
        <v>515</v>
      </c>
    </row>
    <row r="152" spans="2:2" x14ac:dyDescent="0.25">
      <c r="B152" t="s">
        <v>512</v>
      </c>
    </row>
    <row r="153" spans="2:2" x14ac:dyDescent="0.25">
      <c r="B153" t="s">
        <v>536</v>
      </c>
    </row>
    <row r="154" spans="2:2" x14ac:dyDescent="0.25">
      <c r="B154" t="s">
        <v>537</v>
      </c>
    </row>
    <row r="155" spans="2:2" x14ac:dyDescent="0.25">
      <c r="B155" t="s">
        <v>503</v>
      </c>
    </row>
    <row r="156" spans="2:2" x14ac:dyDescent="0.25">
      <c r="B156" t="s">
        <v>511</v>
      </c>
    </row>
    <row r="157" spans="2:2" x14ac:dyDescent="0.25">
      <c r="B157" t="s">
        <v>531</v>
      </c>
    </row>
    <row r="158" spans="2:2" x14ac:dyDescent="0.25">
      <c r="B158" t="s">
        <v>512</v>
      </c>
    </row>
    <row r="159" spans="2:2" x14ac:dyDescent="0.25">
      <c r="B159" t="s">
        <v>512</v>
      </c>
    </row>
    <row r="160" spans="2:2" x14ac:dyDescent="0.25">
      <c r="B160" t="s">
        <v>662</v>
      </c>
    </row>
    <row r="161" spans="2:2" x14ac:dyDescent="0.25">
      <c r="B161" t="s">
        <v>539</v>
      </c>
    </row>
    <row r="162" spans="2:2" x14ac:dyDescent="0.25">
      <c r="B162" t="s">
        <v>660</v>
      </c>
    </row>
    <row r="163" spans="2:2" x14ac:dyDescent="0.25">
      <c r="B163" t="s">
        <v>508</v>
      </c>
    </row>
    <row r="164" spans="2:2" x14ac:dyDescent="0.25">
      <c r="B164" t="s">
        <v>515</v>
      </c>
    </row>
    <row r="165" spans="2:2" x14ac:dyDescent="0.25">
      <c r="B165" t="s">
        <v>663</v>
      </c>
    </row>
    <row r="166" spans="2:2" x14ac:dyDescent="0.25">
      <c r="B166" t="s">
        <v>664</v>
      </c>
    </row>
    <row r="167" spans="2:2" x14ac:dyDescent="0.25">
      <c r="B167" t="s">
        <v>660</v>
      </c>
    </row>
    <row r="168" spans="2:2" x14ac:dyDescent="0.25">
      <c r="B168" t="s">
        <v>511</v>
      </c>
    </row>
    <row r="169" spans="2:2" x14ac:dyDescent="0.25">
      <c r="B169" t="s">
        <v>515</v>
      </c>
    </row>
    <row r="170" spans="2:2" x14ac:dyDescent="0.25">
      <c r="B170" t="s">
        <v>512</v>
      </c>
    </row>
    <row r="171" spans="2:2" x14ac:dyDescent="0.25">
      <c r="B171" t="s">
        <v>513</v>
      </c>
    </row>
    <row r="172" spans="2:2" x14ac:dyDescent="0.25">
      <c r="B172" t="s">
        <v>665</v>
      </c>
    </row>
    <row r="173" spans="2:2" x14ac:dyDescent="0.25">
      <c r="B173" t="s">
        <v>503</v>
      </c>
    </row>
    <row r="174" spans="2:2" x14ac:dyDescent="0.25">
      <c r="B174" t="s">
        <v>508</v>
      </c>
    </row>
    <row r="175" spans="2:2" x14ac:dyDescent="0.25">
      <c r="B175" t="s">
        <v>515</v>
      </c>
    </row>
    <row r="176" spans="2:2" x14ac:dyDescent="0.25">
      <c r="B176" t="s">
        <v>512</v>
      </c>
    </row>
    <row r="177" spans="2:2" x14ac:dyDescent="0.25">
      <c r="B177" t="s">
        <v>512</v>
      </c>
    </row>
    <row r="178" spans="2:2" x14ac:dyDescent="0.25">
      <c r="B178" t="s">
        <v>512</v>
      </c>
    </row>
    <row r="179" spans="2:2" x14ac:dyDescent="0.25">
      <c r="B179" t="s">
        <v>512</v>
      </c>
    </row>
    <row r="180" spans="2:2" x14ac:dyDescent="0.25">
      <c r="B180" t="s">
        <v>541</v>
      </c>
    </row>
    <row r="181" spans="2:2" x14ac:dyDescent="0.25">
      <c r="B181" t="s">
        <v>542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1'!$B$10:$B$10" display="Best Pruned Tree Rules (Using Validation Data)" xr:uid="{E7CB0809-4D93-456A-8583-8EEAF26EB5A4}"/>
    <hyperlink ref="D4" location="'CT_FullTree1'!$B$10:$B$10" display="Fully Grown Tree Rules (Using Training Data)" xr:uid="{999B6A53-76BC-4B13-B973-702D9774C600}"/>
    <hyperlink ref="F4" location="'CT_MinErrorTree1'!$B$10:$B$10" display="Min Error Tree Rules (Using Validation Data)" xr:uid="{F7638391-8E05-442F-82AA-0E6DFC9A6854}"/>
    <hyperlink ref="H4" location="'CT_Output1'!$B$10:$B$10" display="Inputs" xr:uid="{CA69D764-4D12-4C32-AB0A-61A235BF6AC4}"/>
    <hyperlink ref="J4" location="'CT_Output1'!$B$66:$B$66" display="Feature Importance" xr:uid="{55F8D7C3-BD06-428F-9644-5ACB9D15FAFF}"/>
    <hyperlink ref="B5" location="'CT_Stored1'!$B$10:$B$10" display="PMML Model" xr:uid="{003B89F7-E36C-48C1-A6F8-83A43900902F}"/>
    <hyperlink ref="D5" location="'CT_TrainingScore1'!$B$10:$B$10" display="Training: Classification Summary" xr:uid="{50489F02-CA23-4A9A-81B6-09183712437B}"/>
    <hyperlink ref="F5" location="'CT_ValidationScore1'!$B$10:$B$10" display="Validation: Classification Summary" xr:uid="{4FC1F25B-278A-43D3-AFEC-29043D93D04B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C01D-8E83-40FD-AE38-8E0FAAFB3979}">
  <dimension ref="B1:CV365"/>
  <sheetViews>
    <sheetView showGridLines="0" topLeftCell="A28" workbookViewId="0">
      <selection activeCell="H41" sqref="H41"/>
    </sheetView>
  </sheetViews>
  <sheetFormatPr defaultRowHeight="13.2" x14ac:dyDescent="0.25"/>
  <cols>
    <col min="3" max="3" width="11.5546875" customWidth="1"/>
    <col min="4" max="4" width="11.77734375" customWidth="1"/>
    <col min="5" max="5" width="17" customWidth="1"/>
    <col min="6" max="6" width="19.6640625" customWidth="1"/>
    <col min="7" max="7" width="13.88671875" customWidth="1"/>
    <col min="8" max="8" width="22.6640625" customWidth="1"/>
    <col min="9" max="9" width="20.33203125" customWidth="1"/>
    <col min="10" max="10" width="29.109375" bestFit="1" customWidth="1"/>
    <col min="11" max="11" width="19.88671875" customWidth="1"/>
    <col min="12" max="12" width="29.88671875" customWidth="1"/>
    <col min="13" max="13" width="25.33203125" customWidth="1"/>
    <col min="14" max="14" width="23.77734375" customWidth="1"/>
    <col min="15" max="15" width="14" customWidth="1"/>
    <col min="16" max="16" width="23.109375" customWidth="1"/>
    <col min="17" max="17" width="16.6640625" customWidth="1"/>
  </cols>
  <sheetData>
    <row r="1" spans="2:100" ht="18" x14ac:dyDescent="0.35">
      <c r="B1" s="12" t="s">
        <v>403</v>
      </c>
      <c r="N1" t="s">
        <v>413</v>
      </c>
      <c r="CV1" s="19" t="s">
        <v>414</v>
      </c>
    </row>
    <row r="3" spans="2:100" ht="15.6" x14ac:dyDescent="0.3">
      <c r="B3" s="21" t="s">
        <v>30</v>
      </c>
      <c r="C3" s="22"/>
      <c r="D3" s="22"/>
      <c r="E3" s="22"/>
      <c r="F3" s="22"/>
      <c r="G3" s="23"/>
      <c r="J3" s="21" t="s">
        <v>53</v>
      </c>
      <c r="K3" s="22"/>
      <c r="L3" s="22"/>
      <c r="M3" s="23"/>
    </row>
    <row r="4" spans="2:100" ht="13.8" x14ac:dyDescent="0.3">
      <c r="B4" s="20" t="s">
        <v>31</v>
      </c>
      <c r="C4" s="20"/>
      <c r="D4" s="20" t="s">
        <v>404</v>
      </c>
      <c r="E4" s="20"/>
      <c r="F4" s="20" t="s">
        <v>415</v>
      </c>
      <c r="G4" s="20"/>
      <c r="J4" s="18" t="s">
        <v>54</v>
      </c>
      <c r="K4" s="18" t="s">
        <v>55</v>
      </c>
      <c r="L4" s="18" t="s">
        <v>56</v>
      </c>
      <c r="M4" s="18" t="s">
        <v>57</v>
      </c>
    </row>
    <row r="5" spans="2:100" ht="13.8" x14ac:dyDescent="0.3">
      <c r="J5" s="16">
        <v>50</v>
      </c>
      <c r="K5" s="16">
        <v>4</v>
      </c>
      <c r="L5" s="16">
        <v>6</v>
      </c>
      <c r="M5" s="16">
        <v>60</v>
      </c>
    </row>
    <row r="10" spans="2:100" ht="18" x14ac:dyDescent="0.35">
      <c r="B10" s="13" t="s">
        <v>31</v>
      </c>
    </row>
    <row r="12" spans="2:100" ht="15.6" x14ac:dyDescent="0.3">
      <c r="C12" s="28" t="s">
        <v>33</v>
      </c>
      <c r="D12" s="28"/>
      <c r="E12" s="28"/>
      <c r="F12" s="28"/>
      <c r="G12" s="28"/>
      <c r="H12" s="28"/>
      <c r="I12" s="28"/>
    </row>
    <row r="13" spans="2:100" ht="13.8" x14ac:dyDescent="0.3">
      <c r="C13" s="24" t="s">
        <v>34</v>
      </c>
      <c r="D13" s="24"/>
      <c r="E13" s="25"/>
      <c r="F13" s="29" t="s">
        <v>48</v>
      </c>
      <c r="G13" s="29"/>
      <c r="H13" s="29"/>
      <c r="I13" s="29"/>
    </row>
    <row r="14" spans="2:100" ht="13.8" x14ac:dyDescent="0.3">
      <c r="C14" s="24" t="s">
        <v>35</v>
      </c>
      <c r="D14" s="24"/>
      <c r="E14" s="25"/>
      <c r="F14" s="29" t="s">
        <v>410</v>
      </c>
      <c r="G14" s="29"/>
      <c r="H14" s="29"/>
      <c r="I14" s="29"/>
    </row>
    <row r="15" spans="2:100" ht="13.8" x14ac:dyDescent="0.3">
      <c r="C15" s="24" t="s">
        <v>36</v>
      </c>
      <c r="D15" s="24"/>
      <c r="E15" s="25"/>
      <c r="F15" s="29" t="s">
        <v>411</v>
      </c>
      <c r="G15" s="29"/>
      <c r="H15" s="29"/>
      <c r="I15" s="29"/>
    </row>
    <row r="16" spans="2:100" ht="13.8" x14ac:dyDescent="0.3">
      <c r="C16" s="24" t="s">
        <v>37</v>
      </c>
      <c r="D16" s="24"/>
      <c r="E16" s="25"/>
      <c r="F16" s="27">
        <v>329</v>
      </c>
      <c r="G16" s="27"/>
      <c r="H16" s="27"/>
      <c r="I16" s="27"/>
    </row>
    <row r="18" spans="2:19" ht="15.6" x14ac:dyDescent="0.3">
      <c r="C18" s="28" t="s">
        <v>38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</row>
    <row r="19" spans="2:19" ht="13.8" x14ac:dyDescent="0.3">
      <c r="C19" s="24" t="s">
        <v>39</v>
      </c>
      <c r="D19" s="24"/>
      <c r="E19" s="25"/>
      <c r="F19" s="27">
        <v>14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</row>
    <row r="20" spans="2:19" ht="13.8" x14ac:dyDescent="0.3">
      <c r="C20" s="24" t="s">
        <v>40</v>
      </c>
      <c r="D20" s="24"/>
      <c r="E20" s="25"/>
      <c r="F20" s="16" t="s">
        <v>0</v>
      </c>
      <c r="G20" s="16" t="s">
        <v>61</v>
      </c>
      <c r="H20" s="16" t="s">
        <v>62</v>
      </c>
      <c r="I20" s="16" t="s">
        <v>63</v>
      </c>
      <c r="J20" s="16" t="s">
        <v>64</v>
      </c>
      <c r="K20" s="16" t="s">
        <v>65</v>
      </c>
      <c r="L20" s="16" t="s">
        <v>66</v>
      </c>
      <c r="M20" s="16" t="s">
        <v>67</v>
      </c>
      <c r="N20" s="16" t="s">
        <v>68</v>
      </c>
      <c r="O20" s="16" t="s">
        <v>69</v>
      </c>
      <c r="P20" s="16" t="s">
        <v>70</v>
      </c>
      <c r="Q20" s="16" t="s">
        <v>71</v>
      </c>
      <c r="R20" s="16" t="s">
        <v>72</v>
      </c>
      <c r="S20" s="16" t="s">
        <v>73</v>
      </c>
    </row>
    <row r="22" spans="2:19" ht="15.6" x14ac:dyDescent="0.3">
      <c r="C22" s="28" t="s">
        <v>405</v>
      </c>
      <c r="D22" s="28"/>
      <c r="E22" s="28"/>
      <c r="F22" s="28"/>
      <c r="G22" s="28"/>
      <c r="H22" s="28"/>
      <c r="I22" s="28"/>
    </row>
    <row r="23" spans="2:19" ht="13.8" x14ac:dyDescent="0.3">
      <c r="C23" s="24" t="s">
        <v>406</v>
      </c>
      <c r="D23" s="24"/>
      <c r="E23" s="25"/>
      <c r="F23" s="27" t="s">
        <v>412</v>
      </c>
      <c r="G23" s="27"/>
      <c r="H23" s="27"/>
      <c r="I23" s="27"/>
    </row>
    <row r="24" spans="2:19" ht="13.8" x14ac:dyDescent="0.3">
      <c r="C24" s="24" t="s">
        <v>407</v>
      </c>
      <c r="D24" s="24"/>
      <c r="E24" s="25"/>
      <c r="F24" s="27">
        <v>12345</v>
      </c>
      <c r="G24" s="27"/>
      <c r="H24" s="27"/>
      <c r="I24" s="27"/>
    </row>
    <row r="25" spans="2:19" ht="13.8" x14ac:dyDescent="0.3">
      <c r="C25" s="24" t="s">
        <v>408</v>
      </c>
      <c r="D25" s="24"/>
      <c r="E25" s="25"/>
      <c r="F25" s="27">
        <v>0.6</v>
      </c>
      <c r="G25" s="27"/>
      <c r="H25" s="27"/>
      <c r="I25" s="27"/>
    </row>
    <row r="26" spans="2:19" ht="13.8" x14ac:dyDescent="0.3">
      <c r="C26" s="24" t="s">
        <v>409</v>
      </c>
      <c r="D26" s="24"/>
      <c r="E26" s="25"/>
      <c r="F26" s="27">
        <v>0.4</v>
      </c>
      <c r="G26" s="27"/>
      <c r="H26" s="27"/>
      <c r="I26" s="27"/>
    </row>
    <row r="28" spans="2:19" ht="18" x14ac:dyDescent="0.35">
      <c r="B28" s="13" t="s">
        <v>404</v>
      </c>
    </row>
    <row r="30" spans="2:19" x14ac:dyDescent="0.25">
      <c r="C30" s="15" t="s">
        <v>416</v>
      </c>
      <c r="D30" t="s">
        <v>417</v>
      </c>
    </row>
    <row r="31" spans="2:19" x14ac:dyDescent="0.25">
      <c r="C31" s="15" t="s">
        <v>418</v>
      </c>
      <c r="D31">
        <v>197</v>
      </c>
    </row>
    <row r="32" spans="2:19" x14ac:dyDescent="0.25">
      <c r="C32" s="15" t="s">
        <v>419</v>
      </c>
      <c r="D32">
        <v>132</v>
      </c>
    </row>
    <row r="34" spans="2:17" ht="18" x14ac:dyDescent="0.35">
      <c r="B34" s="13" t="s">
        <v>415</v>
      </c>
    </row>
    <row r="36" spans="2:17" x14ac:dyDescent="0.25">
      <c r="C36" s="15" t="s">
        <v>60</v>
      </c>
      <c r="D36" t="s">
        <v>0</v>
      </c>
      <c r="E36" t="s">
        <v>61</v>
      </c>
      <c r="F36" t="s">
        <v>62</v>
      </c>
      <c r="G36" t="s">
        <v>63</v>
      </c>
      <c r="H36" t="s">
        <v>64</v>
      </c>
      <c r="I36" t="s">
        <v>65</v>
      </c>
      <c r="J36" t="s">
        <v>66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</row>
    <row r="37" spans="2:17" x14ac:dyDescent="0.25">
      <c r="C37" s="15" t="s">
        <v>74</v>
      </c>
      <c r="D37" s="14" t="s">
        <v>13</v>
      </c>
      <c r="E37" s="14">
        <v>14.23</v>
      </c>
      <c r="F37" s="14">
        <v>1.71</v>
      </c>
      <c r="G37" s="14">
        <v>2.4300000000000002</v>
      </c>
      <c r="H37" s="14">
        <v>15.6</v>
      </c>
      <c r="I37" s="14">
        <v>127</v>
      </c>
      <c r="J37" s="14">
        <v>2.7999999999999901</v>
      </c>
      <c r="K37" s="14">
        <v>3.06</v>
      </c>
      <c r="L37" s="14">
        <v>0.28000000000000003</v>
      </c>
      <c r="M37" s="14">
        <v>2.29</v>
      </c>
      <c r="N37" s="14">
        <v>5.6399999999999899</v>
      </c>
      <c r="O37" s="14">
        <v>1.04</v>
      </c>
      <c r="P37" s="14">
        <v>3.9199999999999902</v>
      </c>
      <c r="Q37">
        <v>1065</v>
      </c>
    </row>
    <row r="38" spans="2:17" x14ac:dyDescent="0.25">
      <c r="C38" s="15" t="s">
        <v>78</v>
      </c>
      <c r="D38" s="14" t="s">
        <v>13</v>
      </c>
      <c r="E38" s="14">
        <v>13.24</v>
      </c>
      <c r="F38" s="14">
        <v>2.5899999999999901</v>
      </c>
      <c r="G38" s="14">
        <v>2.87</v>
      </c>
      <c r="H38" s="14">
        <v>21</v>
      </c>
      <c r="I38" s="14">
        <v>118</v>
      </c>
      <c r="J38" s="14">
        <v>2.7999999999999901</v>
      </c>
      <c r="K38" s="14">
        <v>2.6899999999999902</v>
      </c>
      <c r="L38" s="14">
        <v>0.39</v>
      </c>
      <c r="M38" s="14">
        <v>1.82</v>
      </c>
      <c r="N38" s="14">
        <v>4.32</v>
      </c>
      <c r="O38" s="14">
        <v>1.04</v>
      </c>
      <c r="P38" s="14">
        <v>2.93</v>
      </c>
      <c r="Q38">
        <v>735</v>
      </c>
    </row>
    <row r="39" spans="2:17" x14ac:dyDescent="0.25">
      <c r="C39" s="15" t="s">
        <v>81</v>
      </c>
      <c r="D39" s="14" t="s">
        <v>13</v>
      </c>
      <c r="E39" s="14">
        <v>14.06</v>
      </c>
      <c r="F39" s="14">
        <v>2.1499999999999901</v>
      </c>
      <c r="G39" s="14">
        <v>2.6099999999999901</v>
      </c>
      <c r="H39" s="14">
        <v>17.600000000000001</v>
      </c>
      <c r="I39" s="14">
        <v>121</v>
      </c>
      <c r="J39" s="14">
        <v>2.6</v>
      </c>
      <c r="K39" s="14">
        <v>2.50999999999999</v>
      </c>
      <c r="L39" s="14">
        <v>0.31</v>
      </c>
      <c r="M39" s="14">
        <v>1.25</v>
      </c>
      <c r="N39" s="14">
        <v>5.0499999999999901</v>
      </c>
      <c r="O39" s="14">
        <v>1.06</v>
      </c>
      <c r="P39" s="14">
        <v>3.58</v>
      </c>
      <c r="Q39">
        <v>1295</v>
      </c>
    </row>
    <row r="40" spans="2:17" x14ac:dyDescent="0.25">
      <c r="C40" s="15" t="s">
        <v>88</v>
      </c>
      <c r="D40" s="14" t="s">
        <v>13</v>
      </c>
      <c r="E40" s="14">
        <v>14.38</v>
      </c>
      <c r="F40" s="14">
        <v>1.87</v>
      </c>
      <c r="G40" s="14">
        <v>2.3799999999999901</v>
      </c>
      <c r="H40" s="14">
        <v>12</v>
      </c>
      <c r="I40" s="14">
        <v>102</v>
      </c>
      <c r="J40" s="14">
        <v>3.2999999999999901</v>
      </c>
      <c r="K40" s="14">
        <v>3.64</v>
      </c>
      <c r="L40" s="14">
        <v>0.28999999999999898</v>
      </c>
      <c r="M40" s="14">
        <v>2.96</v>
      </c>
      <c r="N40" s="14">
        <v>7.5</v>
      </c>
      <c r="O40" s="14">
        <v>1.2</v>
      </c>
      <c r="P40" s="14">
        <v>3</v>
      </c>
      <c r="Q40">
        <v>1547</v>
      </c>
    </row>
    <row r="41" spans="2:17" x14ac:dyDescent="0.25">
      <c r="C41" s="15" t="s">
        <v>91</v>
      </c>
      <c r="D41" s="14" t="s">
        <v>13</v>
      </c>
      <c r="E41" s="14">
        <v>13.83</v>
      </c>
      <c r="F41" s="14">
        <v>1.57</v>
      </c>
      <c r="G41" s="14">
        <v>2.62</v>
      </c>
      <c r="H41" s="14">
        <v>20</v>
      </c>
      <c r="I41" s="14">
        <v>115</v>
      </c>
      <c r="J41" s="14">
        <v>2.95</v>
      </c>
      <c r="K41" s="14">
        <v>3.3999999999999901</v>
      </c>
      <c r="L41" s="14">
        <v>0.4</v>
      </c>
      <c r="M41" s="14">
        <v>1.72</v>
      </c>
      <c r="N41" s="14">
        <v>6.5999999999999899</v>
      </c>
      <c r="O41" s="14">
        <v>1.1299999999999899</v>
      </c>
      <c r="P41" s="14">
        <v>2.5699999999999901</v>
      </c>
      <c r="Q41">
        <v>1130</v>
      </c>
    </row>
    <row r="42" spans="2:17" x14ac:dyDescent="0.25">
      <c r="C42" s="15" t="s">
        <v>93</v>
      </c>
      <c r="D42" s="14" t="s">
        <v>13</v>
      </c>
      <c r="E42" s="14">
        <v>13.64</v>
      </c>
      <c r="F42" s="14">
        <v>3.1</v>
      </c>
      <c r="G42" s="14">
        <v>2.56</v>
      </c>
      <c r="H42" s="14">
        <v>15.1999999999999</v>
      </c>
      <c r="I42" s="14">
        <v>116</v>
      </c>
      <c r="J42" s="14">
        <v>2.7</v>
      </c>
      <c r="K42" s="14">
        <v>3.02999999999999</v>
      </c>
      <c r="L42" s="14">
        <v>0.17</v>
      </c>
      <c r="M42" s="14">
        <v>1.6599999999999899</v>
      </c>
      <c r="N42" s="14">
        <v>5.0999999999999899</v>
      </c>
      <c r="O42" s="14">
        <v>0.95999999999999897</v>
      </c>
      <c r="P42" s="14">
        <v>3.3599999999999901</v>
      </c>
      <c r="Q42">
        <v>845</v>
      </c>
    </row>
    <row r="43" spans="2:17" x14ac:dyDescent="0.25">
      <c r="C43" s="15" t="s">
        <v>94</v>
      </c>
      <c r="D43" s="14" t="s">
        <v>13</v>
      </c>
      <c r="E43" s="14">
        <v>14.06</v>
      </c>
      <c r="F43" s="14">
        <v>1.6299999999999899</v>
      </c>
      <c r="G43" s="14">
        <v>2.27999999999999</v>
      </c>
      <c r="H43" s="14">
        <v>16</v>
      </c>
      <c r="I43" s="14">
        <v>126</v>
      </c>
      <c r="J43" s="14">
        <v>3</v>
      </c>
      <c r="K43" s="14">
        <v>3.1699999999999902</v>
      </c>
      <c r="L43" s="14">
        <v>0.23999999999999899</v>
      </c>
      <c r="M43" s="14">
        <v>2.1</v>
      </c>
      <c r="N43" s="14">
        <v>5.65</v>
      </c>
      <c r="O43" s="14">
        <v>1.0900000000000001</v>
      </c>
      <c r="P43" s="14">
        <v>3.71</v>
      </c>
      <c r="Q43">
        <v>780</v>
      </c>
    </row>
    <row r="44" spans="2:17" x14ac:dyDescent="0.25">
      <c r="C44" s="15" t="s">
        <v>95</v>
      </c>
      <c r="D44" s="14" t="s">
        <v>13</v>
      </c>
      <c r="E44" s="14">
        <v>12.93</v>
      </c>
      <c r="F44" s="14">
        <v>3.7999999999999901</v>
      </c>
      <c r="G44" s="14">
        <v>2.6499999999999901</v>
      </c>
      <c r="H44" s="14">
        <v>18.600000000000001</v>
      </c>
      <c r="I44" s="14">
        <v>102</v>
      </c>
      <c r="J44" s="14">
        <v>2.41</v>
      </c>
      <c r="K44" s="14">
        <v>2.41</v>
      </c>
      <c r="L44" s="14">
        <v>0.25</v>
      </c>
      <c r="M44" s="14">
        <v>1.98</v>
      </c>
      <c r="N44" s="14">
        <v>4.5</v>
      </c>
      <c r="O44" s="14">
        <v>1.03</v>
      </c>
      <c r="P44" s="14">
        <v>3.52</v>
      </c>
      <c r="Q44">
        <v>770</v>
      </c>
    </row>
    <row r="45" spans="2:17" x14ac:dyDescent="0.25">
      <c r="C45" s="15" t="s">
        <v>96</v>
      </c>
      <c r="D45" s="14" t="s">
        <v>13</v>
      </c>
      <c r="E45" s="14">
        <v>13.71</v>
      </c>
      <c r="F45" s="14">
        <v>1.86</v>
      </c>
      <c r="G45" s="14">
        <v>2.3599999999999901</v>
      </c>
      <c r="H45" s="14">
        <v>16.600000000000001</v>
      </c>
      <c r="I45" s="14">
        <v>101</v>
      </c>
      <c r="J45" s="14">
        <v>2.6099999999999901</v>
      </c>
      <c r="K45" s="14">
        <v>2.8799999999999901</v>
      </c>
      <c r="L45" s="14">
        <v>0.27</v>
      </c>
      <c r="M45" s="14">
        <v>1.68999999999999</v>
      </c>
      <c r="N45" s="14">
        <v>3.7999999999999901</v>
      </c>
      <c r="O45" s="14">
        <v>1.1100000000000001</v>
      </c>
      <c r="P45" s="14">
        <v>4</v>
      </c>
      <c r="Q45">
        <v>1035</v>
      </c>
    </row>
    <row r="46" spans="2:17" x14ac:dyDescent="0.25">
      <c r="C46" s="15" t="s">
        <v>98</v>
      </c>
      <c r="D46" s="14" t="s">
        <v>13</v>
      </c>
      <c r="E46" s="14">
        <v>13.5</v>
      </c>
      <c r="F46" s="14">
        <v>1.81</v>
      </c>
      <c r="G46" s="14">
        <v>2.6099999999999901</v>
      </c>
      <c r="H46" s="14">
        <v>20</v>
      </c>
      <c r="I46" s="14">
        <v>96</v>
      </c>
      <c r="J46" s="14">
        <v>2.52999999999999</v>
      </c>
      <c r="K46" s="14">
        <v>2.6099999999999901</v>
      </c>
      <c r="L46" s="14">
        <v>0.28000000000000003</v>
      </c>
      <c r="M46" s="14">
        <v>1.6599999999999899</v>
      </c>
      <c r="N46" s="14">
        <v>3.52</v>
      </c>
      <c r="O46" s="14">
        <v>1.1200000000000001</v>
      </c>
      <c r="P46" s="14">
        <v>3.8199999999999901</v>
      </c>
      <c r="Q46">
        <v>845</v>
      </c>
    </row>
    <row r="47" spans="2:17" x14ac:dyDescent="0.25">
      <c r="C47" s="15" t="s">
        <v>99</v>
      </c>
      <c r="D47" s="14" t="s">
        <v>13</v>
      </c>
      <c r="E47" s="14">
        <v>13.05</v>
      </c>
      <c r="F47" s="14">
        <v>2.0499999999999901</v>
      </c>
      <c r="G47" s="14">
        <v>3.22</v>
      </c>
      <c r="H47" s="14">
        <v>25</v>
      </c>
      <c r="I47" s="14">
        <v>124</v>
      </c>
      <c r="J47" s="14">
        <v>2.6299999999999901</v>
      </c>
      <c r="K47" s="14">
        <v>2.68</v>
      </c>
      <c r="L47" s="14">
        <v>0.46999999999999897</v>
      </c>
      <c r="M47" s="14">
        <v>1.9199999999999899</v>
      </c>
      <c r="N47" s="14">
        <v>3.58</v>
      </c>
      <c r="O47" s="14">
        <v>1.1299999999999899</v>
      </c>
      <c r="P47" s="14">
        <v>3.2</v>
      </c>
      <c r="Q47">
        <v>830</v>
      </c>
    </row>
    <row r="48" spans="2:17" x14ac:dyDescent="0.25">
      <c r="C48" s="15" t="s">
        <v>101</v>
      </c>
      <c r="D48" s="14" t="s">
        <v>13</v>
      </c>
      <c r="E48" s="14">
        <v>13.3</v>
      </c>
      <c r="F48" s="14">
        <v>1.72</v>
      </c>
      <c r="G48" s="14">
        <v>2.14</v>
      </c>
      <c r="H48" s="14">
        <v>17</v>
      </c>
      <c r="I48" s="14">
        <v>94</v>
      </c>
      <c r="J48" s="14">
        <v>2.3999999999999901</v>
      </c>
      <c r="K48" s="14">
        <v>2.1899999999999902</v>
      </c>
      <c r="L48" s="14">
        <v>0.27</v>
      </c>
      <c r="M48" s="14">
        <v>1.35</v>
      </c>
      <c r="N48" s="14">
        <v>3.95</v>
      </c>
      <c r="O48" s="14">
        <v>1.02</v>
      </c>
      <c r="P48" s="14">
        <v>2.77</v>
      </c>
      <c r="Q48">
        <v>1285</v>
      </c>
    </row>
    <row r="49" spans="3:17" x14ac:dyDescent="0.25">
      <c r="C49" s="15" t="s">
        <v>102</v>
      </c>
      <c r="D49" s="14" t="s">
        <v>13</v>
      </c>
      <c r="E49" s="14">
        <v>13.8699999999999</v>
      </c>
      <c r="F49" s="14">
        <v>1.8999999999999899</v>
      </c>
      <c r="G49" s="14">
        <v>2.7999999999999901</v>
      </c>
      <c r="H49" s="14">
        <v>19.399999999999899</v>
      </c>
      <c r="I49" s="14">
        <v>107</v>
      </c>
      <c r="J49" s="14">
        <v>2.95</v>
      </c>
      <c r="K49" s="14">
        <v>2.97</v>
      </c>
      <c r="L49" s="14">
        <v>0.37</v>
      </c>
      <c r="M49" s="14">
        <v>1.76</v>
      </c>
      <c r="N49" s="14">
        <v>4.5</v>
      </c>
      <c r="O49" s="14">
        <v>1.25</v>
      </c>
      <c r="P49" s="14">
        <v>3.3999999999999901</v>
      </c>
      <c r="Q49">
        <v>915</v>
      </c>
    </row>
    <row r="50" spans="3:17" x14ac:dyDescent="0.25">
      <c r="C50" s="15" t="s">
        <v>105</v>
      </c>
      <c r="D50" s="14" t="s">
        <v>13</v>
      </c>
      <c r="E50" s="14">
        <v>13.58</v>
      </c>
      <c r="F50" s="14">
        <v>1.6599999999999899</v>
      </c>
      <c r="G50" s="14">
        <v>2.3599999999999901</v>
      </c>
      <c r="H50" s="14">
        <v>19.100000000000001</v>
      </c>
      <c r="I50" s="14">
        <v>106</v>
      </c>
      <c r="J50" s="14">
        <v>2.8599999999999901</v>
      </c>
      <c r="K50" s="14">
        <v>3.1899999999999902</v>
      </c>
      <c r="L50" s="14">
        <v>0.22</v>
      </c>
      <c r="M50" s="14">
        <v>1.95</v>
      </c>
      <c r="N50" s="14">
        <v>6.9</v>
      </c>
      <c r="O50" s="14">
        <v>1.0900000000000001</v>
      </c>
      <c r="P50" s="14">
        <v>2.8799999999999901</v>
      </c>
      <c r="Q50">
        <v>1515</v>
      </c>
    </row>
    <row r="51" spans="3:17" x14ac:dyDescent="0.25">
      <c r="C51" s="15" t="s">
        <v>106</v>
      </c>
      <c r="D51" s="14" t="s">
        <v>13</v>
      </c>
      <c r="E51" s="14">
        <v>13.68</v>
      </c>
      <c r="F51" s="14">
        <v>1.83</v>
      </c>
      <c r="G51" s="14">
        <v>2.3599999999999901</v>
      </c>
      <c r="H51" s="14">
        <v>17.1999999999999</v>
      </c>
      <c r="I51" s="14">
        <v>104</v>
      </c>
      <c r="J51" s="14">
        <v>2.4199999999999902</v>
      </c>
      <c r="K51" s="14">
        <v>2.6899999999999902</v>
      </c>
      <c r="L51" s="14">
        <v>0.41999999999999899</v>
      </c>
      <c r="M51" s="14">
        <v>1.97</v>
      </c>
      <c r="N51" s="14">
        <v>3.8399999999999901</v>
      </c>
      <c r="O51" s="14">
        <v>1.23</v>
      </c>
      <c r="P51" s="14">
        <v>2.87</v>
      </c>
      <c r="Q51">
        <v>990</v>
      </c>
    </row>
    <row r="52" spans="3:17" x14ac:dyDescent="0.25">
      <c r="C52" s="15" t="s">
        <v>108</v>
      </c>
      <c r="D52" s="14" t="s">
        <v>13</v>
      </c>
      <c r="E52" s="14">
        <v>13.51</v>
      </c>
      <c r="F52" s="14">
        <v>1.8</v>
      </c>
      <c r="G52" s="14">
        <v>2.6499999999999901</v>
      </c>
      <c r="H52" s="14">
        <v>19</v>
      </c>
      <c r="I52" s="14">
        <v>110</v>
      </c>
      <c r="J52" s="14">
        <v>2.35</v>
      </c>
      <c r="K52" s="14">
        <v>2.52999999999999</v>
      </c>
      <c r="L52" s="14">
        <v>0.28999999999999898</v>
      </c>
      <c r="M52" s="14">
        <v>1.54</v>
      </c>
      <c r="N52" s="14">
        <v>4.2</v>
      </c>
      <c r="O52" s="14">
        <v>1.1000000000000001</v>
      </c>
      <c r="P52" s="14">
        <v>2.87</v>
      </c>
      <c r="Q52">
        <v>1095</v>
      </c>
    </row>
    <row r="53" spans="3:17" x14ac:dyDescent="0.25">
      <c r="C53" s="15" t="s">
        <v>110</v>
      </c>
      <c r="D53" s="14" t="s">
        <v>13</v>
      </c>
      <c r="E53" s="14">
        <v>13.2799999999999</v>
      </c>
      <c r="F53" s="14">
        <v>1.6399999999999899</v>
      </c>
      <c r="G53" s="14">
        <v>2.8399999999999901</v>
      </c>
      <c r="H53" s="14">
        <v>15.5</v>
      </c>
      <c r="I53" s="14">
        <v>110</v>
      </c>
      <c r="J53" s="14">
        <v>2.6</v>
      </c>
      <c r="K53" s="14">
        <v>2.68</v>
      </c>
      <c r="L53" s="14">
        <v>0.34</v>
      </c>
      <c r="M53" s="14">
        <v>1.36</v>
      </c>
      <c r="N53" s="14">
        <v>4.5999999999999899</v>
      </c>
      <c r="O53" s="14">
        <v>1.0900000000000001</v>
      </c>
      <c r="P53" s="14">
        <v>2.77999999999999</v>
      </c>
      <c r="Q53">
        <v>880</v>
      </c>
    </row>
    <row r="54" spans="3:17" x14ac:dyDescent="0.25">
      <c r="C54" s="15" t="s">
        <v>115</v>
      </c>
      <c r="D54" s="14" t="s">
        <v>13</v>
      </c>
      <c r="E54" s="14">
        <v>13.41</v>
      </c>
      <c r="F54" s="14">
        <v>3.8399999999999901</v>
      </c>
      <c r="G54" s="14">
        <v>2.12</v>
      </c>
      <c r="H54" s="14">
        <v>18.8</v>
      </c>
      <c r="I54" s="14">
        <v>90</v>
      </c>
      <c r="J54" s="14">
        <v>2.4500000000000002</v>
      </c>
      <c r="K54" s="14">
        <v>2.68</v>
      </c>
      <c r="L54" s="14">
        <v>0.27</v>
      </c>
      <c r="M54" s="14">
        <v>1.48</v>
      </c>
      <c r="N54" s="14">
        <v>4.28</v>
      </c>
      <c r="O54" s="14">
        <v>0.91</v>
      </c>
      <c r="P54" s="14">
        <v>3</v>
      </c>
      <c r="Q54">
        <v>1035</v>
      </c>
    </row>
    <row r="55" spans="3:17" x14ac:dyDescent="0.25">
      <c r="C55" s="15" t="s">
        <v>118</v>
      </c>
      <c r="D55" s="14" t="s">
        <v>13</v>
      </c>
      <c r="E55" s="14">
        <v>13.05</v>
      </c>
      <c r="F55" s="14">
        <v>1.77</v>
      </c>
      <c r="G55" s="14">
        <v>2.1</v>
      </c>
      <c r="H55" s="14">
        <v>17</v>
      </c>
      <c r="I55" s="14">
        <v>107</v>
      </c>
      <c r="J55" s="14">
        <v>3</v>
      </c>
      <c r="K55" s="14">
        <v>3</v>
      </c>
      <c r="L55" s="14">
        <v>0.28000000000000003</v>
      </c>
      <c r="M55" s="14">
        <v>2.02999999999999</v>
      </c>
      <c r="N55" s="14">
        <v>5.04</v>
      </c>
      <c r="O55" s="14">
        <v>0.88</v>
      </c>
      <c r="P55" s="14">
        <v>3.35</v>
      </c>
      <c r="Q55">
        <v>885</v>
      </c>
    </row>
    <row r="56" spans="3:17" x14ac:dyDescent="0.25">
      <c r="C56" s="15" t="s">
        <v>120</v>
      </c>
      <c r="D56" s="14" t="s">
        <v>13</v>
      </c>
      <c r="E56" s="14">
        <v>14.38</v>
      </c>
      <c r="F56" s="14">
        <v>3.5899999999999901</v>
      </c>
      <c r="G56" s="14">
        <v>2.27999999999999</v>
      </c>
      <c r="H56" s="14">
        <v>16</v>
      </c>
      <c r="I56" s="14">
        <v>102</v>
      </c>
      <c r="J56" s="14">
        <v>3.25</v>
      </c>
      <c r="K56" s="14">
        <v>3.1699999999999902</v>
      </c>
      <c r="L56" s="14">
        <v>0.27</v>
      </c>
      <c r="M56" s="14">
        <v>2.1899999999999902</v>
      </c>
      <c r="N56" s="14">
        <v>4.9000000000000004</v>
      </c>
      <c r="O56" s="14">
        <v>1.04</v>
      </c>
      <c r="P56" s="14">
        <v>3.4399999999999902</v>
      </c>
      <c r="Q56">
        <v>1065</v>
      </c>
    </row>
    <row r="57" spans="3:17" x14ac:dyDescent="0.25">
      <c r="C57" s="15" t="s">
        <v>121</v>
      </c>
      <c r="D57" s="14" t="s">
        <v>13</v>
      </c>
      <c r="E57" s="14">
        <v>13.9</v>
      </c>
      <c r="F57" s="14">
        <v>1.6799999999999899</v>
      </c>
      <c r="G57" s="14">
        <v>2.12</v>
      </c>
      <c r="H57" s="14">
        <v>16</v>
      </c>
      <c r="I57" s="14">
        <v>101</v>
      </c>
      <c r="J57" s="14">
        <v>3.1</v>
      </c>
      <c r="K57" s="14">
        <v>3.39</v>
      </c>
      <c r="L57" s="14">
        <v>0.20999999999999899</v>
      </c>
      <c r="M57" s="14">
        <v>2.14</v>
      </c>
      <c r="N57" s="14">
        <v>6.0999999999999899</v>
      </c>
      <c r="O57" s="14">
        <v>0.91</v>
      </c>
      <c r="P57" s="14">
        <v>3.33</v>
      </c>
      <c r="Q57">
        <v>985</v>
      </c>
    </row>
    <row r="58" spans="3:17" x14ac:dyDescent="0.25">
      <c r="C58" s="15" t="s">
        <v>122</v>
      </c>
      <c r="D58" s="14" t="s">
        <v>13</v>
      </c>
      <c r="E58" s="14">
        <v>14.1</v>
      </c>
      <c r="F58" s="14">
        <v>2.02</v>
      </c>
      <c r="G58" s="14">
        <v>2.3999999999999901</v>
      </c>
      <c r="H58" s="14">
        <v>18.8</v>
      </c>
      <c r="I58" s="14">
        <v>103</v>
      </c>
      <c r="J58" s="14">
        <v>2.75</v>
      </c>
      <c r="K58" s="14">
        <v>2.9199999999999902</v>
      </c>
      <c r="L58" s="14">
        <v>0.32</v>
      </c>
      <c r="M58" s="14">
        <v>2.3799999999999901</v>
      </c>
      <c r="N58" s="14">
        <v>6.2</v>
      </c>
      <c r="O58" s="14">
        <v>1.07</v>
      </c>
      <c r="P58" s="14">
        <v>2.75</v>
      </c>
      <c r="Q58">
        <v>1060</v>
      </c>
    </row>
    <row r="59" spans="3:17" x14ac:dyDescent="0.25">
      <c r="C59" s="15" t="s">
        <v>127</v>
      </c>
      <c r="D59" s="14" t="s">
        <v>13</v>
      </c>
      <c r="E59" s="14">
        <v>13.77</v>
      </c>
      <c r="F59" s="14">
        <v>1.8999999999999899</v>
      </c>
      <c r="G59" s="14">
        <v>2.68</v>
      </c>
      <c r="H59" s="14">
        <v>17.100000000000001</v>
      </c>
      <c r="I59" s="14">
        <v>115</v>
      </c>
      <c r="J59" s="14">
        <v>3</v>
      </c>
      <c r="K59" s="14">
        <v>2.79</v>
      </c>
      <c r="L59" s="14">
        <v>0.39</v>
      </c>
      <c r="M59" s="14">
        <v>1.6799999999999899</v>
      </c>
      <c r="N59" s="14">
        <v>6.2999999999999901</v>
      </c>
      <c r="O59" s="14">
        <v>1.1299999999999899</v>
      </c>
      <c r="P59" s="14">
        <v>2.93</v>
      </c>
      <c r="Q59">
        <v>1375</v>
      </c>
    </row>
    <row r="60" spans="3:17" x14ac:dyDescent="0.25">
      <c r="C60" s="15" t="s">
        <v>129</v>
      </c>
      <c r="D60" s="14" t="s">
        <v>13</v>
      </c>
      <c r="E60" s="14">
        <v>13.56</v>
      </c>
      <c r="F60" s="14">
        <v>1.73</v>
      </c>
      <c r="G60" s="14">
        <v>2.46</v>
      </c>
      <c r="H60" s="14">
        <v>20.5</v>
      </c>
      <c r="I60" s="14">
        <v>116</v>
      </c>
      <c r="J60" s="14">
        <v>2.96</v>
      </c>
      <c r="K60" s="14">
        <v>2.77999999999999</v>
      </c>
      <c r="L60" s="14">
        <v>0.2</v>
      </c>
      <c r="M60" s="14">
        <v>2.4500000000000002</v>
      </c>
      <c r="N60" s="14">
        <v>6.25</v>
      </c>
      <c r="O60" s="14">
        <v>0.97999999999999898</v>
      </c>
      <c r="P60" s="14">
        <v>3.02999999999999</v>
      </c>
      <c r="Q60">
        <v>1120</v>
      </c>
    </row>
    <row r="61" spans="3:17" x14ac:dyDescent="0.25">
      <c r="C61" s="15" t="s">
        <v>130</v>
      </c>
      <c r="D61" s="14" t="s">
        <v>13</v>
      </c>
      <c r="E61" s="14">
        <v>14.22</v>
      </c>
      <c r="F61" s="14">
        <v>1.7</v>
      </c>
      <c r="G61" s="14">
        <v>2.2999999999999901</v>
      </c>
      <c r="H61" s="14">
        <v>16.3</v>
      </c>
      <c r="I61" s="14">
        <v>118</v>
      </c>
      <c r="J61" s="14">
        <v>3.2</v>
      </c>
      <c r="K61" s="14">
        <v>3</v>
      </c>
      <c r="L61" s="14">
        <v>0.26</v>
      </c>
      <c r="M61" s="14">
        <v>2.02999999999999</v>
      </c>
      <c r="N61" s="14">
        <v>6.3799999999999901</v>
      </c>
      <c r="O61" s="14">
        <v>0.93999999999999895</v>
      </c>
      <c r="P61" s="14">
        <v>3.31</v>
      </c>
      <c r="Q61">
        <v>970</v>
      </c>
    </row>
    <row r="62" spans="3:17" x14ac:dyDescent="0.25">
      <c r="C62" s="15" t="s">
        <v>132</v>
      </c>
      <c r="D62" s="14" t="s">
        <v>13</v>
      </c>
      <c r="E62" s="14">
        <v>13.72</v>
      </c>
      <c r="F62" s="14">
        <v>1.4299999999999899</v>
      </c>
      <c r="G62" s="14">
        <v>2.5</v>
      </c>
      <c r="H62" s="14">
        <v>16.6999999999999</v>
      </c>
      <c r="I62" s="14">
        <v>108</v>
      </c>
      <c r="J62" s="14">
        <v>3.3999999999999901</v>
      </c>
      <c r="K62" s="14">
        <v>3.6699999999999902</v>
      </c>
      <c r="L62" s="14">
        <v>0.19</v>
      </c>
      <c r="M62" s="14">
        <v>2.04</v>
      </c>
      <c r="N62" s="14">
        <v>6.7999999999999901</v>
      </c>
      <c r="O62" s="14">
        <v>0.89</v>
      </c>
      <c r="P62" s="14">
        <v>2.87</v>
      </c>
      <c r="Q62">
        <v>1285</v>
      </c>
    </row>
    <row r="63" spans="3:17" x14ac:dyDescent="0.25">
      <c r="C63" s="15" t="s">
        <v>133</v>
      </c>
      <c r="D63" s="14" t="s">
        <v>14</v>
      </c>
      <c r="E63" s="14">
        <v>12.3699999999999</v>
      </c>
      <c r="F63" s="14">
        <v>0.93999999999999895</v>
      </c>
      <c r="G63" s="14">
        <v>1.36</v>
      </c>
      <c r="H63" s="14">
        <v>10.6</v>
      </c>
      <c r="I63" s="14">
        <v>88</v>
      </c>
      <c r="J63" s="14">
        <v>1.98</v>
      </c>
      <c r="K63" s="14">
        <v>0.56999999999999895</v>
      </c>
      <c r="L63" s="14">
        <v>0.28000000000000003</v>
      </c>
      <c r="M63" s="14">
        <v>0.41999999999999899</v>
      </c>
      <c r="N63" s="14">
        <v>1.95</v>
      </c>
      <c r="O63" s="14">
        <v>1.05</v>
      </c>
      <c r="P63" s="14">
        <v>1.82</v>
      </c>
      <c r="Q63">
        <v>520</v>
      </c>
    </row>
    <row r="64" spans="3:17" x14ac:dyDescent="0.25">
      <c r="C64" s="15" t="s">
        <v>134</v>
      </c>
      <c r="D64" s="14" t="s">
        <v>14</v>
      </c>
      <c r="E64" s="14">
        <v>12.33</v>
      </c>
      <c r="F64" s="14">
        <v>1.1000000000000001</v>
      </c>
      <c r="G64" s="14">
        <v>2.27999999999999</v>
      </c>
      <c r="H64" s="14">
        <v>16</v>
      </c>
      <c r="I64" s="14">
        <v>101</v>
      </c>
      <c r="J64" s="14">
        <v>2.0499999999999901</v>
      </c>
      <c r="K64" s="14">
        <v>1.0900000000000001</v>
      </c>
      <c r="L64" s="14">
        <v>0.63</v>
      </c>
      <c r="M64" s="14">
        <v>0.40999999999999898</v>
      </c>
      <c r="N64" s="14">
        <v>3.27</v>
      </c>
      <c r="O64" s="14">
        <v>1.25</v>
      </c>
      <c r="P64" s="14">
        <v>1.6699999999999899</v>
      </c>
      <c r="Q64">
        <v>680</v>
      </c>
    </row>
    <row r="65" spans="3:17" x14ac:dyDescent="0.25">
      <c r="C65" s="15" t="s">
        <v>135</v>
      </c>
      <c r="D65" s="14" t="s">
        <v>14</v>
      </c>
      <c r="E65" s="14">
        <v>12.64</v>
      </c>
      <c r="F65" s="14">
        <v>1.36</v>
      </c>
      <c r="G65" s="14">
        <v>2.02</v>
      </c>
      <c r="H65" s="14">
        <v>16.8</v>
      </c>
      <c r="I65" s="14">
        <v>100</v>
      </c>
      <c r="J65" s="14">
        <v>2.02</v>
      </c>
      <c r="K65" s="14">
        <v>1.4099999999999899</v>
      </c>
      <c r="L65" s="14">
        <v>0.53</v>
      </c>
      <c r="M65" s="14">
        <v>0.62</v>
      </c>
      <c r="N65" s="14">
        <v>5.75</v>
      </c>
      <c r="O65" s="14">
        <v>0.97999999999999898</v>
      </c>
      <c r="P65" s="14">
        <v>1.59</v>
      </c>
      <c r="Q65">
        <v>450</v>
      </c>
    </row>
    <row r="66" spans="3:17" x14ac:dyDescent="0.25">
      <c r="C66" s="15" t="s">
        <v>138</v>
      </c>
      <c r="D66" s="14" t="s">
        <v>14</v>
      </c>
      <c r="E66" s="14">
        <v>12.17</v>
      </c>
      <c r="F66" s="14">
        <v>1.45</v>
      </c>
      <c r="G66" s="14">
        <v>2.52999999999999</v>
      </c>
      <c r="H66" s="14">
        <v>19</v>
      </c>
      <c r="I66" s="14">
        <v>104</v>
      </c>
      <c r="J66" s="14">
        <v>1.8899999999999899</v>
      </c>
      <c r="K66" s="14">
        <v>1.75</v>
      </c>
      <c r="L66" s="14">
        <v>0.45</v>
      </c>
      <c r="M66" s="14">
        <v>1.03</v>
      </c>
      <c r="N66" s="14">
        <v>2.95</v>
      </c>
      <c r="O66" s="14">
        <v>1.45</v>
      </c>
      <c r="P66" s="14">
        <v>2.23</v>
      </c>
      <c r="Q66">
        <v>355</v>
      </c>
    </row>
    <row r="67" spans="3:17" x14ac:dyDescent="0.25">
      <c r="C67" s="15" t="s">
        <v>139</v>
      </c>
      <c r="D67" s="14" t="s">
        <v>14</v>
      </c>
      <c r="E67" s="14">
        <v>12.3699999999999</v>
      </c>
      <c r="F67" s="14">
        <v>1.21</v>
      </c>
      <c r="G67" s="14">
        <v>2.56</v>
      </c>
      <c r="H67" s="14">
        <v>18.100000000000001</v>
      </c>
      <c r="I67" s="14">
        <v>98</v>
      </c>
      <c r="J67" s="14">
        <v>2.4199999999999902</v>
      </c>
      <c r="K67" s="14">
        <v>2.6499999999999901</v>
      </c>
      <c r="L67" s="14">
        <v>0.37</v>
      </c>
      <c r="M67" s="14">
        <v>2.08</v>
      </c>
      <c r="N67" s="14">
        <v>4.5999999999999899</v>
      </c>
      <c r="O67" s="14">
        <v>1.18999999999999</v>
      </c>
      <c r="P67" s="14">
        <v>2.2999999999999901</v>
      </c>
      <c r="Q67">
        <v>678</v>
      </c>
    </row>
    <row r="68" spans="3:17" x14ac:dyDescent="0.25">
      <c r="C68" s="15" t="s">
        <v>141</v>
      </c>
      <c r="D68" s="14" t="s">
        <v>14</v>
      </c>
      <c r="E68" s="14">
        <v>12.3699999999999</v>
      </c>
      <c r="F68" s="14">
        <v>1.1699999999999899</v>
      </c>
      <c r="G68" s="14">
        <v>1.9199999999999899</v>
      </c>
      <c r="H68" s="14">
        <v>19.600000000000001</v>
      </c>
      <c r="I68" s="14">
        <v>78</v>
      </c>
      <c r="J68" s="14">
        <v>2.1099999999999901</v>
      </c>
      <c r="K68" s="14">
        <v>2</v>
      </c>
      <c r="L68" s="14">
        <v>0.27</v>
      </c>
      <c r="M68" s="14">
        <v>1.04</v>
      </c>
      <c r="N68" s="14">
        <v>4.6799999999999899</v>
      </c>
      <c r="O68" s="14">
        <v>1.1200000000000001</v>
      </c>
      <c r="P68" s="14">
        <v>3.48</v>
      </c>
      <c r="Q68">
        <v>510</v>
      </c>
    </row>
    <row r="69" spans="3:17" x14ac:dyDescent="0.25">
      <c r="C69" s="15" t="s">
        <v>146</v>
      </c>
      <c r="D69" s="14" t="s">
        <v>14</v>
      </c>
      <c r="E69" s="14">
        <v>13.49</v>
      </c>
      <c r="F69" s="14">
        <v>1.6599999999999899</v>
      </c>
      <c r="G69" s="14">
        <v>2.2400000000000002</v>
      </c>
      <c r="H69" s="14">
        <v>24</v>
      </c>
      <c r="I69" s="14">
        <v>87</v>
      </c>
      <c r="J69" s="14">
        <v>1.8799999999999899</v>
      </c>
      <c r="K69" s="14">
        <v>1.84</v>
      </c>
      <c r="L69" s="14">
        <v>0.27</v>
      </c>
      <c r="M69" s="14">
        <v>1.03</v>
      </c>
      <c r="N69" s="14">
        <v>3.74</v>
      </c>
      <c r="O69" s="14">
        <v>0.97999999999999898</v>
      </c>
      <c r="P69" s="14">
        <v>2.77999999999999</v>
      </c>
      <c r="Q69">
        <v>472</v>
      </c>
    </row>
    <row r="70" spans="3:17" x14ac:dyDescent="0.25">
      <c r="C70" s="15" t="s">
        <v>154</v>
      </c>
      <c r="D70" s="14" t="s">
        <v>14</v>
      </c>
      <c r="E70" s="14">
        <v>12</v>
      </c>
      <c r="F70" s="14">
        <v>0.92</v>
      </c>
      <c r="G70" s="14">
        <v>2</v>
      </c>
      <c r="H70" s="14">
        <v>19</v>
      </c>
      <c r="I70" s="14">
        <v>86</v>
      </c>
      <c r="J70" s="14">
        <v>2.4199999999999902</v>
      </c>
      <c r="K70" s="14">
        <v>2.25999999999999</v>
      </c>
      <c r="L70" s="14">
        <v>0.29999999999999899</v>
      </c>
      <c r="M70" s="14">
        <v>1.4299999999999899</v>
      </c>
      <c r="N70" s="14">
        <v>2.5</v>
      </c>
      <c r="O70" s="14">
        <v>1.3799999999999899</v>
      </c>
      <c r="P70" s="14">
        <v>3.12</v>
      </c>
      <c r="Q70">
        <v>278</v>
      </c>
    </row>
    <row r="71" spans="3:17" x14ac:dyDescent="0.25">
      <c r="C71" s="15" t="s">
        <v>155</v>
      </c>
      <c r="D71" s="14" t="s">
        <v>14</v>
      </c>
      <c r="E71" s="14">
        <v>12.72</v>
      </c>
      <c r="F71" s="14">
        <v>1.81</v>
      </c>
      <c r="G71" s="14">
        <v>2.2000000000000002</v>
      </c>
      <c r="H71" s="14">
        <v>18.8</v>
      </c>
      <c r="I71" s="14">
        <v>86</v>
      </c>
      <c r="J71" s="14">
        <v>2.2000000000000002</v>
      </c>
      <c r="K71" s="14">
        <v>2.52999999999999</v>
      </c>
      <c r="L71" s="14">
        <v>0.26</v>
      </c>
      <c r="M71" s="14">
        <v>1.77</v>
      </c>
      <c r="N71" s="14">
        <v>3.8999999999999901</v>
      </c>
      <c r="O71" s="14">
        <v>1.1599999999999899</v>
      </c>
      <c r="P71" s="14">
        <v>3.14</v>
      </c>
      <c r="Q71">
        <v>714</v>
      </c>
    </row>
    <row r="72" spans="3:17" x14ac:dyDescent="0.25">
      <c r="C72" s="15" t="s">
        <v>156</v>
      </c>
      <c r="D72" s="14" t="s">
        <v>14</v>
      </c>
      <c r="E72" s="14">
        <v>12.08</v>
      </c>
      <c r="F72" s="14">
        <v>1.1299999999999899</v>
      </c>
      <c r="G72" s="14">
        <v>2.50999999999999</v>
      </c>
      <c r="H72" s="14">
        <v>24</v>
      </c>
      <c r="I72" s="14">
        <v>78</v>
      </c>
      <c r="J72" s="14">
        <v>2</v>
      </c>
      <c r="K72" s="14">
        <v>1.58</v>
      </c>
      <c r="L72" s="14">
        <v>0.4</v>
      </c>
      <c r="M72" s="14">
        <v>1.3999999999999899</v>
      </c>
      <c r="N72" s="14">
        <v>2.2000000000000002</v>
      </c>
      <c r="O72" s="14">
        <v>1.31</v>
      </c>
      <c r="P72" s="14">
        <v>2.72</v>
      </c>
      <c r="Q72">
        <v>630</v>
      </c>
    </row>
    <row r="73" spans="3:17" x14ac:dyDescent="0.25">
      <c r="C73" s="15" t="s">
        <v>157</v>
      </c>
      <c r="D73" s="14" t="s">
        <v>14</v>
      </c>
      <c r="E73" s="14">
        <v>13.05</v>
      </c>
      <c r="F73" s="14">
        <v>3.8599999999999901</v>
      </c>
      <c r="G73" s="14">
        <v>2.3199999999999901</v>
      </c>
      <c r="H73" s="14">
        <v>22.5</v>
      </c>
      <c r="I73" s="14">
        <v>85</v>
      </c>
      <c r="J73" s="14">
        <v>1.6499999999999899</v>
      </c>
      <c r="K73" s="14">
        <v>1.59</v>
      </c>
      <c r="L73" s="14">
        <v>0.60999999999999899</v>
      </c>
      <c r="M73" s="14">
        <v>1.62</v>
      </c>
      <c r="N73" s="14">
        <v>4.7999999999999901</v>
      </c>
      <c r="O73" s="14">
        <v>0.83999999999999897</v>
      </c>
      <c r="P73" s="14">
        <v>2.00999999999999</v>
      </c>
      <c r="Q73">
        <v>515</v>
      </c>
    </row>
    <row r="74" spans="3:17" x14ac:dyDescent="0.25">
      <c r="C74" s="15" t="s">
        <v>161</v>
      </c>
      <c r="D74" s="14" t="s">
        <v>14</v>
      </c>
      <c r="E74" s="14">
        <v>11.65</v>
      </c>
      <c r="F74" s="14">
        <v>1.6699999999999899</v>
      </c>
      <c r="G74" s="14">
        <v>2.62</v>
      </c>
      <c r="H74" s="14">
        <v>26</v>
      </c>
      <c r="I74" s="14">
        <v>88</v>
      </c>
      <c r="J74" s="14">
        <v>1.9199999999999899</v>
      </c>
      <c r="K74" s="14">
        <v>1.61</v>
      </c>
      <c r="L74" s="14">
        <v>0.4</v>
      </c>
      <c r="M74" s="14">
        <v>1.34</v>
      </c>
      <c r="N74" s="14">
        <v>2.6</v>
      </c>
      <c r="O74" s="14">
        <v>1.36</v>
      </c>
      <c r="P74" s="14">
        <v>3.21</v>
      </c>
      <c r="Q74">
        <v>562</v>
      </c>
    </row>
    <row r="75" spans="3:17" x14ac:dyDescent="0.25">
      <c r="C75" s="15" t="s">
        <v>164</v>
      </c>
      <c r="D75" s="14" t="s">
        <v>14</v>
      </c>
      <c r="E75" s="14">
        <v>12.08</v>
      </c>
      <c r="F75" s="14">
        <v>1.83</v>
      </c>
      <c r="G75" s="14">
        <v>2.3199999999999901</v>
      </c>
      <c r="H75" s="14">
        <v>18.5</v>
      </c>
      <c r="I75" s="14">
        <v>81</v>
      </c>
      <c r="J75" s="14">
        <v>1.6</v>
      </c>
      <c r="K75" s="14">
        <v>1.5</v>
      </c>
      <c r="L75" s="14">
        <v>0.52</v>
      </c>
      <c r="M75" s="14">
        <v>1.6399999999999899</v>
      </c>
      <c r="N75" s="14">
        <v>2.3999999999999901</v>
      </c>
      <c r="O75" s="14">
        <v>1.08</v>
      </c>
      <c r="P75" s="14">
        <v>2.27</v>
      </c>
      <c r="Q75">
        <v>480</v>
      </c>
    </row>
    <row r="76" spans="3:17" x14ac:dyDescent="0.25">
      <c r="C76" s="15" t="s">
        <v>165</v>
      </c>
      <c r="D76" s="14" t="s">
        <v>14</v>
      </c>
      <c r="E76" s="14">
        <v>12</v>
      </c>
      <c r="F76" s="14">
        <v>1.51</v>
      </c>
      <c r="G76" s="14">
        <v>2.4199999999999902</v>
      </c>
      <c r="H76" s="14">
        <v>22</v>
      </c>
      <c r="I76" s="14">
        <v>86</v>
      </c>
      <c r="J76" s="14">
        <v>1.45</v>
      </c>
      <c r="K76" s="14">
        <v>1.25</v>
      </c>
      <c r="L76" s="14">
        <v>0.5</v>
      </c>
      <c r="M76" s="14">
        <v>1.6299999999999899</v>
      </c>
      <c r="N76" s="14">
        <v>3.6</v>
      </c>
      <c r="O76" s="14">
        <v>1.05</v>
      </c>
      <c r="P76" s="14">
        <v>2.6499999999999901</v>
      </c>
      <c r="Q76">
        <v>450</v>
      </c>
    </row>
    <row r="77" spans="3:17" x14ac:dyDescent="0.25">
      <c r="C77" s="15" t="s">
        <v>168</v>
      </c>
      <c r="D77" s="14" t="s">
        <v>14</v>
      </c>
      <c r="E77" s="14">
        <v>11.6199999999999</v>
      </c>
      <c r="F77" s="14">
        <v>1.99</v>
      </c>
      <c r="G77" s="14">
        <v>2.27999999999999</v>
      </c>
      <c r="H77" s="14">
        <v>18</v>
      </c>
      <c r="I77" s="14">
        <v>98</v>
      </c>
      <c r="J77" s="14">
        <v>3.02</v>
      </c>
      <c r="K77" s="14">
        <v>2.25999999999999</v>
      </c>
      <c r="L77" s="14">
        <v>0.17</v>
      </c>
      <c r="M77" s="14">
        <v>1.35</v>
      </c>
      <c r="N77" s="14">
        <v>3.25</v>
      </c>
      <c r="O77" s="14">
        <v>1.1599999999999899</v>
      </c>
      <c r="P77" s="14">
        <v>2.96</v>
      </c>
      <c r="Q77">
        <v>345</v>
      </c>
    </row>
    <row r="78" spans="3:17" x14ac:dyDescent="0.25">
      <c r="C78" s="15" t="s">
        <v>170</v>
      </c>
      <c r="D78" s="14" t="s">
        <v>14</v>
      </c>
      <c r="E78" s="14">
        <v>11.81</v>
      </c>
      <c r="F78" s="14">
        <v>2.12</v>
      </c>
      <c r="G78" s="14">
        <v>2.74</v>
      </c>
      <c r="H78" s="14">
        <v>21.5</v>
      </c>
      <c r="I78" s="14">
        <v>134</v>
      </c>
      <c r="J78" s="14">
        <v>1.6</v>
      </c>
      <c r="K78" s="14">
        <v>0.98999999999999899</v>
      </c>
      <c r="L78" s="14">
        <v>0.14000000000000001</v>
      </c>
      <c r="M78" s="14">
        <v>1.56</v>
      </c>
      <c r="N78" s="14">
        <v>2.5</v>
      </c>
      <c r="O78" s="14">
        <v>0.94999999999999896</v>
      </c>
      <c r="P78" s="14">
        <v>2.25999999999999</v>
      </c>
      <c r="Q78">
        <v>625</v>
      </c>
    </row>
    <row r="79" spans="3:17" x14ac:dyDescent="0.25">
      <c r="C79" s="15" t="s">
        <v>171</v>
      </c>
      <c r="D79" s="14" t="s">
        <v>14</v>
      </c>
      <c r="E79" s="14">
        <v>12.2899999999999</v>
      </c>
      <c r="F79" s="14">
        <v>1.4099999999999899</v>
      </c>
      <c r="G79" s="14">
        <v>1.98</v>
      </c>
      <c r="H79" s="14">
        <v>16</v>
      </c>
      <c r="I79" s="14">
        <v>85</v>
      </c>
      <c r="J79" s="14">
        <v>2.5499999999999901</v>
      </c>
      <c r="K79" s="14">
        <v>2.5</v>
      </c>
      <c r="L79" s="14">
        <v>0.28999999999999898</v>
      </c>
      <c r="M79" s="14">
        <v>1.77</v>
      </c>
      <c r="N79" s="14">
        <v>2.8999999999999901</v>
      </c>
      <c r="O79" s="14">
        <v>1.23</v>
      </c>
      <c r="P79" s="14">
        <v>2.74</v>
      </c>
      <c r="Q79">
        <v>428</v>
      </c>
    </row>
    <row r="80" spans="3:17" x14ac:dyDescent="0.25">
      <c r="C80" s="15" t="s">
        <v>179</v>
      </c>
      <c r="D80" s="14" t="s">
        <v>14</v>
      </c>
      <c r="E80" s="14">
        <v>12.42</v>
      </c>
      <c r="F80" s="14">
        <v>2.5499999999999901</v>
      </c>
      <c r="G80" s="14">
        <v>2.27</v>
      </c>
      <c r="H80" s="14">
        <v>22</v>
      </c>
      <c r="I80" s="14">
        <v>90</v>
      </c>
      <c r="J80" s="14">
        <v>1.6799999999999899</v>
      </c>
      <c r="K80" s="14">
        <v>1.84</v>
      </c>
      <c r="L80" s="14">
        <v>0.66</v>
      </c>
      <c r="M80" s="14">
        <v>1.4199999999999899</v>
      </c>
      <c r="N80" s="14">
        <v>2.7</v>
      </c>
      <c r="O80" s="14">
        <v>0.85999999999999899</v>
      </c>
      <c r="P80" s="14">
        <v>3.2999999999999901</v>
      </c>
      <c r="Q80">
        <v>315</v>
      </c>
    </row>
    <row r="81" spans="3:17" x14ac:dyDescent="0.25">
      <c r="C81" s="15" t="s">
        <v>181</v>
      </c>
      <c r="D81" s="14" t="s">
        <v>14</v>
      </c>
      <c r="E81" s="14">
        <v>12.72</v>
      </c>
      <c r="F81" s="14">
        <v>1.75</v>
      </c>
      <c r="G81" s="14">
        <v>2.27999999999999</v>
      </c>
      <c r="H81" s="14">
        <v>22.5</v>
      </c>
      <c r="I81" s="14">
        <v>84</v>
      </c>
      <c r="J81" s="14">
        <v>1.3799999999999899</v>
      </c>
      <c r="K81" s="14">
        <v>1.76</v>
      </c>
      <c r="L81" s="14">
        <v>0.47999999999999898</v>
      </c>
      <c r="M81" s="14">
        <v>1.6299999999999899</v>
      </c>
      <c r="N81" s="14">
        <v>3.2999999999999901</v>
      </c>
      <c r="O81" s="14">
        <v>0.88</v>
      </c>
      <c r="P81" s="14">
        <v>2.4199999999999902</v>
      </c>
      <c r="Q81">
        <v>488</v>
      </c>
    </row>
    <row r="82" spans="3:17" x14ac:dyDescent="0.25">
      <c r="C82" s="15" t="s">
        <v>182</v>
      </c>
      <c r="D82" s="14" t="s">
        <v>14</v>
      </c>
      <c r="E82" s="14">
        <v>12.22</v>
      </c>
      <c r="F82" s="14">
        <v>1.29</v>
      </c>
      <c r="G82" s="14">
        <v>1.93999999999999</v>
      </c>
      <c r="H82" s="14">
        <v>19</v>
      </c>
      <c r="I82" s="14">
        <v>92</v>
      </c>
      <c r="J82" s="14">
        <v>2.3599999999999901</v>
      </c>
      <c r="K82" s="14">
        <v>2.04</v>
      </c>
      <c r="L82" s="14">
        <v>0.39</v>
      </c>
      <c r="M82" s="14">
        <v>2.08</v>
      </c>
      <c r="N82" s="14">
        <v>2.7</v>
      </c>
      <c r="O82" s="14">
        <v>0.85999999999999899</v>
      </c>
      <c r="P82" s="14">
        <v>3.02</v>
      </c>
      <c r="Q82">
        <v>312</v>
      </c>
    </row>
    <row r="83" spans="3:17" x14ac:dyDescent="0.25">
      <c r="C83" s="15" t="s">
        <v>183</v>
      </c>
      <c r="D83" s="14" t="s">
        <v>14</v>
      </c>
      <c r="E83" s="14">
        <v>11.6099999999999</v>
      </c>
      <c r="F83" s="14">
        <v>1.35</v>
      </c>
      <c r="G83" s="14">
        <v>2.7</v>
      </c>
      <c r="H83" s="14">
        <v>20</v>
      </c>
      <c r="I83" s="14">
        <v>94</v>
      </c>
      <c r="J83" s="14">
        <v>2.74</v>
      </c>
      <c r="K83" s="14">
        <v>2.9199999999999902</v>
      </c>
      <c r="L83" s="14">
        <v>0.28999999999999898</v>
      </c>
      <c r="M83" s="14">
        <v>2.4900000000000002</v>
      </c>
      <c r="N83" s="14">
        <v>2.6499999999999901</v>
      </c>
      <c r="O83" s="14">
        <v>0.95999999999999897</v>
      </c>
      <c r="P83" s="14">
        <v>3.25999999999999</v>
      </c>
      <c r="Q83">
        <v>680</v>
      </c>
    </row>
    <row r="84" spans="3:17" x14ac:dyDescent="0.25">
      <c r="C84" s="15" t="s">
        <v>185</v>
      </c>
      <c r="D84" s="14" t="s">
        <v>14</v>
      </c>
      <c r="E84" s="14">
        <v>12.52</v>
      </c>
      <c r="F84" s="14">
        <v>2.4300000000000002</v>
      </c>
      <c r="G84" s="14">
        <v>2.1699999999999902</v>
      </c>
      <c r="H84" s="14">
        <v>21</v>
      </c>
      <c r="I84" s="14">
        <v>88</v>
      </c>
      <c r="J84" s="14">
        <v>2.5499999999999901</v>
      </c>
      <c r="K84" s="14">
        <v>2.27</v>
      </c>
      <c r="L84" s="14">
        <v>0.26</v>
      </c>
      <c r="M84" s="14">
        <v>1.22</v>
      </c>
      <c r="N84" s="14">
        <v>2</v>
      </c>
      <c r="O84" s="14">
        <v>0.9</v>
      </c>
      <c r="P84" s="14">
        <v>2.77999999999999</v>
      </c>
      <c r="Q84">
        <v>325</v>
      </c>
    </row>
    <row r="85" spans="3:17" x14ac:dyDescent="0.25">
      <c r="C85" s="15" t="s">
        <v>186</v>
      </c>
      <c r="D85" s="14" t="s">
        <v>14</v>
      </c>
      <c r="E85" s="14">
        <v>11.76</v>
      </c>
      <c r="F85" s="14">
        <v>2.68</v>
      </c>
      <c r="G85" s="14">
        <v>2.9199999999999902</v>
      </c>
      <c r="H85" s="14">
        <v>20</v>
      </c>
      <c r="I85" s="14">
        <v>103</v>
      </c>
      <c r="J85" s="14">
        <v>1.75</v>
      </c>
      <c r="K85" s="14">
        <v>2.02999999999999</v>
      </c>
      <c r="L85" s="14">
        <v>0.59999999999999898</v>
      </c>
      <c r="M85" s="14">
        <v>1.05</v>
      </c>
      <c r="N85" s="14">
        <v>3.7999999999999901</v>
      </c>
      <c r="O85" s="14">
        <v>1.23</v>
      </c>
      <c r="P85" s="14">
        <v>2.5</v>
      </c>
      <c r="Q85">
        <v>607</v>
      </c>
    </row>
    <row r="86" spans="3:17" x14ac:dyDescent="0.25">
      <c r="C86" s="15" t="s">
        <v>187</v>
      </c>
      <c r="D86" s="14" t="s">
        <v>14</v>
      </c>
      <c r="E86" s="14">
        <v>11.41</v>
      </c>
      <c r="F86" s="14">
        <v>0.73999999999999899</v>
      </c>
      <c r="G86" s="14">
        <v>2.5</v>
      </c>
      <c r="H86" s="14">
        <v>21</v>
      </c>
      <c r="I86" s="14">
        <v>88</v>
      </c>
      <c r="J86" s="14">
        <v>2.48</v>
      </c>
      <c r="K86" s="14">
        <v>2.00999999999999</v>
      </c>
      <c r="L86" s="14">
        <v>0.41999999999999899</v>
      </c>
      <c r="M86" s="14">
        <v>1.43999999999999</v>
      </c>
      <c r="N86" s="14">
        <v>3.08</v>
      </c>
      <c r="O86" s="14">
        <v>1.1000000000000001</v>
      </c>
      <c r="P86" s="14">
        <v>2.31</v>
      </c>
      <c r="Q86">
        <v>434</v>
      </c>
    </row>
    <row r="87" spans="3:17" x14ac:dyDescent="0.25">
      <c r="C87" s="15" t="s">
        <v>188</v>
      </c>
      <c r="D87" s="14" t="s">
        <v>14</v>
      </c>
      <c r="E87" s="14">
        <v>12.08</v>
      </c>
      <c r="F87" s="14">
        <v>1.3899999999999899</v>
      </c>
      <c r="G87" s="14">
        <v>2.5</v>
      </c>
      <c r="H87" s="14">
        <v>22.5</v>
      </c>
      <c r="I87" s="14">
        <v>84</v>
      </c>
      <c r="J87" s="14">
        <v>2.56</v>
      </c>
      <c r="K87" s="14">
        <v>2.29</v>
      </c>
      <c r="L87" s="14">
        <v>0.42999999999999899</v>
      </c>
      <c r="M87" s="14">
        <v>1.04</v>
      </c>
      <c r="N87" s="14">
        <v>2.8999999999999901</v>
      </c>
      <c r="O87" s="14">
        <v>0.93</v>
      </c>
      <c r="P87" s="14">
        <v>3.1899999999999902</v>
      </c>
      <c r="Q87">
        <v>385</v>
      </c>
    </row>
    <row r="88" spans="3:17" x14ac:dyDescent="0.25">
      <c r="C88" s="15" t="s">
        <v>191</v>
      </c>
      <c r="D88" s="14" t="s">
        <v>14</v>
      </c>
      <c r="E88" s="14">
        <v>12.42</v>
      </c>
      <c r="F88" s="14">
        <v>1.61</v>
      </c>
      <c r="G88" s="14">
        <v>2.1899999999999902</v>
      </c>
      <c r="H88" s="14">
        <v>22.5</v>
      </c>
      <c r="I88" s="14">
        <v>108</v>
      </c>
      <c r="J88" s="14">
        <v>2</v>
      </c>
      <c r="K88" s="14">
        <v>2.0899999999999901</v>
      </c>
      <c r="L88" s="14">
        <v>0.34</v>
      </c>
      <c r="M88" s="14">
        <v>1.61</v>
      </c>
      <c r="N88" s="14">
        <v>2.06</v>
      </c>
      <c r="O88" s="14">
        <v>1.06</v>
      </c>
      <c r="P88" s="14">
        <v>2.96</v>
      </c>
      <c r="Q88">
        <v>345</v>
      </c>
    </row>
    <row r="89" spans="3:17" x14ac:dyDescent="0.25">
      <c r="C89" s="15" t="s">
        <v>192</v>
      </c>
      <c r="D89" s="14" t="s">
        <v>14</v>
      </c>
      <c r="E89" s="14">
        <v>12.77</v>
      </c>
      <c r="F89" s="14">
        <v>3.43</v>
      </c>
      <c r="G89" s="14">
        <v>1.98</v>
      </c>
      <c r="H89" s="14">
        <v>16</v>
      </c>
      <c r="I89" s="14">
        <v>80</v>
      </c>
      <c r="J89" s="14">
        <v>1.6299999999999899</v>
      </c>
      <c r="K89" s="14">
        <v>1.25</v>
      </c>
      <c r="L89" s="14">
        <v>0.42999999999999899</v>
      </c>
      <c r="M89" s="14">
        <v>0.82999999999999896</v>
      </c>
      <c r="N89" s="14">
        <v>3.3999999999999901</v>
      </c>
      <c r="O89" s="14">
        <v>0.69999999999999896</v>
      </c>
      <c r="P89" s="14">
        <v>2.12</v>
      </c>
      <c r="Q89">
        <v>372</v>
      </c>
    </row>
    <row r="90" spans="3:17" x14ac:dyDescent="0.25">
      <c r="C90" s="15" t="s">
        <v>193</v>
      </c>
      <c r="D90" s="14" t="s">
        <v>14</v>
      </c>
      <c r="E90" s="14">
        <v>12</v>
      </c>
      <c r="F90" s="14">
        <v>3.43</v>
      </c>
      <c r="G90" s="14">
        <v>2</v>
      </c>
      <c r="H90" s="14">
        <v>19</v>
      </c>
      <c r="I90" s="14">
        <v>87</v>
      </c>
      <c r="J90" s="14">
        <v>2</v>
      </c>
      <c r="K90" s="14">
        <v>1.6399999999999899</v>
      </c>
      <c r="L90" s="14">
        <v>0.37</v>
      </c>
      <c r="M90" s="14">
        <v>1.87</v>
      </c>
      <c r="N90" s="14">
        <v>1.28</v>
      </c>
      <c r="O90" s="14">
        <v>0.93</v>
      </c>
      <c r="P90" s="14">
        <v>3.0499999999999901</v>
      </c>
      <c r="Q90">
        <v>564</v>
      </c>
    </row>
    <row r="91" spans="3:17" x14ac:dyDescent="0.25">
      <c r="C91" s="15" t="s">
        <v>195</v>
      </c>
      <c r="D91" s="14" t="s">
        <v>14</v>
      </c>
      <c r="E91" s="14">
        <v>11.56</v>
      </c>
      <c r="F91" s="14">
        <v>2.0499999999999901</v>
      </c>
      <c r="G91" s="14">
        <v>3.23</v>
      </c>
      <c r="H91" s="14">
        <v>28.5</v>
      </c>
      <c r="I91" s="14">
        <v>119</v>
      </c>
      <c r="J91" s="14">
        <v>3.18</v>
      </c>
      <c r="K91" s="14">
        <v>5.08</v>
      </c>
      <c r="L91" s="14">
        <v>0.46999999999999897</v>
      </c>
      <c r="M91" s="14">
        <v>1.87</v>
      </c>
      <c r="N91" s="14">
        <v>6</v>
      </c>
      <c r="O91" s="14">
        <v>0.93</v>
      </c>
      <c r="P91" s="14">
        <v>3.6899999999999902</v>
      </c>
      <c r="Q91">
        <v>465</v>
      </c>
    </row>
    <row r="92" spans="3:17" x14ac:dyDescent="0.25">
      <c r="C92" s="15" t="s">
        <v>196</v>
      </c>
      <c r="D92" s="14" t="s">
        <v>14</v>
      </c>
      <c r="E92" s="14">
        <v>12.42</v>
      </c>
      <c r="F92" s="14">
        <v>4.4299999999999899</v>
      </c>
      <c r="G92" s="14">
        <v>2.73</v>
      </c>
      <c r="H92" s="14">
        <v>26.5</v>
      </c>
      <c r="I92" s="14">
        <v>102</v>
      </c>
      <c r="J92" s="14">
        <v>2.2000000000000002</v>
      </c>
      <c r="K92" s="14">
        <v>2.1299999999999901</v>
      </c>
      <c r="L92" s="14">
        <v>0.42999999999999899</v>
      </c>
      <c r="M92" s="14">
        <v>1.71</v>
      </c>
      <c r="N92" s="14">
        <v>2.08</v>
      </c>
      <c r="O92" s="14">
        <v>0.92</v>
      </c>
      <c r="P92" s="14">
        <v>3.12</v>
      </c>
      <c r="Q92">
        <v>365</v>
      </c>
    </row>
    <row r="93" spans="3:17" x14ac:dyDescent="0.25">
      <c r="C93" s="15" t="s">
        <v>201</v>
      </c>
      <c r="D93" s="14" t="s">
        <v>14</v>
      </c>
      <c r="E93" s="14">
        <v>11.7899999999999</v>
      </c>
      <c r="F93" s="14">
        <v>2.1299999999999901</v>
      </c>
      <c r="G93" s="14">
        <v>2.77999999999999</v>
      </c>
      <c r="H93" s="14">
        <v>28.5</v>
      </c>
      <c r="I93" s="14">
        <v>92</v>
      </c>
      <c r="J93" s="14">
        <v>2.1299999999999901</v>
      </c>
      <c r="K93" s="14">
        <v>2.2400000000000002</v>
      </c>
      <c r="L93" s="14">
        <v>0.57999999999999896</v>
      </c>
      <c r="M93" s="14">
        <v>1.76</v>
      </c>
      <c r="N93" s="14">
        <v>3</v>
      </c>
      <c r="O93" s="14">
        <v>0.96999999999999897</v>
      </c>
      <c r="P93" s="14">
        <v>2.4399999999999902</v>
      </c>
      <c r="Q93">
        <v>466</v>
      </c>
    </row>
    <row r="94" spans="3:17" x14ac:dyDescent="0.25">
      <c r="C94" s="15" t="s">
        <v>202</v>
      </c>
      <c r="D94" s="14" t="s">
        <v>14</v>
      </c>
      <c r="E94" s="14">
        <v>12.3699999999999</v>
      </c>
      <c r="F94" s="14">
        <v>1.6299999999999899</v>
      </c>
      <c r="G94" s="14">
        <v>2.2999999999999901</v>
      </c>
      <c r="H94" s="14">
        <v>24.5</v>
      </c>
      <c r="I94" s="14">
        <v>88</v>
      </c>
      <c r="J94" s="14">
        <v>2.2200000000000002</v>
      </c>
      <c r="K94" s="14">
        <v>2.4500000000000002</v>
      </c>
      <c r="L94" s="14">
        <v>0.4</v>
      </c>
      <c r="M94" s="14">
        <v>1.8999999999999899</v>
      </c>
      <c r="N94" s="14">
        <v>2.12</v>
      </c>
      <c r="O94" s="14">
        <v>0.89</v>
      </c>
      <c r="P94" s="14">
        <v>2.77999999999999</v>
      </c>
      <c r="Q94">
        <v>342</v>
      </c>
    </row>
    <row r="95" spans="3:17" x14ac:dyDescent="0.25">
      <c r="C95" s="15" t="s">
        <v>205</v>
      </c>
      <c r="D95" s="14" t="s">
        <v>15</v>
      </c>
      <c r="E95" s="14">
        <v>12.88</v>
      </c>
      <c r="F95" s="14">
        <v>2.99</v>
      </c>
      <c r="G95" s="14">
        <v>2.3999999999999901</v>
      </c>
      <c r="H95" s="14">
        <v>20</v>
      </c>
      <c r="I95" s="14">
        <v>104</v>
      </c>
      <c r="J95" s="14">
        <v>1.3</v>
      </c>
      <c r="K95" s="14">
        <v>1.22</v>
      </c>
      <c r="L95" s="14">
        <v>0.23999999999999899</v>
      </c>
      <c r="M95" s="14">
        <v>0.82999999999999896</v>
      </c>
      <c r="N95" s="14">
        <v>5.4</v>
      </c>
      <c r="O95" s="14">
        <v>0.73999999999999899</v>
      </c>
      <c r="P95" s="14">
        <v>1.4199999999999899</v>
      </c>
      <c r="Q95">
        <v>530</v>
      </c>
    </row>
    <row r="96" spans="3:17" x14ac:dyDescent="0.25">
      <c r="C96" s="15" t="s">
        <v>206</v>
      </c>
      <c r="D96" s="14" t="s">
        <v>15</v>
      </c>
      <c r="E96" s="14">
        <v>12.81</v>
      </c>
      <c r="F96" s="14">
        <v>2.31</v>
      </c>
      <c r="G96" s="14">
        <v>2.3999999999999901</v>
      </c>
      <c r="H96" s="14">
        <v>24</v>
      </c>
      <c r="I96" s="14">
        <v>98</v>
      </c>
      <c r="J96" s="14">
        <v>1.1499999999999899</v>
      </c>
      <c r="K96" s="14">
        <v>1.0900000000000001</v>
      </c>
      <c r="L96" s="14">
        <v>0.27</v>
      </c>
      <c r="M96" s="14">
        <v>0.82999999999999896</v>
      </c>
      <c r="N96" s="14">
        <v>5.7</v>
      </c>
      <c r="O96" s="14">
        <v>0.66</v>
      </c>
      <c r="P96" s="14">
        <v>1.36</v>
      </c>
      <c r="Q96">
        <v>560</v>
      </c>
    </row>
    <row r="97" spans="3:17" x14ac:dyDescent="0.25">
      <c r="C97" s="15" t="s">
        <v>207</v>
      </c>
      <c r="D97" s="14" t="s">
        <v>15</v>
      </c>
      <c r="E97" s="14">
        <v>12.6999999999999</v>
      </c>
      <c r="F97" s="14">
        <v>3.5499999999999901</v>
      </c>
      <c r="G97" s="14">
        <v>2.3599999999999901</v>
      </c>
      <c r="H97" s="14">
        <v>21.5</v>
      </c>
      <c r="I97" s="14">
        <v>106</v>
      </c>
      <c r="J97" s="14">
        <v>1.7</v>
      </c>
      <c r="K97" s="14">
        <v>1.2</v>
      </c>
      <c r="L97" s="14">
        <v>0.17</v>
      </c>
      <c r="M97" s="14">
        <v>0.83999999999999897</v>
      </c>
      <c r="N97" s="14">
        <v>5</v>
      </c>
      <c r="O97" s="14">
        <v>0.78</v>
      </c>
      <c r="P97" s="14">
        <v>1.29</v>
      </c>
      <c r="Q97">
        <v>600</v>
      </c>
    </row>
    <row r="98" spans="3:17" x14ac:dyDescent="0.25">
      <c r="C98" s="15" t="s">
        <v>209</v>
      </c>
      <c r="D98" s="14" t="s">
        <v>15</v>
      </c>
      <c r="E98" s="14">
        <v>12.6</v>
      </c>
      <c r="F98" s="14">
        <v>2.46</v>
      </c>
      <c r="G98" s="14">
        <v>2.2000000000000002</v>
      </c>
      <c r="H98" s="14">
        <v>18.5</v>
      </c>
      <c r="I98" s="14">
        <v>94</v>
      </c>
      <c r="J98" s="14">
        <v>1.62</v>
      </c>
      <c r="K98" s="14">
        <v>0.66</v>
      </c>
      <c r="L98" s="14">
        <v>0.63</v>
      </c>
      <c r="M98" s="14">
        <v>0.93999999999999895</v>
      </c>
      <c r="N98" s="14">
        <v>7.0999999999999899</v>
      </c>
      <c r="O98" s="14">
        <v>0.72999999999999898</v>
      </c>
      <c r="P98" s="14">
        <v>1.58</v>
      </c>
      <c r="Q98">
        <v>695</v>
      </c>
    </row>
    <row r="99" spans="3:17" x14ac:dyDescent="0.25">
      <c r="C99" s="15" t="s">
        <v>214</v>
      </c>
      <c r="D99" s="14" t="s">
        <v>15</v>
      </c>
      <c r="E99" s="14">
        <v>12.93</v>
      </c>
      <c r="F99" s="14">
        <v>2.81</v>
      </c>
      <c r="G99" s="14">
        <v>2.7</v>
      </c>
      <c r="H99" s="14">
        <v>21</v>
      </c>
      <c r="I99" s="14">
        <v>96</v>
      </c>
      <c r="J99" s="14">
        <v>1.54</v>
      </c>
      <c r="K99" s="14">
        <v>0.5</v>
      </c>
      <c r="L99" s="14">
        <v>0.53</v>
      </c>
      <c r="M99" s="14">
        <v>0.75</v>
      </c>
      <c r="N99" s="14">
        <v>4.5999999999999899</v>
      </c>
      <c r="O99" s="14">
        <v>0.77</v>
      </c>
      <c r="P99" s="14">
        <v>2.31</v>
      </c>
      <c r="Q99">
        <v>600</v>
      </c>
    </row>
    <row r="100" spans="3:17" x14ac:dyDescent="0.25">
      <c r="C100" s="15" t="s">
        <v>215</v>
      </c>
      <c r="D100" s="14" t="s">
        <v>15</v>
      </c>
      <c r="E100" s="14">
        <v>13.3599999999999</v>
      </c>
      <c r="F100" s="14">
        <v>2.56</v>
      </c>
      <c r="G100" s="14">
        <v>2.35</v>
      </c>
      <c r="H100" s="14">
        <v>20</v>
      </c>
      <c r="I100" s="14">
        <v>89</v>
      </c>
      <c r="J100" s="14">
        <v>1.3999999999999899</v>
      </c>
      <c r="K100" s="14">
        <v>0.5</v>
      </c>
      <c r="L100" s="14">
        <v>0.37</v>
      </c>
      <c r="M100" s="14">
        <v>0.64</v>
      </c>
      <c r="N100" s="14">
        <v>5.5999999999999899</v>
      </c>
      <c r="O100" s="14">
        <v>0.69999999999999896</v>
      </c>
      <c r="P100" s="14">
        <v>2.4700000000000002</v>
      </c>
      <c r="Q100">
        <v>780</v>
      </c>
    </row>
    <row r="101" spans="3:17" x14ac:dyDescent="0.25">
      <c r="C101" s="15" t="s">
        <v>216</v>
      </c>
      <c r="D101" s="14" t="s">
        <v>15</v>
      </c>
      <c r="E101" s="14">
        <v>13.52</v>
      </c>
      <c r="F101" s="14">
        <v>3.1699999999999902</v>
      </c>
      <c r="G101" s="14">
        <v>2.72</v>
      </c>
      <c r="H101" s="14">
        <v>23.5</v>
      </c>
      <c r="I101" s="14">
        <v>97</v>
      </c>
      <c r="J101" s="14">
        <v>1.55</v>
      </c>
      <c r="K101" s="14">
        <v>0.52</v>
      </c>
      <c r="L101" s="14">
        <v>0.5</v>
      </c>
      <c r="M101" s="14">
        <v>0.55000000000000004</v>
      </c>
      <c r="N101" s="14">
        <v>4.3499999999999899</v>
      </c>
      <c r="O101" s="14">
        <v>0.89</v>
      </c>
      <c r="P101" s="14">
        <v>2.06</v>
      </c>
      <c r="Q101">
        <v>520</v>
      </c>
    </row>
    <row r="102" spans="3:17" x14ac:dyDescent="0.25">
      <c r="C102" s="15" t="s">
        <v>219</v>
      </c>
      <c r="D102" s="14" t="s">
        <v>15</v>
      </c>
      <c r="E102" s="14">
        <v>13.16</v>
      </c>
      <c r="F102" s="14">
        <v>3.5699999999999901</v>
      </c>
      <c r="G102" s="14">
        <v>2.1499999999999901</v>
      </c>
      <c r="H102" s="14">
        <v>21</v>
      </c>
      <c r="I102" s="14">
        <v>102</v>
      </c>
      <c r="J102" s="14">
        <v>1.5</v>
      </c>
      <c r="K102" s="14">
        <v>0.55000000000000004</v>
      </c>
      <c r="L102" s="14">
        <v>0.42999999999999899</v>
      </c>
      <c r="M102" s="14">
        <v>1.3</v>
      </c>
      <c r="N102" s="14">
        <v>4</v>
      </c>
      <c r="O102" s="14">
        <v>0.59999999999999898</v>
      </c>
      <c r="P102" s="14">
        <v>1.6799999999999899</v>
      </c>
      <c r="Q102">
        <v>830</v>
      </c>
    </row>
    <row r="103" spans="3:17" x14ac:dyDescent="0.25">
      <c r="C103" s="15" t="s">
        <v>221</v>
      </c>
      <c r="D103" s="14" t="s">
        <v>15</v>
      </c>
      <c r="E103" s="14">
        <v>12.8699999999999</v>
      </c>
      <c r="F103" s="14">
        <v>4.6100000000000003</v>
      </c>
      <c r="G103" s="14">
        <v>2.48</v>
      </c>
      <c r="H103" s="14">
        <v>21.5</v>
      </c>
      <c r="I103" s="14">
        <v>86</v>
      </c>
      <c r="J103" s="14">
        <v>1.7</v>
      </c>
      <c r="K103" s="14">
        <v>0.65</v>
      </c>
      <c r="L103" s="14">
        <v>0.46999999999999897</v>
      </c>
      <c r="M103" s="14">
        <v>0.85999999999999899</v>
      </c>
      <c r="N103" s="14">
        <v>7.65</v>
      </c>
      <c r="O103" s="14">
        <v>0.54</v>
      </c>
      <c r="P103" s="14">
        <v>1.86</v>
      </c>
      <c r="Q103">
        <v>625</v>
      </c>
    </row>
    <row r="104" spans="3:17" x14ac:dyDescent="0.25">
      <c r="C104" s="15" t="s">
        <v>223</v>
      </c>
      <c r="D104" s="14" t="s">
        <v>15</v>
      </c>
      <c r="E104" s="14">
        <v>13.08</v>
      </c>
      <c r="F104" s="14">
        <v>3.8999999999999901</v>
      </c>
      <c r="G104" s="14">
        <v>2.3599999999999901</v>
      </c>
      <c r="H104" s="14">
        <v>21.5</v>
      </c>
      <c r="I104" s="14">
        <v>113</v>
      </c>
      <c r="J104" s="14">
        <v>1.4099999999999899</v>
      </c>
      <c r="K104" s="14">
        <v>1.3899999999999899</v>
      </c>
      <c r="L104" s="14">
        <v>0.34</v>
      </c>
      <c r="M104" s="14">
        <v>1.1399999999999899</v>
      </c>
      <c r="N104" s="14">
        <v>9.4</v>
      </c>
      <c r="O104" s="14">
        <v>0.56999999999999895</v>
      </c>
      <c r="P104" s="14">
        <v>1.33</v>
      </c>
      <c r="Q104">
        <v>550</v>
      </c>
    </row>
    <row r="105" spans="3:17" x14ac:dyDescent="0.25">
      <c r="C105" s="15" t="s">
        <v>226</v>
      </c>
      <c r="D105" s="14" t="s">
        <v>15</v>
      </c>
      <c r="E105" s="14">
        <v>13.1099999999999</v>
      </c>
      <c r="F105" s="14">
        <v>1.8999999999999899</v>
      </c>
      <c r="G105" s="14">
        <v>2.75</v>
      </c>
      <c r="H105" s="14">
        <v>25.5</v>
      </c>
      <c r="I105" s="14">
        <v>116</v>
      </c>
      <c r="J105" s="14">
        <v>2.2000000000000002</v>
      </c>
      <c r="K105" s="14">
        <v>1.28</v>
      </c>
      <c r="L105" s="14">
        <v>0.26</v>
      </c>
      <c r="M105" s="14">
        <v>1.56</v>
      </c>
      <c r="N105" s="14">
        <v>7.0999999999999899</v>
      </c>
      <c r="O105" s="14">
        <v>0.60999999999999899</v>
      </c>
      <c r="P105" s="14">
        <v>1.33</v>
      </c>
      <c r="Q105">
        <v>425</v>
      </c>
    </row>
    <row r="106" spans="3:17" x14ac:dyDescent="0.25">
      <c r="C106" s="15" t="s">
        <v>229</v>
      </c>
      <c r="D106" s="14" t="s">
        <v>15</v>
      </c>
      <c r="E106" s="14">
        <v>13.17</v>
      </c>
      <c r="F106" s="14">
        <v>5.19</v>
      </c>
      <c r="G106" s="14">
        <v>2.3199999999999901</v>
      </c>
      <c r="H106" s="14">
        <v>22</v>
      </c>
      <c r="I106" s="14">
        <v>93</v>
      </c>
      <c r="J106" s="14">
        <v>1.74</v>
      </c>
      <c r="K106" s="14">
        <v>0.63</v>
      </c>
      <c r="L106" s="14">
        <v>0.60999999999999899</v>
      </c>
      <c r="M106" s="14">
        <v>1.55</v>
      </c>
      <c r="N106" s="14">
        <v>7.9</v>
      </c>
      <c r="O106" s="14">
        <v>0.59999999999999898</v>
      </c>
      <c r="P106" s="14">
        <v>1.48</v>
      </c>
      <c r="Q106">
        <v>725</v>
      </c>
    </row>
    <row r="107" spans="3:17" x14ac:dyDescent="0.25">
      <c r="C107" s="15" t="s">
        <v>230</v>
      </c>
      <c r="D107" s="14" t="s">
        <v>15</v>
      </c>
      <c r="E107" s="14">
        <v>13.84</v>
      </c>
      <c r="F107" s="14">
        <v>4.12</v>
      </c>
      <c r="G107" s="14">
        <v>2.3799999999999901</v>
      </c>
      <c r="H107" s="14">
        <v>19.5</v>
      </c>
      <c r="I107" s="14">
        <v>89</v>
      </c>
      <c r="J107" s="14">
        <v>1.8</v>
      </c>
      <c r="K107" s="14">
        <v>0.82999999999999896</v>
      </c>
      <c r="L107" s="14">
        <v>0.47999999999999898</v>
      </c>
      <c r="M107" s="14">
        <v>1.56</v>
      </c>
      <c r="N107" s="14">
        <v>9.0099999999999891</v>
      </c>
      <c r="O107" s="14">
        <v>0.56999999999999895</v>
      </c>
      <c r="P107" s="14">
        <v>1.6399999999999899</v>
      </c>
      <c r="Q107">
        <v>480</v>
      </c>
    </row>
    <row r="108" spans="3:17" x14ac:dyDescent="0.25">
      <c r="C108" s="15" t="s">
        <v>232</v>
      </c>
      <c r="D108" s="14" t="s">
        <v>15</v>
      </c>
      <c r="E108" s="14">
        <v>14.34</v>
      </c>
      <c r="F108" s="14">
        <v>1.6799999999999899</v>
      </c>
      <c r="G108" s="14">
        <v>2.7</v>
      </c>
      <c r="H108" s="14">
        <v>25</v>
      </c>
      <c r="I108" s="14">
        <v>98</v>
      </c>
      <c r="J108" s="14">
        <v>2.7999999999999901</v>
      </c>
      <c r="K108" s="14">
        <v>1.31</v>
      </c>
      <c r="L108" s="14">
        <v>0.53</v>
      </c>
      <c r="M108" s="14">
        <v>2.7</v>
      </c>
      <c r="N108" s="14">
        <v>13</v>
      </c>
      <c r="O108" s="14">
        <v>0.56999999999999895</v>
      </c>
      <c r="P108" s="14">
        <v>1.96</v>
      </c>
      <c r="Q108">
        <v>660</v>
      </c>
    </row>
    <row r="109" spans="3:17" x14ac:dyDescent="0.25">
      <c r="C109" s="15" t="s">
        <v>234</v>
      </c>
      <c r="D109" s="14" t="s">
        <v>15</v>
      </c>
      <c r="E109" s="14">
        <v>12.3599999999999</v>
      </c>
      <c r="F109" s="14">
        <v>3.83</v>
      </c>
      <c r="G109" s="14">
        <v>2.3799999999999901</v>
      </c>
      <c r="H109" s="14">
        <v>21</v>
      </c>
      <c r="I109" s="14">
        <v>88</v>
      </c>
      <c r="J109" s="14">
        <v>2.2999999999999901</v>
      </c>
      <c r="K109" s="14">
        <v>0.92</v>
      </c>
      <c r="L109" s="14">
        <v>0.5</v>
      </c>
      <c r="M109" s="14">
        <v>1.04</v>
      </c>
      <c r="N109" s="14">
        <v>7.65</v>
      </c>
      <c r="O109" s="14">
        <v>0.56000000000000005</v>
      </c>
      <c r="P109" s="14">
        <v>1.58</v>
      </c>
      <c r="Q109">
        <v>520</v>
      </c>
    </row>
    <row r="110" spans="3:17" x14ac:dyDescent="0.25">
      <c r="C110" s="15" t="s">
        <v>237</v>
      </c>
      <c r="D110" s="14" t="s">
        <v>15</v>
      </c>
      <c r="E110" s="14">
        <v>12.96</v>
      </c>
      <c r="F110" s="14">
        <v>3.45</v>
      </c>
      <c r="G110" s="14">
        <v>2.35</v>
      </c>
      <c r="H110" s="14">
        <v>18.5</v>
      </c>
      <c r="I110" s="14">
        <v>106</v>
      </c>
      <c r="J110" s="14">
        <v>1.3899999999999899</v>
      </c>
      <c r="K110" s="14">
        <v>0.69999999999999896</v>
      </c>
      <c r="L110" s="14">
        <v>0.4</v>
      </c>
      <c r="M110" s="14">
        <v>0.93999999999999895</v>
      </c>
      <c r="N110" s="14">
        <v>5.28</v>
      </c>
      <c r="O110" s="14">
        <v>0.68</v>
      </c>
      <c r="P110" s="14">
        <v>1.75</v>
      </c>
      <c r="Q110">
        <v>675</v>
      </c>
    </row>
    <row r="111" spans="3:17" x14ac:dyDescent="0.25">
      <c r="C111" s="15" t="s">
        <v>239</v>
      </c>
      <c r="D111" s="14" t="s">
        <v>15</v>
      </c>
      <c r="E111" s="14">
        <v>13.73</v>
      </c>
      <c r="F111" s="14">
        <v>4.3600000000000003</v>
      </c>
      <c r="G111" s="14">
        <v>2.25999999999999</v>
      </c>
      <c r="H111" s="14">
        <v>22.5</v>
      </c>
      <c r="I111" s="14">
        <v>88</v>
      </c>
      <c r="J111" s="14">
        <v>1.28</v>
      </c>
      <c r="K111" s="14">
        <v>0.46999999999999897</v>
      </c>
      <c r="L111" s="14">
        <v>0.52</v>
      </c>
      <c r="M111" s="14">
        <v>1.1499999999999899</v>
      </c>
      <c r="N111" s="14">
        <v>6.62</v>
      </c>
      <c r="O111" s="14">
        <v>0.78</v>
      </c>
      <c r="P111" s="14">
        <v>1.75</v>
      </c>
      <c r="Q111">
        <v>520</v>
      </c>
    </row>
    <row r="112" spans="3:17" x14ac:dyDescent="0.25">
      <c r="C112" s="15" t="s">
        <v>240</v>
      </c>
      <c r="D112" s="14" t="s">
        <v>15</v>
      </c>
      <c r="E112" s="14">
        <v>13.4499999999999</v>
      </c>
      <c r="F112" s="14">
        <v>3.7</v>
      </c>
      <c r="G112" s="14">
        <v>2.6</v>
      </c>
      <c r="H112" s="14">
        <v>23</v>
      </c>
      <c r="I112" s="14">
        <v>111</v>
      </c>
      <c r="J112" s="14">
        <v>1.7</v>
      </c>
      <c r="K112" s="14">
        <v>0.92</v>
      </c>
      <c r="L112" s="14">
        <v>0.42999999999999899</v>
      </c>
      <c r="M112" s="14">
        <v>1.46</v>
      </c>
      <c r="N112" s="14">
        <v>10.68</v>
      </c>
      <c r="O112" s="14">
        <v>0.84999999999999898</v>
      </c>
      <c r="P112" s="14">
        <v>1.56</v>
      </c>
      <c r="Q112">
        <v>695</v>
      </c>
    </row>
    <row r="113" spans="3:17" x14ac:dyDescent="0.25">
      <c r="C113" s="15" t="s">
        <v>242</v>
      </c>
      <c r="D113" s="14" t="s">
        <v>15</v>
      </c>
      <c r="E113" s="14">
        <v>13.58</v>
      </c>
      <c r="F113" s="14">
        <v>2.58</v>
      </c>
      <c r="G113" s="14">
        <v>2.6899999999999902</v>
      </c>
      <c r="H113" s="14">
        <v>24.5</v>
      </c>
      <c r="I113" s="14">
        <v>105</v>
      </c>
      <c r="J113" s="14">
        <v>1.55</v>
      </c>
      <c r="K113" s="14">
        <v>0.83999999999999897</v>
      </c>
      <c r="L113" s="14">
        <v>0.39</v>
      </c>
      <c r="M113" s="14">
        <v>1.54</v>
      </c>
      <c r="N113" s="14">
        <v>8.66</v>
      </c>
      <c r="O113" s="14">
        <v>0.73999999999999899</v>
      </c>
      <c r="P113" s="14">
        <v>1.8</v>
      </c>
      <c r="Q113">
        <v>750</v>
      </c>
    </row>
    <row r="114" spans="3:17" x14ac:dyDescent="0.25">
      <c r="C114" s="15" t="s">
        <v>244</v>
      </c>
      <c r="D114" s="14" t="s">
        <v>15</v>
      </c>
      <c r="E114" s="14">
        <v>12.1999999999999</v>
      </c>
      <c r="F114" s="14">
        <v>3.02999999999999</v>
      </c>
      <c r="G114" s="14">
        <v>2.3199999999999901</v>
      </c>
      <c r="H114" s="14">
        <v>19</v>
      </c>
      <c r="I114" s="14">
        <v>96</v>
      </c>
      <c r="J114" s="14">
        <v>1.25</v>
      </c>
      <c r="K114" s="14">
        <v>0.48999999999999899</v>
      </c>
      <c r="L114" s="14">
        <v>0.4</v>
      </c>
      <c r="M114" s="14">
        <v>0.72999999999999898</v>
      </c>
      <c r="N114" s="14">
        <v>5.5</v>
      </c>
      <c r="O114" s="14">
        <v>0.66</v>
      </c>
      <c r="P114" s="14">
        <v>1.83</v>
      </c>
      <c r="Q114">
        <v>510</v>
      </c>
    </row>
    <row r="115" spans="3:17" x14ac:dyDescent="0.25">
      <c r="C115" s="15" t="s">
        <v>247</v>
      </c>
      <c r="D115" s="14" t="s">
        <v>15</v>
      </c>
      <c r="E115" s="14">
        <v>13.71</v>
      </c>
      <c r="F115" s="14">
        <v>5.65</v>
      </c>
      <c r="G115" s="14">
        <v>2.4500000000000002</v>
      </c>
      <c r="H115" s="14">
        <v>20.5</v>
      </c>
      <c r="I115" s="14">
        <v>95</v>
      </c>
      <c r="J115" s="14">
        <v>1.6799999999999899</v>
      </c>
      <c r="K115" s="14">
        <v>0.60999999999999899</v>
      </c>
      <c r="L115" s="14">
        <v>0.52</v>
      </c>
      <c r="M115" s="14">
        <v>1.06</v>
      </c>
      <c r="N115" s="14">
        <v>7.7</v>
      </c>
      <c r="O115" s="14">
        <v>0.64</v>
      </c>
      <c r="P115" s="14">
        <v>1.74</v>
      </c>
      <c r="Q115">
        <v>740</v>
      </c>
    </row>
    <row r="116" spans="3:17" x14ac:dyDescent="0.25">
      <c r="C116" s="15" t="s">
        <v>252</v>
      </c>
      <c r="D116" s="14" t="s">
        <v>13</v>
      </c>
      <c r="E116" s="14">
        <v>12.85</v>
      </c>
      <c r="F116" s="14">
        <v>1.6</v>
      </c>
      <c r="G116" s="14">
        <v>2.52</v>
      </c>
      <c r="H116" s="14">
        <v>17.8</v>
      </c>
      <c r="I116" s="14">
        <v>95</v>
      </c>
      <c r="J116" s="14">
        <v>2.48</v>
      </c>
      <c r="K116" s="14">
        <v>2.37</v>
      </c>
      <c r="L116" s="14">
        <v>0.26</v>
      </c>
      <c r="M116" s="14">
        <v>1.46</v>
      </c>
      <c r="N116" s="14">
        <v>3.93</v>
      </c>
      <c r="O116" s="14">
        <v>1.0900000000000001</v>
      </c>
      <c r="P116" s="14">
        <v>3.6299999999999901</v>
      </c>
      <c r="Q116">
        <v>1015</v>
      </c>
    </row>
    <row r="117" spans="3:17" x14ac:dyDescent="0.25">
      <c r="C117" s="15" t="s">
        <v>254</v>
      </c>
      <c r="D117" s="14" t="s">
        <v>13</v>
      </c>
      <c r="E117" s="14">
        <v>13.05</v>
      </c>
      <c r="F117" s="14">
        <v>2.0499999999999901</v>
      </c>
      <c r="G117" s="14">
        <v>3.22</v>
      </c>
      <c r="H117" s="14">
        <v>25</v>
      </c>
      <c r="I117" s="14">
        <v>124</v>
      </c>
      <c r="J117" s="14">
        <v>2.6299999999999901</v>
      </c>
      <c r="K117" s="14">
        <v>2.68</v>
      </c>
      <c r="L117" s="14">
        <v>0.46999999999999897</v>
      </c>
      <c r="M117" s="14">
        <v>1.9199999999999899</v>
      </c>
      <c r="N117" s="14">
        <v>3.58</v>
      </c>
      <c r="O117" s="14">
        <v>1.1299999999999899</v>
      </c>
      <c r="P117" s="14">
        <v>3.2</v>
      </c>
      <c r="Q117">
        <v>830</v>
      </c>
    </row>
    <row r="118" spans="3:17" x14ac:dyDescent="0.25">
      <c r="C118" s="15" t="s">
        <v>255</v>
      </c>
      <c r="D118" s="14" t="s">
        <v>13</v>
      </c>
      <c r="E118" s="14">
        <v>13.39</v>
      </c>
      <c r="F118" s="14">
        <v>1.77</v>
      </c>
      <c r="G118" s="14">
        <v>2.62</v>
      </c>
      <c r="H118" s="14">
        <v>16.100000000000001</v>
      </c>
      <c r="I118" s="14">
        <v>93</v>
      </c>
      <c r="J118" s="14">
        <v>2.85</v>
      </c>
      <c r="K118" s="14">
        <v>2.9399999999999902</v>
      </c>
      <c r="L118" s="14">
        <v>0.34</v>
      </c>
      <c r="M118" s="14">
        <v>1.45</v>
      </c>
      <c r="N118" s="14">
        <v>4.7999999999999901</v>
      </c>
      <c r="O118" s="14">
        <v>0.92</v>
      </c>
      <c r="P118" s="14">
        <v>3.22</v>
      </c>
      <c r="Q118">
        <v>1195</v>
      </c>
    </row>
    <row r="119" spans="3:17" x14ac:dyDescent="0.25">
      <c r="C119" s="15" t="s">
        <v>258</v>
      </c>
      <c r="D119" s="14" t="s">
        <v>13</v>
      </c>
      <c r="E119" s="14">
        <v>14.02</v>
      </c>
      <c r="F119" s="14">
        <v>1.6799999999999899</v>
      </c>
      <c r="G119" s="14">
        <v>2.21</v>
      </c>
      <c r="H119" s="14">
        <v>16</v>
      </c>
      <c r="I119" s="14">
        <v>96</v>
      </c>
      <c r="J119" s="14">
        <v>2.6499999999999901</v>
      </c>
      <c r="K119" s="14">
        <v>2.33</v>
      </c>
      <c r="L119" s="14">
        <v>0.26</v>
      </c>
      <c r="M119" s="14">
        <v>1.98</v>
      </c>
      <c r="N119" s="14">
        <v>4.7</v>
      </c>
      <c r="O119" s="14">
        <v>1.04</v>
      </c>
      <c r="P119" s="14">
        <v>3.5899999999999901</v>
      </c>
      <c r="Q119">
        <v>1035</v>
      </c>
    </row>
    <row r="120" spans="3:17" x14ac:dyDescent="0.25">
      <c r="C120" s="15" t="s">
        <v>260</v>
      </c>
      <c r="D120" s="14" t="s">
        <v>13</v>
      </c>
      <c r="E120" s="14">
        <v>13.58</v>
      </c>
      <c r="F120" s="14">
        <v>1.6599999999999899</v>
      </c>
      <c r="G120" s="14">
        <v>2.3599999999999901</v>
      </c>
      <c r="H120" s="14">
        <v>19.100000000000001</v>
      </c>
      <c r="I120" s="14">
        <v>106</v>
      </c>
      <c r="J120" s="14">
        <v>2.8599999999999901</v>
      </c>
      <c r="K120" s="14">
        <v>3.1899999999999902</v>
      </c>
      <c r="L120" s="14">
        <v>0.22</v>
      </c>
      <c r="M120" s="14">
        <v>1.95</v>
      </c>
      <c r="N120" s="14">
        <v>6.9</v>
      </c>
      <c r="O120" s="14">
        <v>1.0900000000000001</v>
      </c>
      <c r="P120" s="14">
        <v>2.8799999999999901</v>
      </c>
      <c r="Q120">
        <v>1515</v>
      </c>
    </row>
    <row r="121" spans="3:17" x14ac:dyDescent="0.25">
      <c r="C121" s="15" t="s">
        <v>261</v>
      </c>
      <c r="D121" s="14" t="s">
        <v>13</v>
      </c>
      <c r="E121" s="14">
        <v>13.68</v>
      </c>
      <c r="F121" s="14">
        <v>1.83</v>
      </c>
      <c r="G121" s="14">
        <v>2.3599999999999901</v>
      </c>
      <c r="H121" s="14">
        <v>17.1999999999999</v>
      </c>
      <c r="I121" s="14">
        <v>104</v>
      </c>
      <c r="J121" s="14">
        <v>2.4199999999999902</v>
      </c>
      <c r="K121" s="14">
        <v>2.6899999999999902</v>
      </c>
      <c r="L121" s="14">
        <v>0.41999999999999899</v>
      </c>
      <c r="M121" s="14">
        <v>1.97</v>
      </c>
      <c r="N121" s="14">
        <v>3.8399999999999901</v>
      </c>
      <c r="O121" s="14">
        <v>1.23</v>
      </c>
      <c r="P121" s="14">
        <v>2.87</v>
      </c>
      <c r="Q121">
        <v>990</v>
      </c>
    </row>
    <row r="122" spans="3:17" x14ac:dyDescent="0.25">
      <c r="C122" s="15" t="s">
        <v>262</v>
      </c>
      <c r="D122" s="14" t="s">
        <v>13</v>
      </c>
      <c r="E122" s="14">
        <v>13.76</v>
      </c>
      <c r="F122" s="14">
        <v>1.53</v>
      </c>
      <c r="G122" s="14">
        <v>2.7</v>
      </c>
      <c r="H122" s="14">
        <v>19.5</v>
      </c>
      <c r="I122" s="14">
        <v>132</v>
      </c>
      <c r="J122" s="14">
        <v>2.95</v>
      </c>
      <c r="K122" s="14">
        <v>2.74</v>
      </c>
      <c r="L122" s="14">
        <v>0.5</v>
      </c>
      <c r="M122" s="14">
        <v>1.35</v>
      </c>
      <c r="N122" s="14">
        <v>5.4</v>
      </c>
      <c r="O122" s="14">
        <v>1.25</v>
      </c>
      <c r="P122" s="14">
        <v>3</v>
      </c>
      <c r="Q122">
        <v>1235</v>
      </c>
    </row>
    <row r="123" spans="3:17" x14ac:dyDescent="0.25">
      <c r="C123" s="15" t="s">
        <v>263</v>
      </c>
      <c r="D123" s="14" t="s">
        <v>13</v>
      </c>
      <c r="E123" s="14">
        <v>13.51</v>
      </c>
      <c r="F123" s="14">
        <v>1.8</v>
      </c>
      <c r="G123" s="14">
        <v>2.6499999999999901</v>
      </c>
      <c r="H123" s="14">
        <v>19</v>
      </c>
      <c r="I123" s="14">
        <v>110</v>
      </c>
      <c r="J123" s="14">
        <v>2.35</v>
      </c>
      <c r="K123" s="14">
        <v>2.52999999999999</v>
      </c>
      <c r="L123" s="14">
        <v>0.28999999999999898</v>
      </c>
      <c r="M123" s="14">
        <v>1.54</v>
      </c>
      <c r="N123" s="14">
        <v>4.2</v>
      </c>
      <c r="O123" s="14">
        <v>1.1000000000000001</v>
      </c>
      <c r="P123" s="14">
        <v>2.87</v>
      </c>
      <c r="Q123">
        <v>1095</v>
      </c>
    </row>
    <row r="124" spans="3:17" x14ac:dyDescent="0.25">
      <c r="C124" s="15" t="s">
        <v>265</v>
      </c>
      <c r="D124" s="14" t="s">
        <v>13</v>
      </c>
      <c r="E124" s="14">
        <v>13.2799999999999</v>
      </c>
      <c r="F124" s="14">
        <v>1.6399999999999899</v>
      </c>
      <c r="G124" s="14">
        <v>2.8399999999999901</v>
      </c>
      <c r="H124" s="14">
        <v>15.5</v>
      </c>
      <c r="I124" s="14">
        <v>110</v>
      </c>
      <c r="J124" s="14">
        <v>2.6</v>
      </c>
      <c r="K124" s="14">
        <v>2.68</v>
      </c>
      <c r="L124" s="14">
        <v>0.34</v>
      </c>
      <c r="M124" s="14">
        <v>1.36</v>
      </c>
      <c r="N124" s="14">
        <v>4.5999999999999899</v>
      </c>
      <c r="O124" s="14">
        <v>1.0900000000000001</v>
      </c>
      <c r="P124" s="14">
        <v>2.77999999999999</v>
      </c>
      <c r="Q124">
        <v>880</v>
      </c>
    </row>
    <row r="125" spans="3:17" x14ac:dyDescent="0.25">
      <c r="C125" s="15" t="s">
        <v>266</v>
      </c>
      <c r="D125" s="14" t="s">
        <v>13</v>
      </c>
      <c r="E125" s="14">
        <v>13.05</v>
      </c>
      <c r="F125" s="14">
        <v>1.6499999999999899</v>
      </c>
      <c r="G125" s="14">
        <v>2.5499999999999901</v>
      </c>
      <c r="H125" s="14">
        <v>18</v>
      </c>
      <c r="I125" s="14">
        <v>98</v>
      </c>
      <c r="J125" s="14">
        <v>2.4500000000000002</v>
      </c>
      <c r="K125" s="14">
        <v>2.4300000000000002</v>
      </c>
      <c r="L125" s="14">
        <v>0.28999999999999898</v>
      </c>
      <c r="M125" s="14">
        <v>1.43999999999999</v>
      </c>
      <c r="N125" s="14">
        <v>4.25</v>
      </c>
      <c r="O125" s="14">
        <v>1.1200000000000001</v>
      </c>
      <c r="P125" s="14">
        <v>2.50999999999999</v>
      </c>
      <c r="Q125">
        <v>1105</v>
      </c>
    </row>
    <row r="126" spans="3:17" x14ac:dyDescent="0.25">
      <c r="C126" s="15" t="s">
        <v>269</v>
      </c>
      <c r="D126" s="14" t="s">
        <v>13</v>
      </c>
      <c r="E126" s="14">
        <v>13.56</v>
      </c>
      <c r="F126" s="14">
        <v>1.71</v>
      </c>
      <c r="G126" s="14">
        <v>2.31</v>
      </c>
      <c r="H126" s="14">
        <v>16.1999999999999</v>
      </c>
      <c r="I126" s="14">
        <v>117</v>
      </c>
      <c r="J126" s="14">
        <v>3.1499999999999901</v>
      </c>
      <c r="K126" s="14">
        <v>3.29</v>
      </c>
      <c r="L126" s="14">
        <v>0.34</v>
      </c>
      <c r="M126" s="14">
        <v>2.3399999999999901</v>
      </c>
      <c r="N126" s="14">
        <v>6.1299999999999901</v>
      </c>
      <c r="O126" s="14">
        <v>0.94999999999999896</v>
      </c>
      <c r="P126" s="14">
        <v>3.3799999999999901</v>
      </c>
      <c r="Q126">
        <v>795</v>
      </c>
    </row>
    <row r="127" spans="3:17" x14ac:dyDescent="0.25">
      <c r="C127" s="15" t="s">
        <v>273</v>
      </c>
      <c r="D127" s="14" t="s">
        <v>13</v>
      </c>
      <c r="E127" s="14">
        <v>13.05</v>
      </c>
      <c r="F127" s="14">
        <v>1.77</v>
      </c>
      <c r="G127" s="14">
        <v>2.1</v>
      </c>
      <c r="H127" s="14">
        <v>17</v>
      </c>
      <c r="I127" s="14">
        <v>107</v>
      </c>
      <c r="J127" s="14">
        <v>3</v>
      </c>
      <c r="K127" s="14">
        <v>3</v>
      </c>
      <c r="L127" s="14">
        <v>0.28000000000000003</v>
      </c>
      <c r="M127" s="14">
        <v>2.02999999999999</v>
      </c>
      <c r="N127" s="14">
        <v>5.04</v>
      </c>
      <c r="O127" s="14">
        <v>0.88</v>
      </c>
      <c r="P127" s="14">
        <v>3.35</v>
      </c>
      <c r="Q127">
        <v>885</v>
      </c>
    </row>
    <row r="128" spans="3:17" x14ac:dyDescent="0.25">
      <c r="C128" s="15" t="s">
        <v>274</v>
      </c>
      <c r="D128" s="14" t="s">
        <v>13</v>
      </c>
      <c r="E128" s="14">
        <v>14.21</v>
      </c>
      <c r="F128" s="14">
        <v>4.04</v>
      </c>
      <c r="G128" s="14">
        <v>2.4399999999999902</v>
      </c>
      <c r="H128" s="14">
        <v>18.899999999999899</v>
      </c>
      <c r="I128" s="14">
        <v>111</v>
      </c>
      <c r="J128" s="14">
        <v>2.85</v>
      </c>
      <c r="K128" s="14">
        <v>2.6499999999999901</v>
      </c>
      <c r="L128" s="14">
        <v>0.29999999999999899</v>
      </c>
      <c r="M128" s="14">
        <v>1.25</v>
      </c>
      <c r="N128" s="14">
        <v>5.24</v>
      </c>
      <c r="O128" s="14">
        <v>0.87</v>
      </c>
      <c r="P128" s="14">
        <v>3.33</v>
      </c>
      <c r="Q128">
        <v>1080</v>
      </c>
    </row>
    <row r="129" spans="3:17" x14ac:dyDescent="0.25">
      <c r="C129" s="15" t="s">
        <v>275</v>
      </c>
      <c r="D129" s="14" t="s">
        <v>13</v>
      </c>
      <c r="E129" s="14">
        <v>14.38</v>
      </c>
      <c r="F129" s="14">
        <v>3.5899999999999901</v>
      </c>
      <c r="G129" s="14">
        <v>2.27999999999999</v>
      </c>
      <c r="H129" s="14">
        <v>16</v>
      </c>
      <c r="I129" s="14">
        <v>102</v>
      </c>
      <c r="J129" s="14">
        <v>3.25</v>
      </c>
      <c r="K129" s="14">
        <v>3.1699999999999902</v>
      </c>
      <c r="L129" s="14">
        <v>0.27</v>
      </c>
      <c r="M129" s="14">
        <v>2.1899999999999902</v>
      </c>
      <c r="N129" s="14">
        <v>4.9000000000000004</v>
      </c>
      <c r="O129" s="14">
        <v>1.04</v>
      </c>
      <c r="P129" s="14">
        <v>3.4399999999999902</v>
      </c>
      <c r="Q129">
        <v>1065</v>
      </c>
    </row>
    <row r="130" spans="3:17" x14ac:dyDescent="0.25">
      <c r="C130" s="15" t="s">
        <v>278</v>
      </c>
      <c r="D130" s="14" t="s">
        <v>13</v>
      </c>
      <c r="E130" s="14">
        <v>13.94</v>
      </c>
      <c r="F130" s="14">
        <v>1.73</v>
      </c>
      <c r="G130" s="14">
        <v>2.27</v>
      </c>
      <c r="H130" s="14">
        <v>17.399999999999899</v>
      </c>
      <c r="I130" s="14">
        <v>108</v>
      </c>
      <c r="J130" s="14">
        <v>2.8799999999999901</v>
      </c>
      <c r="K130" s="14">
        <v>3.54</v>
      </c>
      <c r="L130" s="14">
        <v>0.32</v>
      </c>
      <c r="M130" s="14">
        <v>2.08</v>
      </c>
      <c r="N130" s="14">
        <v>8.9</v>
      </c>
      <c r="O130" s="14">
        <v>1.1200000000000001</v>
      </c>
      <c r="P130" s="14">
        <v>3.1</v>
      </c>
      <c r="Q130">
        <v>1260</v>
      </c>
    </row>
    <row r="131" spans="3:17" x14ac:dyDescent="0.25">
      <c r="C131" s="15" t="s">
        <v>282</v>
      </c>
      <c r="D131" s="14" t="s">
        <v>13</v>
      </c>
      <c r="E131" s="14">
        <v>13.77</v>
      </c>
      <c r="F131" s="14">
        <v>1.8999999999999899</v>
      </c>
      <c r="G131" s="14">
        <v>2.68</v>
      </c>
      <c r="H131" s="14">
        <v>17.100000000000001</v>
      </c>
      <c r="I131" s="14">
        <v>115</v>
      </c>
      <c r="J131" s="14">
        <v>3</v>
      </c>
      <c r="K131" s="14">
        <v>2.79</v>
      </c>
      <c r="L131" s="14">
        <v>0.39</v>
      </c>
      <c r="M131" s="14">
        <v>1.6799999999999899</v>
      </c>
      <c r="N131" s="14">
        <v>6.2999999999999901</v>
      </c>
      <c r="O131" s="14">
        <v>1.1299999999999899</v>
      </c>
      <c r="P131" s="14">
        <v>2.93</v>
      </c>
      <c r="Q131">
        <v>1375</v>
      </c>
    </row>
    <row r="132" spans="3:17" x14ac:dyDescent="0.25">
      <c r="C132" s="15" t="s">
        <v>283</v>
      </c>
      <c r="D132" s="14" t="s">
        <v>13</v>
      </c>
      <c r="E132" s="14">
        <v>13.74</v>
      </c>
      <c r="F132" s="14">
        <v>1.6699999999999899</v>
      </c>
      <c r="G132" s="14">
        <v>2.25</v>
      </c>
      <c r="H132" s="14">
        <v>16.399999999999899</v>
      </c>
      <c r="I132" s="14">
        <v>118</v>
      </c>
      <c r="J132" s="14">
        <v>2.6</v>
      </c>
      <c r="K132" s="14">
        <v>2.8999999999999901</v>
      </c>
      <c r="L132" s="14">
        <v>0.20999999999999899</v>
      </c>
      <c r="M132" s="14">
        <v>1.62</v>
      </c>
      <c r="N132" s="14">
        <v>5.8499999999999899</v>
      </c>
      <c r="O132" s="14">
        <v>0.92</v>
      </c>
      <c r="P132" s="14">
        <v>3.2</v>
      </c>
      <c r="Q132">
        <v>1060</v>
      </c>
    </row>
    <row r="133" spans="3:17" x14ac:dyDescent="0.25">
      <c r="C133" s="15" t="s">
        <v>284</v>
      </c>
      <c r="D133" s="14" t="s">
        <v>13</v>
      </c>
      <c r="E133" s="14">
        <v>13.56</v>
      </c>
      <c r="F133" s="14">
        <v>1.73</v>
      </c>
      <c r="G133" s="14">
        <v>2.46</v>
      </c>
      <c r="H133" s="14">
        <v>20.5</v>
      </c>
      <c r="I133" s="14">
        <v>116</v>
      </c>
      <c r="J133" s="14">
        <v>2.96</v>
      </c>
      <c r="K133" s="14">
        <v>2.77999999999999</v>
      </c>
      <c r="L133" s="14">
        <v>0.2</v>
      </c>
      <c r="M133" s="14">
        <v>2.4500000000000002</v>
      </c>
      <c r="N133" s="14">
        <v>6.25</v>
      </c>
      <c r="O133" s="14">
        <v>0.97999999999999898</v>
      </c>
      <c r="P133" s="14">
        <v>3.02999999999999</v>
      </c>
      <c r="Q133">
        <v>1120</v>
      </c>
    </row>
    <row r="134" spans="3:17" x14ac:dyDescent="0.25">
      <c r="C134" s="15" t="s">
        <v>285</v>
      </c>
      <c r="D134" s="14" t="s">
        <v>13</v>
      </c>
      <c r="E134" s="14">
        <v>14.22</v>
      </c>
      <c r="F134" s="14">
        <v>1.7</v>
      </c>
      <c r="G134" s="14">
        <v>2.2999999999999901</v>
      </c>
      <c r="H134" s="14">
        <v>16.3</v>
      </c>
      <c r="I134" s="14">
        <v>118</v>
      </c>
      <c r="J134" s="14">
        <v>3.2</v>
      </c>
      <c r="K134" s="14">
        <v>3</v>
      </c>
      <c r="L134" s="14">
        <v>0.26</v>
      </c>
      <c r="M134" s="14">
        <v>2.02999999999999</v>
      </c>
      <c r="N134" s="14">
        <v>6.3799999999999901</v>
      </c>
      <c r="O134" s="14">
        <v>0.93999999999999895</v>
      </c>
      <c r="P134" s="14">
        <v>3.31</v>
      </c>
      <c r="Q134">
        <v>970</v>
      </c>
    </row>
    <row r="135" spans="3:17" x14ac:dyDescent="0.25">
      <c r="C135" s="15" t="s">
        <v>288</v>
      </c>
      <c r="D135" s="14" t="s">
        <v>14</v>
      </c>
      <c r="E135" s="14">
        <v>12.3699999999999</v>
      </c>
      <c r="F135" s="14">
        <v>0.93999999999999895</v>
      </c>
      <c r="G135" s="14">
        <v>1.36</v>
      </c>
      <c r="H135" s="14">
        <v>10.6</v>
      </c>
      <c r="I135" s="14">
        <v>88</v>
      </c>
      <c r="J135" s="14">
        <v>1.98</v>
      </c>
      <c r="K135" s="14">
        <v>0.56999999999999895</v>
      </c>
      <c r="L135" s="14">
        <v>0.28000000000000003</v>
      </c>
      <c r="M135" s="14">
        <v>0.41999999999999899</v>
      </c>
      <c r="N135" s="14">
        <v>1.95</v>
      </c>
      <c r="O135" s="14">
        <v>1.05</v>
      </c>
      <c r="P135" s="14">
        <v>1.82</v>
      </c>
      <c r="Q135">
        <v>520</v>
      </c>
    </row>
    <row r="136" spans="3:17" x14ac:dyDescent="0.25">
      <c r="C136" s="15" t="s">
        <v>290</v>
      </c>
      <c r="D136" s="14" t="s">
        <v>14</v>
      </c>
      <c r="E136" s="14">
        <v>12.64</v>
      </c>
      <c r="F136" s="14">
        <v>1.36</v>
      </c>
      <c r="G136" s="14">
        <v>2.02</v>
      </c>
      <c r="H136" s="14">
        <v>16.8</v>
      </c>
      <c r="I136" s="14">
        <v>100</v>
      </c>
      <c r="J136" s="14">
        <v>2.02</v>
      </c>
      <c r="K136" s="14">
        <v>1.4099999999999899</v>
      </c>
      <c r="L136" s="14">
        <v>0.53</v>
      </c>
      <c r="M136" s="14">
        <v>0.62</v>
      </c>
      <c r="N136" s="14">
        <v>5.75</v>
      </c>
      <c r="O136" s="14">
        <v>0.97999999999999898</v>
      </c>
      <c r="P136" s="14">
        <v>1.59</v>
      </c>
      <c r="Q136">
        <v>450</v>
      </c>
    </row>
    <row r="137" spans="3:17" x14ac:dyDescent="0.25">
      <c r="C137" s="15" t="s">
        <v>292</v>
      </c>
      <c r="D137" s="14" t="s">
        <v>14</v>
      </c>
      <c r="E137" s="14">
        <v>12.3699999999999</v>
      </c>
      <c r="F137" s="14">
        <v>1.1299999999999899</v>
      </c>
      <c r="G137" s="14">
        <v>2.16</v>
      </c>
      <c r="H137" s="14">
        <v>19</v>
      </c>
      <c r="I137" s="14">
        <v>87</v>
      </c>
      <c r="J137" s="14">
        <v>3.5</v>
      </c>
      <c r="K137" s="14">
        <v>3.1</v>
      </c>
      <c r="L137" s="14">
        <v>0.19</v>
      </c>
      <c r="M137" s="14">
        <v>1.87</v>
      </c>
      <c r="N137" s="14">
        <v>4.45</v>
      </c>
      <c r="O137" s="14">
        <v>1.22</v>
      </c>
      <c r="P137" s="14">
        <v>2.87</v>
      </c>
      <c r="Q137">
        <v>420</v>
      </c>
    </row>
    <row r="138" spans="3:17" x14ac:dyDescent="0.25">
      <c r="C138" s="15" t="s">
        <v>293</v>
      </c>
      <c r="D138" s="14" t="s">
        <v>14</v>
      </c>
      <c r="E138" s="14">
        <v>12.17</v>
      </c>
      <c r="F138" s="14">
        <v>1.45</v>
      </c>
      <c r="G138" s="14">
        <v>2.52999999999999</v>
      </c>
      <c r="H138" s="14">
        <v>19</v>
      </c>
      <c r="I138" s="14">
        <v>104</v>
      </c>
      <c r="J138" s="14">
        <v>1.8899999999999899</v>
      </c>
      <c r="K138" s="14">
        <v>1.75</v>
      </c>
      <c r="L138" s="14">
        <v>0.45</v>
      </c>
      <c r="M138" s="14">
        <v>1.03</v>
      </c>
      <c r="N138" s="14">
        <v>2.95</v>
      </c>
      <c r="O138" s="14">
        <v>1.45</v>
      </c>
      <c r="P138" s="14">
        <v>2.23</v>
      </c>
      <c r="Q138">
        <v>355</v>
      </c>
    </row>
    <row r="139" spans="3:17" x14ac:dyDescent="0.25">
      <c r="C139" s="15" t="s">
        <v>303</v>
      </c>
      <c r="D139" s="14" t="s">
        <v>14</v>
      </c>
      <c r="E139" s="14">
        <v>11.96</v>
      </c>
      <c r="F139" s="14">
        <v>1.0900000000000001</v>
      </c>
      <c r="G139" s="14">
        <v>2.2999999999999901</v>
      </c>
      <c r="H139" s="14">
        <v>21</v>
      </c>
      <c r="I139" s="14">
        <v>101</v>
      </c>
      <c r="J139" s="14">
        <v>3.3799999999999901</v>
      </c>
      <c r="K139" s="14">
        <v>2.14</v>
      </c>
      <c r="L139" s="14">
        <v>0.13</v>
      </c>
      <c r="M139" s="14">
        <v>1.6499999999999899</v>
      </c>
      <c r="N139" s="14">
        <v>3.21</v>
      </c>
      <c r="O139" s="14">
        <v>0.98999999999999899</v>
      </c>
      <c r="P139" s="14">
        <v>3.1299999999999901</v>
      </c>
      <c r="Q139">
        <v>886</v>
      </c>
    </row>
    <row r="140" spans="3:17" x14ac:dyDescent="0.25">
      <c r="C140" s="15" t="s">
        <v>305</v>
      </c>
      <c r="D140" s="14" t="s">
        <v>14</v>
      </c>
      <c r="E140" s="14">
        <v>13.0299999999999</v>
      </c>
      <c r="F140" s="14">
        <v>0.9</v>
      </c>
      <c r="G140" s="14">
        <v>1.71</v>
      </c>
      <c r="H140" s="14">
        <v>16</v>
      </c>
      <c r="I140" s="14">
        <v>86</v>
      </c>
      <c r="J140" s="14">
        <v>1.95</v>
      </c>
      <c r="K140" s="14">
        <v>2.02999999999999</v>
      </c>
      <c r="L140" s="14">
        <v>0.23999999999999899</v>
      </c>
      <c r="M140" s="14">
        <v>1.46</v>
      </c>
      <c r="N140" s="14">
        <v>4.5999999999999899</v>
      </c>
      <c r="O140" s="14">
        <v>1.18999999999999</v>
      </c>
      <c r="P140" s="14">
        <v>2.48</v>
      </c>
      <c r="Q140">
        <v>392</v>
      </c>
    </row>
    <row r="141" spans="3:17" x14ac:dyDescent="0.25">
      <c r="C141" s="15" t="s">
        <v>307</v>
      </c>
      <c r="D141" s="14" t="s">
        <v>14</v>
      </c>
      <c r="E141" s="14">
        <v>12.33</v>
      </c>
      <c r="F141" s="14">
        <v>0.98999999999999899</v>
      </c>
      <c r="G141" s="14">
        <v>1.95</v>
      </c>
      <c r="H141" s="14">
        <v>14.8</v>
      </c>
      <c r="I141" s="14">
        <v>136</v>
      </c>
      <c r="J141" s="14">
        <v>1.8999999999999899</v>
      </c>
      <c r="K141" s="14">
        <v>1.85</v>
      </c>
      <c r="L141" s="14">
        <v>0.34999999999999898</v>
      </c>
      <c r="M141" s="14">
        <v>2.75999999999999</v>
      </c>
      <c r="N141" s="14">
        <v>3.3999999999999901</v>
      </c>
      <c r="O141" s="14">
        <v>1.06</v>
      </c>
      <c r="P141" s="14">
        <v>2.31</v>
      </c>
      <c r="Q141">
        <v>750</v>
      </c>
    </row>
    <row r="142" spans="3:17" x14ac:dyDescent="0.25">
      <c r="C142" s="15" t="s">
        <v>312</v>
      </c>
      <c r="D142" s="14" t="s">
        <v>14</v>
      </c>
      <c r="E142" s="14">
        <v>13.05</v>
      </c>
      <c r="F142" s="14">
        <v>3.8599999999999901</v>
      </c>
      <c r="G142" s="14">
        <v>2.3199999999999901</v>
      </c>
      <c r="H142" s="14">
        <v>22.5</v>
      </c>
      <c r="I142" s="14">
        <v>85</v>
      </c>
      <c r="J142" s="14">
        <v>1.6499999999999899</v>
      </c>
      <c r="K142" s="14">
        <v>1.59</v>
      </c>
      <c r="L142" s="14">
        <v>0.60999999999999899</v>
      </c>
      <c r="M142" s="14">
        <v>1.62</v>
      </c>
      <c r="N142" s="14">
        <v>4.7999999999999901</v>
      </c>
      <c r="O142" s="14">
        <v>0.83999999999999897</v>
      </c>
      <c r="P142" s="14">
        <v>2.00999999999999</v>
      </c>
      <c r="Q142">
        <v>515</v>
      </c>
    </row>
    <row r="143" spans="3:17" x14ac:dyDescent="0.25">
      <c r="C143" s="15" t="s">
        <v>313</v>
      </c>
      <c r="D143" s="14" t="s">
        <v>14</v>
      </c>
      <c r="E143" s="14">
        <v>11.84</v>
      </c>
      <c r="F143" s="14">
        <v>0.89</v>
      </c>
      <c r="G143" s="14">
        <v>2.58</v>
      </c>
      <c r="H143" s="14">
        <v>18</v>
      </c>
      <c r="I143" s="14">
        <v>94</v>
      </c>
      <c r="J143" s="14">
        <v>2.2000000000000002</v>
      </c>
      <c r="K143" s="14">
        <v>2.21</v>
      </c>
      <c r="L143" s="14">
        <v>0.22</v>
      </c>
      <c r="M143" s="14">
        <v>2.35</v>
      </c>
      <c r="N143" s="14">
        <v>3.0499999999999901</v>
      </c>
      <c r="O143" s="14">
        <v>0.79</v>
      </c>
      <c r="P143" s="14">
        <v>3.08</v>
      </c>
      <c r="Q143">
        <v>520</v>
      </c>
    </row>
    <row r="144" spans="3:17" x14ac:dyDescent="0.25">
      <c r="C144" s="15" t="s">
        <v>314</v>
      </c>
      <c r="D144" s="14" t="s">
        <v>14</v>
      </c>
      <c r="E144" s="14">
        <v>12.67</v>
      </c>
      <c r="F144" s="14">
        <v>0.97999999999999898</v>
      </c>
      <c r="G144" s="14">
        <v>2.2400000000000002</v>
      </c>
      <c r="H144" s="14">
        <v>18</v>
      </c>
      <c r="I144" s="14">
        <v>99</v>
      </c>
      <c r="J144" s="14">
        <v>2.2000000000000002</v>
      </c>
      <c r="K144" s="14">
        <v>1.93999999999999</v>
      </c>
      <c r="L144" s="14">
        <v>0.29999999999999899</v>
      </c>
      <c r="M144" s="14">
        <v>1.46</v>
      </c>
      <c r="N144" s="14">
        <v>2.62</v>
      </c>
      <c r="O144" s="14">
        <v>1.23</v>
      </c>
      <c r="P144" s="14">
        <v>3.16</v>
      </c>
      <c r="Q144">
        <v>450</v>
      </c>
    </row>
    <row r="145" spans="3:17" x14ac:dyDescent="0.25">
      <c r="C145" s="15" t="s">
        <v>315</v>
      </c>
      <c r="D145" s="14" t="s">
        <v>14</v>
      </c>
      <c r="E145" s="14">
        <v>12.16</v>
      </c>
      <c r="F145" s="14">
        <v>1.61</v>
      </c>
      <c r="G145" s="14">
        <v>2.31</v>
      </c>
      <c r="H145" s="14">
        <v>22.8</v>
      </c>
      <c r="I145" s="14">
        <v>90</v>
      </c>
      <c r="J145" s="14">
        <v>1.78</v>
      </c>
      <c r="K145" s="14">
        <v>1.68999999999999</v>
      </c>
      <c r="L145" s="14">
        <v>0.42999999999999899</v>
      </c>
      <c r="M145" s="14">
        <v>1.56</v>
      </c>
      <c r="N145" s="14">
        <v>2.4500000000000002</v>
      </c>
      <c r="O145" s="14">
        <v>1.33</v>
      </c>
      <c r="P145" s="14">
        <v>2.25999999999999</v>
      </c>
      <c r="Q145">
        <v>495</v>
      </c>
    </row>
    <row r="146" spans="3:17" x14ac:dyDescent="0.25">
      <c r="C146" s="15" t="s">
        <v>317</v>
      </c>
      <c r="D146" s="14" t="s">
        <v>14</v>
      </c>
      <c r="E146" s="14">
        <v>11.64</v>
      </c>
      <c r="F146" s="14">
        <v>2.06</v>
      </c>
      <c r="G146" s="14">
        <v>2.46</v>
      </c>
      <c r="H146" s="14">
        <v>21.6</v>
      </c>
      <c r="I146" s="14">
        <v>84</v>
      </c>
      <c r="J146" s="14">
        <v>1.95</v>
      </c>
      <c r="K146" s="14">
        <v>1.68999999999999</v>
      </c>
      <c r="L146" s="14">
        <v>0.47999999999999898</v>
      </c>
      <c r="M146" s="14">
        <v>1.35</v>
      </c>
      <c r="N146" s="14">
        <v>2.7999999999999901</v>
      </c>
      <c r="O146" s="14">
        <v>1</v>
      </c>
      <c r="P146" s="14">
        <v>2.75</v>
      </c>
      <c r="Q146">
        <v>680</v>
      </c>
    </row>
    <row r="147" spans="3:17" x14ac:dyDescent="0.25">
      <c r="C147" s="15" t="s">
        <v>319</v>
      </c>
      <c r="D147" s="14" t="s">
        <v>14</v>
      </c>
      <c r="E147" s="14">
        <v>12.08</v>
      </c>
      <c r="F147" s="14">
        <v>1.83</v>
      </c>
      <c r="G147" s="14">
        <v>2.3199999999999901</v>
      </c>
      <c r="H147" s="14">
        <v>18.5</v>
      </c>
      <c r="I147" s="14">
        <v>81</v>
      </c>
      <c r="J147" s="14">
        <v>1.6</v>
      </c>
      <c r="K147" s="14">
        <v>1.5</v>
      </c>
      <c r="L147" s="14">
        <v>0.52</v>
      </c>
      <c r="M147" s="14">
        <v>1.6399999999999899</v>
      </c>
      <c r="N147" s="14">
        <v>2.3999999999999901</v>
      </c>
      <c r="O147" s="14">
        <v>1.08</v>
      </c>
      <c r="P147" s="14">
        <v>2.27</v>
      </c>
      <c r="Q147">
        <v>480</v>
      </c>
    </row>
    <row r="148" spans="3:17" x14ac:dyDescent="0.25">
      <c r="C148" s="15" t="s">
        <v>322</v>
      </c>
      <c r="D148" s="14" t="s">
        <v>14</v>
      </c>
      <c r="E148" s="14">
        <v>12.2899999999999</v>
      </c>
      <c r="F148" s="14">
        <v>2.83</v>
      </c>
      <c r="G148" s="14">
        <v>2.2200000000000002</v>
      </c>
      <c r="H148" s="14">
        <v>18</v>
      </c>
      <c r="I148" s="14">
        <v>88</v>
      </c>
      <c r="J148" s="14">
        <v>2.4500000000000002</v>
      </c>
      <c r="K148" s="14">
        <v>2.25</v>
      </c>
      <c r="L148" s="14">
        <v>0.25</v>
      </c>
      <c r="M148" s="14">
        <v>1.99</v>
      </c>
      <c r="N148" s="14">
        <v>2.1499999999999901</v>
      </c>
      <c r="O148" s="14">
        <v>1.1499999999999899</v>
      </c>
      <c r="P148" s="14">
        <v>3.2999999999999901</v>
      </c>
      <c r="Q148">
        <v>290</v>
      </c>
    </row>
    <row r="149" spans="3:17" x14ac:dyDescent="0.25">
      <c r="C149" s="15" t="s">
        <v>323</v>
      </c>
      <c r="D149" s="14" t="s">
        <v>14</v>
      </c>
      <c r="E149" s="14">
        <v>11.6199999999999</v>
      </c>
      <c r="F149" s="14">
        <v>1.99</v>
      </c>
      <c r="G149" s="14">
        <v>2.27999999999999</v>
      </c>
      <c r="H149" s="14">
        <v>18</v>
      </c>
      <c r="I149" s="14">
        <v>98</v>
      </c>
      <c r="J149" s="14">
        <v>3.02</v>
      </c>
      <c r="K149" s="14">
        <v>2.25999999999999</v>
      </c>
      <c r="L149" s="14">
        <v>0.17</v>
      </c>
      <c r="M149" s="14">
        <v>1.35</v>
      </c>
      <c r="N149" s="14">
        <v>3.25</v>
      </c>
      <c r="O149" s="14">
        <v>1.1599999999999899</v>
      </c>
      <c r="P149" s="14">
        <v>2.96</v>
      </c>
      <c r="Q149">
        <v>345</v>
      </c>
    </row>
    <row r="150" spans="3:17" x14ac:dyDescent="0.25">
      <c r="C150" s="15" t="s">
        <v>327</v>
      </c>
      <c r="D150" s="14" t="s">
        <v>14</v>
      </c>
      <c r="E150" s="14">
        <v>12.3699999999999</v>
      </c>
      <c r="F150" s="14">
        <v>1.07</v>
      </c>
      <c r="G150" s="14">
        <v>2.1</v>
      </c>
      <c r="H150" s="14">
        <v>18.5</v>
      </c>
      <c r="I150" s="14">
        <v>88</v>
      </c>
      <c r="J150" s="14">
        <v>3.52</v>
      </c>
      <c r="K150" s="14">
        <v>3.75</v>
      </c>
      <c r="L150" s="14">
        <v>0.23999999999999899</v>
      </c>
      <c r="M150" s="14">
        <v>1.95</v>
      </c>
      <c r="N150" s="14">
        <v>4.5</v>
      </c>
      <c r="O150" s="14">
        <v>1.04</v>
      </c>
      <c r="P150" s="14">
        <v>2.77</v>
      </c>
      <c r="Q150">
        <v>660</v>
      </c>
    </row>
    <row r="151" spans="3:17" x14ac:dyDescent="0.25">
      <c r="C151" s="15" t="s">
        <v>329</v>
      </c>
      <c r="D151" s="14" t="s">
        <v>14</v>
      </c>
      <c r="E151" s="14">
        <v>12.08</v>
      </c>
      <c r="F151" s="14">
        <v>2.08</v>
      </c>
      <c r="G151" s="14">
        <v>1.7</v>
      </c>
      <c r="H151" s="14">
        <v>17.5</v>
      </c>
      <c r="I151" s="14">
        <v>97</v>
      </c>
      <c r="J151" s="14">
        <v>2.23</v>
      </c>
      <c r="K151" s="14">
        <v>2.1699999999999902</v>
      </c>
      <c r="L151" s="14">
        <v>0.26</v>
      </c>
      <c r="M151" s="14">
        <v>1.3999999999999899</v>
      </c>
      <c r="N151" s="14">
        <v>3.2999999999999901</v>
      </c>
      <c r="O151" s="14">
        <v>1.27</v>
      </c>
      <c r="P151" s="14">
        <v>2.96</v>
      </c>
      <c r="Q151">
        <v>710</v>
      </c>
    </row>
    <row r="152" spans="3:17" x14ac:dyDescent="0.25">
      <c r="C152" s="15" t="s">
        <v>334</v>
      </c>
      <c r="D152" s="14" t="s">
        <v>14</v>
      </c>
      <c r="E152" s="14">
        <v>12.42</v>
      </c>
      <c r="F152" s="14">
        <v>2.5499999999999901</v>
      </c>
      <c r="G152" s="14">
        <v>2.27</v>
      </c>
      <c r="H152" s="14">
        <v>22</v>
      </c>
      <c r="I152" s="14">
        <v>90</v>
      </c>
      <c r="J152" s="14">
        <v>1.6799999999999899</v>
      </c>
      <c r="K152" s="14">
        <v>1.84</v>
      </c>
      <c r="L152" s="14">
        <v>0.66</v>
      </c>
      <c r="M152" s="14">
        <v>1.4199999999999899</v>
      </c>
      <c r="N152" s="14">
        <v>2.7</v>
      </c>
      <c r="O152" s="14">
        <v>0.85999999999999899</v>
      </c>
      <c r="P152" s="14">
        <v>3.2999999999999901</v>
      </c>
      <c r="Q152">
        <v>315</v>
      </c>
    </row>
    <row r="153" spans="3:17" x14ac:dyDescent="0.25">
      <c r="C153" s="15" t="s">
        <v>335</v>
      </c>
      <c r="D153" s="14" t="s">
        <v>14</v>
      </c>
      <c r="E153" s="14">
        <v>12.25</v>
      </c>
      <c r="F153" s="14">
        <v>1.73</v>
      </c>
      <c r="G153" s="14">
        <v>2.12</v>
      </c>
      <c r="H153" s="14">
        <v>19</v>
      </c>
      <c r="I153" s="14">
        <v>80</v>
      </c>
      <c r="J153" s="14">
        <v>1.6499999999999899</v>
      </c>
      <c r="K153" s="14">
        <v>2.02999999999999</v>
      </c>
      <c r="L153" s="14">
        <v>0.37</v>
      </c>
      <c r="M153" s="14">
        <v>1.6299999999999899</v>
      </c>
      <c r="N153" s="14">
        <v>3.3999999999999901</v>
      </c>
      <c r="O153" s="14">
        <v>1</v>
      </c>
      <c r="P153" s="14">
        <v>3.1699999999999902</v>
      </c>
      <c r="Q153">
        <v>510</v>
      </c>
    </row>
    <row r="154" spans="3:17" x14ac:dyDescent="0.25">
      <c r="C154" s="15" t="s">
        <v>336</v>
      </c>
      <c r="D154" s="14" t="s">
        <v>14</v>
      </c>
      <c r="E154" s="14">
        <v>12.72</v>
      </c>
      <c r="F154" s="14">
        <v>1.75</v>
      </c>
      <c r="G154" s="14">
        <v>2.27999999999999</v>
      </c>
      <c r="H154" s="14">
        <v>22.5</v>
      </c>
      <c r="I154" s="14">
        <v>84</v>
      </c>
      <c r="J154" s="14">
        <v>1.3799999999999899</v>
      </c>
      <c r="K154" s="14">
        <v>1.76</v>
      </c>
      <c r="L154" s="14">
        <v>0.47999999999999898</v>
      </c>
      <c r="M154" s="14">
        <v>1.6299999999999899</v>
      </c>
      <c r="N154" s="14">
        <v>3.2999999999999901</v>
      </c>
      <c r="O154" s="14">
        <v>0.88</v>
      </c>
      <c r="P154" s="14">
        <v>2.4199999999999902</v>
      </c>
      <c r="Q154">
        <v>488</v>
      </c>
    </row>
    <row r="155" spans="3:17" x14ac:dyDescent="0.25">
      <c r="C155" s="15" t="s">
        <v>339</v>
      </c>
      <c r="D155" s="14" t="s">
        <v>14</v>
      </c>
      <c r="E155" s="14">
        <v>11.46</v>
      </c>
      <c r="F155" s="14">
        <v>3.74</v>
      </c>
      <c r="G155" s="14">
        <v>1.82</v>
      </c>
      <c r="H155" s="14">
        <v>19.5</v>
      </c>
      <c r="I155" s="14">
        <v>107</v>
      </c>
      <c r="J155" s="14">
        <v>3.18</v>
      </c>
      <c r="K155" s="14">
        <v>2.58</v>
      </c>
      <c r="L155" s="14">
        <v>0.23999999999999899</v>
      </c>
      <c r="M155" s="14">
        <v>3.58</v>
      </c>
      <c r="N155" s="14">
        <v>2.8999999999999901</v>
      </c>
      <c r="O155" s="14">
        <v>0.75</v>
      </c>
      <c r="P155" s="14">
        <v>2.81</v>
      </c>
      <c r="Q155">
        <v>562</v>
      </c>
    </row>
    <row r="156" spans="3:17" x14ac:dyDescent="0.25">
      <c r="C156" s="15" t="s">
        <v>340</v>
      </c>
      <c r="D156" s="14" t="s">
        <v>14</v>
      </c>
      <c r="E156" s="14">
        <v>12.52</v>
      </c>
      <c r="F156" s="14">
        <v>2.4300000000000002</v>
      </c>
      <c r="G156" s="14">
        <v>2.1699999999999902</v>
      </c>
      <c r="H156" s="14">
        <v>21</v>
      </c>
      <c r="I156" s="14">
        <v>88</v>
      </c>
      <c r="J156" s="14">
        <v>2.5499999999999901</v>
      </c>
      <c r="K156" s="14">
        <v>2.27</v>
      </c>
      <c r="L156" s="14">
        <v>0.26</v>
      </c>
      <c r="M156" s="14">
        <v>1.22</v>
      </c>
      <c r="N156" s="14">
        <v>2</v>
      </c>
      <c r="O156" s="14">
        <v>0.9</v>
      </c>
      <c r="P156" s="14">
        <v>2.77999999999999</v>
      </c>
      <c r="Q156">
        <v>325</v>
      </c>
    </row>
    <row r="157" spans="3:17" x14ac:dyDescent="0.25">
      <c r="C157" s="15" t="s">
        <v>342</v>
      </c>
      <c r="D157" s="14" t="s">
        <v>14</v>
      </c>
      <c r="E157" s="14">
        <v>11.41</v>
      </c>
      <c r="F157" s="14">
        <v>0.73999999999999899</v>
      </c>
      <c r="G157" s="14">
        <v>2.5</v>
      </c>
      <c r="H157" s="14">
        <v>21</v>
      </c>
      <c r="I157" s="14">
        <v>88</v>
      </c>
      <c r="J157" s="14">
        <v>2.48</v>
      </c>
      <c r="K157" s="14">
        <v>2.00999999999999</v>
      </c>
      <c r="L157" s="14">
        <v>0.41999999999999899</v>
      </c>
      <c r="M157" s="14">
        <v>1.43999999999999</v>
      </c>
      <c r="N157" s="14">
        <v>3.08</v>
      </c>
      <c r="O157" s="14">
        <v>1.1000000000000001</v>
      </c>
      <c r="P157" s="14">
        <v>2.31</v>
      </c>
      <c r="Q157">
        <v>434</v>
      </c>
    </row>
    <row r="158" spans="3:17" x14ac:dyDescent="0.25">
      <c r="C158" s="15" t="s">
        <v>343</v>
      </c>
      <c r="D158" s="14" t="s">
        <v>14</v>
      </c>
      <c r="E158" s="14">
        <v>12.08</v>
      </c>
      <c r="F158" s="14">
        <v>1.3899999999999899</v>
      </c>
      <c r="G158" s="14">
        <v>2.5</v>
      </c>
      <c r="H158" s="14">
        <v>22.5</v>
      </c>
      <c r="I158" s="14">
        <v>84</v>
      </c>
      <c r="J158" s="14">
        <v>2.56</v>
      </c>
      <c r="K158" s="14">
        <v>2.29</v>
      </c>
      <c r="L158" s="14">
        <v>0.42999999999999899</v>
      </c>
      <c r="M158" s="14">
        <v>1.04</v>
      </c>
      <c r="N158" s="14">
        <v>2.8999999999999901</v>
      </c>
      <c r="O158" s="14">
        <v>0.93</v>
      </c>
      <c r="P158" s="14">
        <v>3.1899999999999902</v>
      </c>
      <c r="Q158">
        <v>385</v>
      </c>
    </row>
    <row r="159" spans="3:17" x14ac:dyDescent="0.25">
      <c r="C159" s="15" t="s">
        <v>345</v>
      </c>
      <c r="D159" s="14" t="s">
        <v>14</v>
      </c>
      <c r="E159" s="14">
        <v>11.82</v>
      </c>
      <c r="F159" s="14">
        <v>1.47</v>
      </c>
      <c r="G159" s="14">
        <v>1.99</v>
      </c>
      <c r="H159" s="14">
        <v>20.8</v>
      </c>
      <c r="I159" s="14">
        <v>86</v>
      </c>
      <c r="J159" s="14">
        <v>1.98</v>
      </c>
      <c r="K159" s="14">
        <v>1.6</v>
      </c>
      <c r="L159" s="14">
        <v>0.29999999999999899</v>
      </c>
      <c r="M159" s="14">
        <v>1.53</v>
      </c>
      <c r="N159" s="14">
        <v>1.95</v>
      </c>
      <c r="O159" s="14">
        <v>0.94999999999999896</v>
      </c>
      <c r="P159" s="14">
        <v>3.33</v>
      </c>
      <c r="Q159">
        <v>495</v>
      </c>
    </row>
    <row r="160" spans="3:17" x14ac:dyDescent="0.25">
      <c r="C160" s="15" t="s">
        <v>347</v>
      </c>
      <c r="D160" s="14" t="s">
        <v>14</v>
      </c>
      <c r="E160" s="14">
        <v>12.77</v>
      </c>
      <c r="F160" s="14">
        <v>3.43</v>
      </c>
      <c r="G160" s="14">
        <v>1.98</v>
      </c>
      <c r="H160" s="14">
        <v>16</v>
      </c>
      <c r="I160" s="14">
        <v>80</v>
      </c>
      <c r="J160" s="14">
        <v>1.6299999999999899</v>
      </c>
      <c r="K160" s="14">
        <v>1.25</v>
      </c>
      <c r="L160" s="14">
        <v>0.42999999999999899</v>
      </c>
      <c r="M160" s="14">
        <v>0.82999999999999896</v>
      </c>
      <c r="N160" s="14">
        <v>3.3999999999999901</v>
      </c>
      <c r="O160" s="14">
        <v>0.69999999999999896</v>
      </c>
      <c r="P160" s="14">
        <v>2.12</v>
      </c>
      <c r="Q160">
        <v>372</v>
      </c>
    </row>
    <row r="161" spans="3:17" x14ac:dyDescent="0.25">
      <c r="C161" s="15" t="s">
        <v>350</v>
      </c>
      <c r="D161" s="14" t="s">
        <v>14</v>
      </c>
      <c r="E161" s="14">
        <v>11.56</v>
      </c>
      <c r="F161" s="14">
        <v>2.0499999999999901</v>
      </c>
      <c r="G161" s="14">
        <v>3.23</v>
      </c>
      <c r="H161" s="14">
        <v>28.5</v>
      </c>
      <c r="I161" s="14">
        <v>119</v>
      </c>
      <c r="J161" s="14">
        <v>3.18</v>
      </c>
      <c r="K161" s="14">
        <v>5.08</v>
      </c>
      <c r="L161" s="14">
        <v>0.46999999999999897</v>
      </c>
      <c r="M161" s="14">
        <v>1.87</v>
      </c>
      <c r="N161" s="14">
        <v>6</v>
      </c>
      <c r="O161" s="14">
        <v>0.93</v>
      </c>
      <c r="P161" s="14">
        <v>3.6899999999999902</v>
      </c>
      <c r="Q161">
        <v>465</v>
      </c>
    </row>
    <row r="162" spans="3:17" x14ac:dyDescent="0.25">
      <c r="C162" s="15" t="s">
        <v>351</v>
      </c>
      <c r="D162" s="14" t="s">
        <v>14</v>
      </c>
      <c r="E162" s="14">
        <v>12.42</v>
      </c>
      <c r="F162" s="14">
        <v>4.4299999999999899</v>
      </c>
      <c r="G162" s="14">
        <v>2.73</v>
      </c>
      <c r="H162" s="14">
        <v>26.5</v>
      </c>
      <c r="I162" s="14">
        <v>102</v>
      </c>
      <c r="J162" s="14">
        <v>2.2000000000000002</v>
      </c>
      <c r="K162" s="14">
        <v>2.1299999999999901</v>
      </c>
      <c r="L162" s="14">
        <v>0.42999999999999899</v>
      </c>
      <c r="M162" s="14">
        <v>1.71</v>
      </c>
      <c r="N162" s="14">
        <v>2.08</v>
      </c>
      <c r="O162" s="14">
        <v>0.92</v>
      </c>
      <c r="P162" s="14">
        <v>3.12</v>
      </c>
      <c r="Q162">
        <v>365</v>
      </c>
    </row>
    <row r="163" spans="3:17" x14ac:dyDescent="0.25">
      <c r="C163" s="15" t="s">
        <v>353</v>
      </c>
      <c r="D163" s="14" t="s">
        <v>14</v>
      </c>
      <c r="E163" s="14">
        <v>11.8699999999999</v>
      </c>
      <c r="F163" s="14">
        <v>4.3099999999999898</v>
      </c>
      <c r="G163" s="14">
        <v>2.39</v>
      </c>
      <c r="H163" s="14">
        <v>21</v>
      </c>
      <c r="I163" s="14">
        <v>82</v>
      </c>
      <c r="J163" s="14">
        <v>2.8599999999999901</v>
      </c>
      <c r="K163" s="14">
        <v>3.02999999999999</v>
      </c>
      <c r="L163" s="14">
        <v>0.20999999999999899</v>
      </c>
      <c r="M163" s="14">
        <v>2.91</v>
      </c>
      <c r="N163" s="14">
        <v>2.7999999999999901</v>
      </c>
      <c r="O163" s="14">
        <v>0.75</v>
      </c>
      <c r="P163" s="14">
        <v>3.64</v>
      </c>
      <c r="Q163">
        <v>380</v>
      </c>
    </row>
    <row r="164" spans="3:17" x14ac:dyDescent="0.25">
      <c r="C164" s="15" t="s">
        <v>355</v>
      </c>
      <c r="D164" s="14" t="s">
        <v>14</v>
      </c>
      <c r="E164" s="14">
        <v>12.43</v>
      </c>
      <c r="F164" s="14">
        <v>1.53</v>
      </c>
      <c r="G164" s="14">
        <v>2.29</v>
      </c>
      <c r="H164" s="14">
        <v>21.5</v>
      </c>
      <c r="I164" s="14">
        <v>86</v>
      </c>
      <c r="J164" s="14">
        <v>2.74</v>
      </c>
      <c r="K164" s="14">
        <v>3.1499999999999901</v>
      </c>
      <c r="L164" s="14">
        <v>0.39</v>
      </c>
      <c r="M164" s="14">
        <v>1.77</v>
      </c>
      <c r="N164" s="14">
        <v>3.9399999999999902</v>
      </c>
      <c r="O164" s="14">
        <v>0.68999999999999895</v>
      </c>
      <c r="P164" s="14">
        <v>2.8399999999999901</v>
      </c>
      <c r="Q164">
        <v>352</v>
      </c>
    </row>
    <row r="165" spans="3:17" x14ac:dyDescent="0.25">
      <c r="C165" s="15" t="s">
        <v>360</v>
      </c>
      <c r="D165" s="14" t="s">
        <v>15</v>
      </c>
      <c r="E165" s="14">
        <v>12.88</v>
      </c>
      <c r="F165" s="14">
        <v>2.99</v>
      </c>
      <c r="G165" s="14">
        <v>2.3999999999999901</v>
      </c>
      <c r="H165" s="14">
        <v>20</v>
      </c>
      <c r="I165" s="14">
        <v>104</v>
      </c>
      <c r="J165" s="14">
        <v>1.3</v>
      </c>
      <c r="K165" s="14">
        <v>1.22</v>
      </c>
      <c r="L165" s="14">
        <v>0.23999999999999899</v>
      </c>
      <c r="M165" s="14">
        <v>0.82999999999999896</v>
      </c>
      <c r="N165" s="14">
        <v>5.4</v>
      </c>
      <c r="O165" s="14">
        <v>0.73999999999999899</v>
      </c>
      <c r="P165" s="14">
        <v>1.4199999999999899</v>
      </c>
      <c r="Q165">
        <v>530</v>
      </c>
    </row>
    <row r="166" spans="3:17" x14ac:dyDescent="0.25">
      <c r="C166" s="15" t="s">
        <v>362</v>
      </c>
      <c r="D166" s="14" t="s">
        <v>15</v>
      </c>
      <c r="E166" s="14">
        <v>12.6999999999999</v>
      </c>
      <c r="F166" s="14">
        <v>3.5499999999999901</v>
      </c>
      <c r="G166" s="14">
        <v>2.3599999999999901</v>
      </c>
      <c r="H166" s="14">
        <v>21.5</v>
      </c>
      <c r="I166" s="14">
        <v>106</v>
      </c>
      <c r="J166" s="14">
        <v>1.7</v>
      </c>
      <c r="K166" s="14">
        <v>1.2</v>
      </c>
      <c r="L166" s="14">
        <v>0.17</v>
      </c>
      <c r="M166" s="14">
        <v>0.83999999999999897</v>
      </c>
      <c r="N166" s="14">
        <v>5</v>
      </c>
      <c r="O166" s="14">
        <v>0.78</v>
      </c>
      <c r="P166" s="14">
        <v>1.29</v>
      </c>
      <c r="Q166">
        <v>600</v>
      </c>
    </row>
    <row r="167" spans="3:17" x14ac:dyDescent="0.25">
      <c r="C167" s="15" t="s">
        <v>365</v>
      </c>
      <c r="D167" s="14" t="s">
        <v>15</v>
      </c>
      <c r="E167" s="14">
        <v>12.25</v>
      </c>
      <c r="F167" s="14">
        <v>4.71999999999999</v>
      </c>
      <c r="G167" s="14">
        <v>2.54</v>
      </c>
      <c r="H167" s="14">
        <v>21</v>
      </c>
      <c r="I167" s="14">
        <v>89</v>
      </c>
      <c r="J167" s="14">
        <v>1.3799999999999899</v>
      </c>
      <c r="K167" s="14">
        <v>0.46999999999999897</v>
      </c>
      <c r="L167" s="14">
        <v>0.53</v>
      </c>
      <c r="M167" s="14">
        <v>0.8</v>
      </c>
      <c r="N167" s="14">
        <v>3.85</v>
      </c>
      <c r="O167" s="14">
        <v>0.75</v>
      </c>
      <c r="P167" s="14">
        <v>1.27</v>
      </c>
      <c r="Q167">
        <v>720</v>
      </c>
    </row>
    <row r="168" spans="3:17" x14ac:dyDescent="0.25">
      <c r="C168" s="15" t="s">
        <v>367</v>
      </c>
      <c r="D168" s="14" t="s">
        <v>15</v>
      </c>
      <c r="E168" s="14">
        <v>13.49</v>
      </c>
      <c r="F168" s="14">
        <v>3.5899999999999901</v>
      </c>
      <c r="G168" s="14">
        <v>2.1899999999999902</v>
      </c>
      <c r="H168" s="14">
        <v>19.5</v>
      </c>
      <c r="I168" s="14">
        <v>88</v>
      </c>
      <c r="J168" s="14">
        <v>1.62</v>
      </c>
      <c r="K168" s="14">
        <v>0.47999999999999898</v>
      </c>
      <c r="L168" s="14">
        <v>0.57999999999999896</v>
      </c>
      <c r="M168" s="14">
        <v>0.88</v>
      </c>
      <c r="N168" s="14">
        <v>5.7</v>
      </c>
      <c r="O168" s="14">
        <v>0.81</v>
      </c>
      <c r="P168" s="14">
        <v>1.82</v>
      </c>
      <c r="Q168">
        <v>580</v>
      </c>
    </row>
    <row r="169" spans="3:17" x14ac:dyDescent="0.25">
      <c r="C169" s="15" t="s">
        <v>370</v>
      </c>
      <c r="D169" s="14" t="s">
        <v>15</v>
      </c>
      <c r="E169" s="14">
        <v>13.3599999999999</v>
      </c>
      <c r="F169" s="14">
        <v>2.56</v>
      </c>
      <c r="G169" s="14">
        <v>2.35</v>
      </c>
      <c r="H169" s="14">
        <v>20</v>
      </c>
      <c r="I169" s="14">
        <v>89</v>
      </c>
      <c r="J169" s="14">
        <v>1.3999999999999899</v>
      </c>
      <c r="K169" s="14">
        <v>0.5</v>
      </c>
      <c r="L169" s="14">
        <v>0.37</v>
      </c>
      <c r="M169" s="14">
        <v>0.64</v>
      </c>
      <c r="N169" s="14">
        <v>5.5999999999999899</v>
      </c>
      <c r="O169" s="14">
        <v>0.69999999999999896</v>
      </c>
      <c r="P169" s="14">
        <v>2.4700000000000002</v>
      </c>
      <c r="Q169">
        <v>780</v>
      </c>
    </row>
    <row r="170" spans="3:17" x14ac:dyDescent="0.25">
      <c r="C170" s="15" t="s">
        <v>371</v>
      </c>
      <c r="D170" s="14" t="s">
        <v>15</v>
      </c>
      <c r="E170" s="14">
        <v>13.52</v>
      </c>
      <c r="F170" s="14">
        <v>3.1699999999999902</v>
      </c>
      <c r="G170" s="14">
        <v>2.72</v>
      </c>
      <c r="H170" s="14">
        <v>23.5</v>
      </c>
      <c r="I170" s="14">
        <v>97</v>
      </c>
      <c r="J170" s="14">
        <v>1.55</v>
      </c>
      <c r="K170" s="14">
        <v>0.52</v>
      </c>
      <c r="L170" s="14">
        <v>0.5</v>
      </c>
      <c r="M170" s="14">
        <v>0.55000000000000004</v>
      </c>
      <c r="N170" s="14">
        <v>4.3499999999999899</v>
      </c>
      <c r="O170" s="14">
        <v>0.89</v>
      </c>
      <c r="P170" s="14">
        <v>2.06</v>
      </c>
      <c r="Q170">
        <v>520</v>
      </c>
    </row>
    <row r="171" spans="3:17" x14ac:dyDescent="0.25">
      <c r="C171" s="15" t="s">
        <v>373</v>
      </c>
      <c r="D171" s="14" t="s">
        <v>15</v>
      </c>
      <c r="E171" s="14">
        <v>12.25</v>
      </c>
      <c r="F171" s="14">
        <v>3.8799999999999901</v>
      </c>
      <c r="G171" s="14">
        <v>2.2000000000000002</v>
      </c>
      <c r="H171" s="14">
        <v>18.5</v>
      </c>
      <c r="I171" s="14">
        <v>112</v>
      </c>
      <c r="J171" s="14">
        <v>1.3799999999999899</v>
      </c>
      <c r="K171" s="14">
        <v>0.78</v>
      </c>
      <c r="L171" s="14">
        <v>0.28999999999999898</v>
      </c>
      <c r="M171" s="14">
        <v>1.1399999999999899</v>
      </c>
      <c r="N171" s="14">
        <v>8.2100000000000009</v>
      </c>
      <c r="O171" s="14">
        <v>0.65</v>
      </c>
      <c r="P171" s="14">
        <v>2</v>
      </c>
      <c r="Q171">
        <v>855</v>
      </c>
    </row>
    <row r="172" spans="3:17" x14ac:dyDescent="0.25">
      <c r="C172" s="15" t="s">
        <v>375</v>
      </c>
      <c r="D172" s="14" t="s">
        <v>15</v>
      </c>
      <c r="E172" s="14">
        <v>13.88</v>
      </c>
      <c r="F172" s="14">
        <v>5.04</v>
      </c>
      <c r="G172" s="14">
        <v>2.23</v>
      </c>
      <c r="H172" s="14">
        <v>20</v>
      </c>
      <c r="I172" s="14">
        <v>80</v>
      </c>
      <c r="J172" s="14">
        <v>0.97999999999999898</v>
      </c>
      <c r="K172" s="14">
        <v>0.34</v>
      </c>
      <c r="L172" s="14">
        <v>0.4</v>
      </c>
      <c r="M172" s="14">
        <v>0.68</v>
      </c>
      <c r="N172" s="14">
        <v>4.9000000000000004</v>
      </c>
      <c r="O172" s="14">
        <v>0.57999999999999896</v>
      </c>
      <c r="P172" s="14">
        <v>1.33</v>
      </c>
      <c r="Q172">
        <v>415</v>
      </c>
    </row>
    <row r="173" spans="3:17" x14ac:dyDescent="0.25">
      <c r="C173" s="15" t="s">
        <v>376</v>
      </c>
      <c r="D173" s="14" t="s">
        <v>15</v>
      </c>
      <c r="E173" s="14">
        <v>12.8699999999999</v>
      </c>
      <c r="F173" s="14">
        <v>4.6100000000000003</v>
      </c>
      <c r="G173" s="14">
        <v>2.48</v>
      </c>
      <c r="H173" s="14">
        <v>21.5</v>
      </c>
      <c r="I173" s="14">
        <v>86</v>
      </c>
      <c r="J173" s="14">
        <v>1.7</v>
      </c>
      <c r="K173" s="14">
        <v>0.65</v>
      </c>
      <c r="L173" s="14">
        <v>0.46999999999999897</v>
      </c>
      <c r="M173" s="14">
        <v>0.85999999999999899</v>
      </c>
      <c r="N173" s="14">
        <v>7.65</v>
      </c>
      <c r="O173" s="14">
        <v>0.54</v>
      </c>
      <c r="P173" s="14">
        <v>1.86</v>
      </c>
      <c r="Q173">
        <v>625</v>
      </c>
    </row>
    <row r="174" spans="3:17" x14ac:dyDescent="0.25">
      <c r="C174" s="15" t="s">
        <v>381</v>
      </c>
      <c r="D174" s="14" t="s">
        <v>15</v>
      </c>
      <c r="E174" s="14">
        <v>13.1099999999999</v>
      </c>
      <c r="F174" s="14">
        <v>1.8999999999999899</v>
      </c>
      <c r="G174" s="14">
        <v>2.75</v>
      </c>
      <c r="H174" s="14">
        <v>25.5</v>
      </c>
      <c r="I174" s="14">
        <v>116</v>
      </c>
      <c r="J174" s="14">
        <v>2.2000000000000002</v>
      </c>
      <c r="K174" s="14">
        <v>1.28</v>
      </c>
      <c r="L174" s="14">
        <v>0.26</v>
      </c>
      <c r="M174" s="14">
        <v>1.56</v>
      </c>
      <c r="N174" s="14">
        <v>7.0999999999999899</v>
      </c>
      <c r="O174" s="14">
        <v>0.60999999999999899</v>
      </c>
      <c r="P174" s="14">
        <v>1.33</v>
      </c>
      <c r="Q174">
        <v>425</v>
      </c>
    </row>
    <row r="175" spans="3:17" x14ac:dyDescent="0.25">
      <c r="C175" s="15" t="s">
        <v>384</v>
      </c>
      <c r="D175" s="14" t="s">
        <v>15</v>
      </c>
      <c r="E175" s="14">
        <v>13.17</v>
      </c>
      <c r="F175" s="14">
        <v>5.19</v>
      </c>
      <c r="G175" s="14">
        <v>2.3199999999999901</v>
      </c>
      <c r="H175" s="14">
        <v>22</v>
      </c>
      <c r="I175" s="14">
        <v>93</v>
      </c>
      <c r="J175" s="14">
        <v>1.74</v>
      </c>
      <c r="K175" s="14">
        <v>0.63</v>
      </c>
      <c r="L175" s="14">
        <v>0.60999999999999899</v>
      </c>
      <c r="M175" s="14">
        <v>1.55</v>
      </c>
      <c r="N175" s="14">
        <v>7.9</v>
      </c>
      <c r="O175" s="14">
        <v>0.59999999999999898</v>
      </c>
      <c r="P175" s="14">
        <v>1.48</v>
      </c>
      <c r="Q175">
        <v>725</v>
      </c>
    </row>
    <row r="176" spans="3:17" x14ac:dyDescent="0.25">
      <c r="C176" s="15" t="s">
        <v>388</v>
      </c>
      <c r="D176" s="14" t="s">
        <v>15</v>
      </c>
      <c r="E176" s="14">
        <v>13.48</v>
      </c>
      <c r="F176" s="14">
        <v>1.6699999999999899</v>
      </c>
      <c r="G176" s="14">
        <v>2.64</v>
      </c>
      <c r="H176" s="14">
        <v>22.5</v>
      </c>
      <c r="I176" s="14">
        <v>89</v>
      </c>
      <c r="J176" s="14">
        <v>2.6</v>
      </c>
      <c r="K176" s="14">
        <v>1.1000000000000001</v>
      </c>
      <c r="L176" s="14">
        <v>0.52</v>
      </c>
      <c r="M176" s="14">
        <v>2.29</v>
      </c>
      <c r="N176" s="14">
        <v>11.75</v>
      </c>
      <c r="O176" s="14">
        <v>0.56999999999999895</v>
      </c>
      <c r="P176" s="14">
        <v>1.78</v>
      </c>
      <c r="Q176">
        <v>620</v>
      </c>
    </row>
    <row r="177" spans="3:17" x14ac:dyDescent="0.25">
      <c r="C177" s="15" t="s">
        <v>389</v>
      </c>
      <c r="D177" s="14" t="s">
        <v>15</v>
      </c>
      <c r="E177" s="14">
        <v>12.3599999999999</v>
      </c>
      <c r="F177" s="14">
        <v>3.83</v>
      </c>
      <c r="G177" s="14">
        <v>2.3799999999999901</v>
      </c>
      <c r="H177" s="14">
        <v>21</v>
      </c>
      <c r="I177" s="14">
        <v>88</v>
      </c>
      <c r="J177" s="14">
        <v>2.2999999999999901</v>
      </c>
      <c r="K177" s="14">
        <v>0.92</v>
      </c>
      <c r="L177" s="14">
        <v>0.5</v>
      </c>
      <c r="M177" s="14">
        <v>1.04</v>
      </c>
      <c r="N177" s="14">
        <v>7.65</v>
      </c>
      <c r="O177" s="14">
        <v>0.56000000000000005</v>
      </c>
      <c r="P177" s="14">
        <v>1.58</v>
      </c>
      <c r="Q177">
        <v>520</v>
      </c>
    </row>
    <row r="178" spans="3:17" x14ac:dyDescent="0.25">
      <c r="C178" s="15" t="s">
        <v>390</v>
      </c>
      <c r="D178" s="14" t="s">
        <v>15</v>
      </c>
      <c r="E178" s="14">
        <v>13.69</v>
      </c>
      <c r="F178" s="14">
        <v>3.25999999999999</v>
      </c>
      <c r="G178" s="14">
        <v>2.54</v>
      </c>
      <c r="H178" s="14">
        <v>20</v>
      </c>
      <c r="I178" s="14">
        <v>107</v>
      </c>
      <c r="J178" s="14">
        <v>1.83</v>
      </c>
      <c r="K178" s="14">
        <v>0.56000000000000005</v>
      </c>
      <c r="L178" s="14">
        <v>0.5</v>
      </c>
      <c r="M178" s="14">
        <v>0.8</v>
      </c>
      <c r="N178" s="14">
        <v>5.8799999999999901</v>
      </c>
      <c r="O178" s="14">
        <v>0.95999999999999897</v>
      </c>
      <c r="P178" s="14">
        <v>1.82</v>
      </c>
      <c r="Q178">
        <v>680</v>
      </c>
    </row>
    <row r="179" spans="3:17" x14ac:dyDescent="0.25">
      <c r="C179" s="15" t="s">
        <v>393</v>
      </c>
      <c r="D179" s="14" t="s">
        <v>15</v>
      </c>
      <c r="E179" s="14">
        <v>13.7799999999999</v>
      </c>
      <c r="F179" s="14">
        <v>2.75999999999999</v>
      </c>
      <c r="G179" s="14">
        <v>2.2999999999999901</v>
      </c>
      <c r="H179" s="14">
        <v>19.682317073170701</v>
      </c>
      <c r="I179" s="14">
        <v>90</v>
      </c>
      <c r="J179" s="14">
        <v>1.35</v>
      </c>
      <c r="K179" s="14">
        <v>0.68</v>
      </c>
      <c r="L179" s="14">
        <v>0.40999999999999898</v>
      </c>
      <c r="M179" s="14">
        <v>1.03</v>
      </c>
      <c r="N179" s="14">
        <v>9.58</v>
      </c>
      <c r="O179" s="14">
        <v>0.69999999999999896</v>
      </c>
      <c r="P179" s="14">
        <v>1.6799999999999899</v>
      </c>
      <c r="Q179">
        <v>615</v>
      </c>
    </row>
    <row r="180" spans="3:17" x14ac:dyDescent="0.25">
      <c r="C180" s="15" t="s">
        <v>394</v>
      </c>
      <c r="D180" s="14" t="s">
        <v>15</v>
      </c>
      <c r="E180" s="14">
        <v>13.73</v>
      </c>
      <c r="F180" s="14">
        <v>4.3600000000000003</v>
      </c>
      <c r="G180" s="14">
        <v>2.25999999999999</v>
      </c>
      <c r="H180" s="14">
        <v>22.5</v>
      </c>
      <c r="I180" s="14">
        <v>88</v>
      </c>
      <c r="J180" s="14">
        <v>1.28</v>
      </c>
      <c r="K180" s="14">
        <v>0.46999999999999897</v>
      </c>
      <c r="L180" s="14">
        <v>0.52</v>
      </c>
      <c r="M180" s="14">
        <v>1.1499999999999899</v>
      </c>
      <c r="N180" s="14">
        <v>6.62</v>
      </c>
      <c r="O180" s="14">
        <v>0.78</v>
      </c>
      <c r="P180" s="14">
        <v>1.75</v>
      </c>
      <c r="Q180">
        <v>520</v>
      </c>
    </row>
    <row r="181" spans="3:17" x14ac:dyDescent="0.25">
      <c r="C181" s="15" t="s">
        <v>395</v>
      </c>
      <c r="D181" s="14" t="s">
        <v>15</v>
      </c>
      <c r="E181" s="14">
        <v>13.4499999999999</v>
      </c>
      <c r="F181" s="14">
        <v>3.7</v>
      </c>
      <c r="G181" s="14">
        <v>2.6</v>
      </c>
      <c r="H181" s="14">
        <v>23</v>
      </c>
      <c r="I181" s="14">
        <v>111</v>
      </c>
      <c r="J181" s="14">
        <v>1.7</v>
      </c>
      <c r="K181" s="14">
        <v>0.92</v>
      </c>
      <c r="L181" s="14">
        <v>0.42999999999999899</v>
      </c>
      <c r="M181" s="14">
        <v>1.46</v>
      </c>
      <c r="N181" s="14">
        <v>10.68</v>
      </c>
      <c r="O181" s="14">
        <v>0.84999999999999898</v>
      </c>
      <c r="P181" s="14">
        <v>1.56</v>
      </c>
      <c r="Q181">
        <v>695</v>
      </c>
    </row>
    <row r="182" spans="3:17" x14ac:dyDescent="0.25">
      <c r="C182" s="15" t="s">
        <v>396</v>
      </c>
      <c r="D182" s="14" t="s">
        <v>15</v>
      </c>
      <c r="E182" s="14">
        <v>12.82</v>
      </c>
      <c r="F182" s="14">
        <v>3.37</v>
      </c>
      <c r="G182" s="14">
        <v>2.2999999999999901</v>
      </c>
      <c r="H182" s="14">
        <v>19.5</v>
      </c>
      <c r="I182" s="14">
        <v>88</v>
      </c>
      <c r="J182" s="14">
        <v>1.48</v>
      </c>
      <c r="K182" s="14">
        <v>0.66</v>
      </c>
      <c r="L182" s="14">
        <v>0.4</v>
      </c>
      <c r="M182" s="14">
        <v>0.96999999999999897</v>
      </c>
      <c r="N182" s="14">
        <v>10.26</v>
      </c>
      <c r="O182" s="14">
        <v>0.71999999999999897</v>
      </c>
      <c r="P182" s="14">
        <v>1.75</v>
      </c>
      <c r="Q182">
        <v>685</v>
      </c>
    </row>
    <row r="183" spans="3:17" x14ac:dyDescent="0.25">
      <c r="C183" s="15" t="s">
        <v>397</v>
      </c>
      <c r="D183" s="14" t="s">
        <v>15</v>
      </c>
      <c r="E183" s="14">
        <v>13.58</v>
      </c>
      <c r="F183" s="14">
        <v>2.58</v>
      </c>
      <c r="G183" s="14">
        <v>2.6899999999999902</v>
      </c>
      <c r="H183" s="14">
        <v>24.5</v>
      </c>
      <c r="I183" s="14">
        <v>105</v>
      </c>
      <c r="J183" s="14">
        <v>1.55</v>
      </c>
      <c r="K183" s="14">
        <v>0.83999999999999897</v>
      </c>
      <c r="L183" s="14">
        <v>0.36538226299694199</v>
      </c>
      <c r="M183" s="14">
        <v>1.54</v>
      </c>
      <c r="N183" s="14">
        <v>8.66</v>
      </c>
      <c r="O183" s="14">
        <v>0.73999999999999899</v>
      </c>
      <c r="P183" s="14">
        <v>1.8</v>
      </c>
      <c r="Q183">
        <v>750</v>
      </c>
    </row>
    <row r="184" spans="3:17" x14ac:dyDescent="0.25">
      <c r="C184" s="15" t="s">
        <v>398</v>
      </c>
      <c r="D184" s="14" t="s">
        <v>15</v>
      </c>
      <c r="E184" s="14">
        <v>13.4</v>
      </c>
      <c r="F184" s="14">
        <v>4.5999999999999899</v>
      </c>
      <c r="G184" s="14">
        <v>2.8599999999999901</v>
      </c>
      <c r="H184" s="14">
        <v>25</v>
      </c>
      <c r="I184" s="14">
        <v>112</v>
      </c>
      <c r="J184" s="14">
        <v>1.98</v>
      </c>
      <c r="K184" s="14">
        <v>0.95999999999999897</v>
      </c>
      <c r="L184" s="14">
        <v>0.27</v>
      </c>
      <c r="M184" s="14">
        <v>1.1100000000000001</v>
      </c>
      <c r="N184" s="14">
        <v>8.5</v>
      </c>
      <c r="O184" s="14">
        <v>0.67</v>
      </c>
      <c r="P184" s="14">
        <v>1.9199999999999899</v>
      </c>
      <c r="Q184">
        <v>630</v>
      </c>
    </row>
    <row r="185" spans="3:17" x14ac:dyDescent="0.25">
      <c r="C185" s="15" t="s">
        <v>400</v>
      </c>
      <c r="D185" s="14" t="s">
        <v>15</v>
      </c>
      <c r="E185" s="14">
        <v>12.77</v>
      </c>
      <c r="F185" s="14">
        <v>2.39</v>
      </c>
      <c r="G185" s="14">
        <v>2.27999999999999</v>
      </c>
      <c r="H185" s="14">
        <v>19.5</v>
      </c>
      <c r="I185" s="14">
        <v>86</v>
      </c>
      <c r="J185" s="14">
        <v>1.3899999999999899</v>
      </c>
      <c r="K185" s="14">
        <v>0.51</v>
      </c>
      <c r="L185" s="14">
        <v>0.47999999999999898</v>
      </c>
      <c r="M185" s="14">
        <v>0.64</v>
      </c>
      <c r="N185" s="14">
        <v>9.8999989999999904</v>
      </c>
      <c r="O185" s="14">
        <v>0.56999999999999895</v>
      </c>
      <c r="P185" s="14">
        <v>1.6299999999999899</v>
      </c>
      <c r="Q185">
        <v>470</v>
      </c>
    </row>
    <row r="186" spans="3:17" x14ac:dyDescent="0.25">
      <c r="C186" s="15" t="s">
        <v>402</v>
      </c>
      <c r="D186" s="14" t="s">
        <v>15</v>
      </c>
      <c r="E186" s="14">
        <v>13.71</v>
      </c>
      <c r="F186" s="14">
        <v>5.65</v>
      </c>
      <c r="G186" s="14">
        <v>2.4500000000000002</v>
      </c>
      <c r="H186" s="14">
        <v>20.5</v>
      </c>
      <c r="I186" s="14">
        <v>95</v>
      </c>
      <c r="J186" s="14">
        <v>1.6799999999999899</v>
      </c>
      <c r="K186" s="14">
        <v>0.60999999999999899</v>
      </c>
      <c r="L186" s="14">
        <v>0.52</v>
      </c>
      <c r="M186" s="14">
        <v>1.06</v>
      </c>
      <c r="N186" s="14">
        <v>7.7</v>
      </c>
      <c r="O186" s="14">
        <v>0.64</v>
      </c>
      <c r="P186" s="14">
        <v>1.74</v>
      </c>
      <c r="Q186">
        <v>740</v>
      </c>
    </row>
    <row r="187" spans="3:17" x14ac:dyDescent="0.25">
      <c r="C187" s="15" t="s">
        <v>162</v>
      </c>
      <c r="D187" s="14" t="s">
        <v>14</v>
      </c>
      <c r="E187" s="14">
        <v>11.64</v>
      </c>
      <c r="F187" s="14">
        <v>2.06</v>
      </c>
      <c r="G187" s="14">
        <v>2.46</v>
      </c>
      <c r="H187" s="14">
        <v>21.6</v>
      </c>
      <c r="I187" s="14">
        <v>84</v>
      </c>
      <c r="J187" s="14">
        <v>1.95</v>
      </c>
      <c r="K187" s="14">
        <v>1.68999999999999</v>
      </c>
      <c r="L187" s="14">
        <v>0.47999999999999898</v>
      </c>
      <c r="M187" s="14">
        <v>1.35</v>
      </c>
      <c r="N187" s="14">
        <v>2.7999999999999901</v>
      </c>
      <c r="O187" s="14">
        <v>1</v>
      </c>
      <c r="P187" s="14">
        <v>2.75</v>
      </c>
      <c r="Q187">
        <v>680</v>
      </c>
    </row>
    <row r="188" spans="3:17" x14ac:dyDescent="0.25">
      <c r="C188" s="15" t="s">
        <v>89</v>
      </c>
      <c r="D188" s="14" t="s">
        <v>13</v>
      </c>
      <c r="E188" s="14">
        <v>13.63</v>
      </c>
      <c r="F188" s="14">
        <v>1.81</v>
      </c>
      <c r="G188" s="14">
        <v>2.7</v>
      </c>
      <c r="H188" s="14">
        <v>17.1999999999999</v>
      </c>
      <c r="I188" s="14">
        <v>112</v>
      </c>
      <c r="J188" s="14">
        <v>2.85</v>
      </c>
      <c r="K188" s="14">
        <v>2.91</v>
      </c>
      <c r="L188" s="14">
        <v>0.29999999999999899</v>
      </c>
      <c r="M188" s="14">
        <v>1.46</v>
      </c>
      <c r="N188" s="14">
        <v>7.2999999999999901</v>
      </c>
      <c r="O188" s="14">
        <v>1.28</v>
      </c>
      <c r="P188" s="14">
        <v>2.8799999999999901</v>
      </c>
      <c r="Q188">
        <v>1310</v>
      </c>
    </row>
    <row r="189" spans="3:17" x14ac:dyDescent="0.25">
      <c r="C189" s="15" t="s">
        <v>173</v>
      </c>
      <c r="D189" s="14" t="s">
        <v>14</v>
      </c>
      <c r="E189" s="14">
        <v>12.2899999999999</v>
      </c>
      <c r="F189" s="14">
        <v>3.1699999999999902</v>
      </c>
      <c r="G189" s="14">
        <v>2.21</v>
      </c>
      <c r="H189" s="14">
        <v>18</v>
      </c>
      <c r="I189" s="14">
        <v>88</v>
      </c>
      <c r="J189" s="14">
        <v>2.85</v>
      </c>
      <c r="K189" s="14">
        <v>2.99</v>
      </c>
      <c r="L189" s="14">
        <v>0.45</v>
      </c>
      <c r="M189" s="14">
        <v>2.81</v>
      </c>
      <c r="N189" s="14">
        <v>2.2999999999999901</v>
      </c>
      <c r="O189" s="14">
        <v>1.4199999999999899</v>
      </c>
      <c r="P189" s="14">
        <v>2.83</v>
      </c>
      <c r="Q189">
        <v>406</v>
      </c>
    </row>
    <row r="190" spans="3:17" x14ac:dyDescent="0.25">
      <c r="C190" s="15" t="s">
        <v>153</v>
      </c>
      <c r="D190" s="14" t="s">
        <v>14</v>
      </c>
      <c r="E190" s="14">
        <v>12.6999999999999</v>
      </c>
      <c r="F190" s="14">
        <v>3.87</v>
      </c>
      <c r="G190" s="14">
        <v>2.3999999999999901</v>
      </c>
      <c r="H190" s="14">
        <v>23</v>
      </c>
      <c r="I190" s="14">
        <v>101</v>
      </c>
      <c r="J190" s="14">
        <v>2.83</v>
      </c>
      <c r="K190" s="14">
        <v>2.5499999999999901</v>
      </c>
      <c r="L190" s="14">
        <v>0.42999999999999899</v>
      </c>
      <c r="M190" s="14">
        <v>1.95</v>
      </c>
      <c r="N190" s="14">
        <v>2.5699999999999901</v>
      </c>
      <c r="O190" s="14">
        <v>1.18999999999999</v>
      </c>
      <c r="P190" s="14">
        <v>3.1299999999999901</v>
      </c>
      <c r="Q190">
        <v>463</v>
      </c>
    </row>
    <row r="191" spans="3:17" x14ac:dyDescent="0.25">
      <c r="C191" s="15" t="s">
        <v>151</v>
      </c>
      <c r="D191" s="14" t="s">
        <v>14</v>
      </c>
      <c r="E191" s="14">
        <v>11.84</v>
      </c>
      <c r="F191" s="14">
        <v>2.89</v>
      </c>
      <c r="G191" s="14">
        <v>2.23</v>
      </c>
      <c r="H191" s="14">
        <v>18</v>
      </c>
      <c r="I191" s="14">
        <v>112</v>
      </c>
      <c r="J191" s="14">
        <v>1.72</v>
      </c>
      <c r="K191" s="14">
        <v>1.32</v>
      </c>
      <c r="L191" s="14">
        <v>0.42999999999999899</v>
      </c>
      <c r="M191" s="14">
        <v>0.94999999999999896</v>
      </c>
      <c r="N191" s="14">
        <v>2.6499999999999901</v>
      </c>
      <c r="O191" s="14">
        <v>0.95999999999999897</v>
      </c>
      <c r="P191" s="14">
        <v>2.52</v>
      </c>
      <c r="Q191">
        <v>500</v>
      </c>
    </row>
    <row r="192" spans="3:17" x14ac:dyDescent="0.25">
      <c r="C192" s="15" t="s">
        <v>337</v>
      </c>
      <c r="D192" s="14" t="s">
        <v>14</v>
      </c>
      <c r="E192" s="14">
        <v>12.22</v>
      </c>
      <c r="F192" s="14">
        <v>1.29</v>
      </c>
      <c r="G192" s="14">
        <v>1.93999999999999</v>
      </c>
      <c r="H192" s="14">
        <v>19</v>
      </c>
      <c r="I192" s="14">
        <v>92</v>
      </c>
      <c r="J192" s="14">
        <v>2.3599999999999901</v>
      </c>
      <c r="K192" s="14">
        <v>2.04</v>
      </c>
      <c r="L192" s="14">
        <v>0.39</v>
      </c>
      <c r="M192" s="14">
        <v>2.08</v>
      </c>
      <c r="N192" s="14">
        <v>2.7</v>
      </c>
      <c r="O192" s="14">
        <v>0.85999999999999899</v>
      </c>
      <c r="P192" s="14">
        <v>3.02</v>
      </c>
      <c r="Q192">
        <v>312</v>
      </c>
    </row>
    <row r="193" spans="3:17" x14ac:dyDescent="0.25">
      <c r="C193" s="15" t="s">
        <v>149</v>
      </c>
      <c r="D193" s="14" t="s">
        <v>14</v>
      </c>
      <c r="E193" s="14">
        <v>11.66</v>
      </c>
      <c r="F193" s="14">
        <v>1.8799999999999899</v>
      </c>
      <c r="G193" s="14">
        <v>1.9199999999999899</v>
      </c>
      <c r="H193" s="14">
        <v>16</v>
      </c>
      <c r="I193" s="14">
        <v>97</v>
      </c>
      <c r="J193" s="14">
        <v>1.61</v>
      </c>
      <c r="K193" s="14">
        <v>1.57</v>
      </c>
      <c r="L193" s="14">
        <v>0.34</v>
      </c>
      <c r="M193" s="14">
        <v>1.1499999999999899</v>
      </c>
      <c r="N193" s="14">
        <v>3.7999999999999901</v>
      </c>
      <c r="O193" s="14">
        <v>1.23</v>
      </c>
      <c r="P193" s="14">
        <v>2.14</v>
      </c>
      <c r="Q193">
        <v>428</v>
      </c>
    </row>
    <row r="194" spans="3:17" x14ac:dyDescent="0.25">
      <c r="C194" s="15" t="s">
        <v>259</v>
      </c>
      <c r="D194" s="14" t="s">
        <v>13</v>
      </c>
      <c r="E194" s="14">
        <v>13.73</v>
      </c>
      <c r="F194" s="14">
        <v>1.5</v>
      </c>
      <c r="G194" s="14">
        <v>2.7</v>
      </c>
      <c r="H194" s="14">
        <v>22.5</v>
      </c>
      <c r="I194" s="14">
        <v>101</v>
      </c>
      <c r="J194" s="14">
        <v>3</v>
      </c>
      <c r="K194" s="14">
        <v>3.25</v>
      </c>
      <c r="L194" s="14">
        <v>0.28999999999999898</v>
      </c>
      <c r="M194" s="14">
        <v>2.3799999999999901</v>
      </c>
      <c r="N194" s="14">
        <v>5.7</v>
      </c>
      <c r="O194" s="14">
        <v>1.18999999999999</v>
      </c>
      <c r="P194" s="14">
        <v>2.71</v>
      </c>
      <c r="Q194">
        <v>1285</v>
      </c>
    </row>
    <row r="195" spans="3:17" x14ac:dyDescent="0.25">
      <c r="C195" s="15" t="s">
        <v>85</v>
      </c>
      <c r="D195" s="14" t="s">
        <v>13</v>
      </c>
      <c r="E195" s="14">
        <v>14.1199999999999</v>
      </c>
      <c r="F195" s="14">
        <v>1.48</v>
      </c>
      <c r="G195" s="14">
        <v>2.3199999999999901</v>
      </c>
      <c r="H195" s="14">
        <v>16.8</v>
      </c>
      <c r="I195" s="14">
        <v>95</v>
      </c>
      <c r="J195" s="14">
        <v>2.2000000000000002</v>
      </c>
      <c r="K195" s="14">
        <v>2.4300000000000002</v>
      </c>
      <c r="L195" s="14">
        <v>0.26</v>
      </c>
      <c r="M195" s="14">
        <v>1.57</v>
      </c>
      <c r="N195" s="14">
        <v>5</v>
      </c>
      <c r="O195" s="14">
        <v>1.1699999999999899</v>
      </c>
      <c r="P195" s="14">
        <v>2.8199999999999901</v>
      </c>
      <c r="Q195">
        <v>1280</v>
      </c>
    </row>
    <row r="196" spans="3:17" x14ac:dyDescent="0.25">
      <c r="C196" s="15" t="s">
        <v>84</v>
      </c>
      <c r="D196" s="14" t="s">
        <v>13</v>
      </c>
      <c r="E196" s="14">
        <v>14.1</v>
      </c>
      <c r="F196" s="14">
        <v>2.16</v>
      </c>
      <c r="G196" s="14">
        <v>2.2999999999999901</v>
      </c>
      <c r="H196" s="14">
        <v>18</v>
      </c>
      <c r="I196" s="14">
        <v>105</v>
      </c>
      <c r="J196" s="14">
        <v>2.95</v>
      </c>
      <c r="K196" s="14">
        <v>3.3199999999999901</v>
      </c>
      <c r="L196" s="14">
        <v>0.22</v>
      </c>
      <c r="M196" s="14">
        <v>2.3799999999999901</v>
      </c>
      <c r="N196" s="14">
        <v>5.75</v>
      </c>
      <c r="O196" s="14">
        <v>1.25</v>
      </c>
      <c r="P196" s="14">
        <v>3.1699999999999902</v>
      </c>
      <c r="Q196">
        <v>1510</v>
      </c>
    </row>
    <row r="197" spans="3:17" x14ac:dyDescent="0.25">
      <c r="C197" s="15" t="s">
        <v>114</v>
      </c>
      <c r="D197" s="14" t="s">
        <v>13</v>
      </c>
      <c r="E197" s="14">
        <v>13.56</v>
      </c>
      <c r="F197" s="14">
        <v>1.71</v>
      </c>
      <c r="G197" s="14">
        <v>2.31</v>
      </c>
      <c r="H197" s="14">
        <v>16.1999999999999</v>
      </c>
      <c r="I197" s="14">
        <v>117</v>
      </c>
      <c r="J197" s="14">
        <v>3.1499999999999901</v>
      </c>
      <c r="K197" s="14">
        <v>3.29</v>
      </c>
      <c r="L197" s="14">
        <v>0.34</v>
      </c>
      <c r="M197" s="14">
        <v>2.3399999999999901</v>
      </c>
      <c r="N197" s="14">
        <v>6.1299999999999901</v>
      </c>
      <c r="O197" s="14">
        <v>0.94999999999999896</v>
      </c>
      <c r="P197" s="14">
        <v>3.3799999999999901</v>
      </c>
      <c r="Q197">
        <v>795</v>
      </c>
    </row>
    <row r="198" spans="3:17" x14ac:dyDescent="0.25">
      <c r="C198" s="15" t="s">
        <v>144</v>
      </c>
      <c r="D198" s="14" t="s">
        <v>14</v>
      </c>
      <c r="E198" s="14">
        <v>12.2899999999999</v>
      </c>
      <c r="F198" s="14">
        <v>1.61</v>
      </c>
      <c r="G198" s="14">
        <v>2.21</v>
      </c>
      <c r="H198" s="14">
        <v>20.399999999999899</v>
      </c>
      <c r="I198" s="14">
        <v>103</v>
      </c>
      <c r="J198" s="14">
        <v>1.1000000000000001</v>
      </c>
      <c r="K198" s="14">
        <v>1.02</v>
      </c>
      <c r="L198" s="14">
        <v>0.37</v>
      </c>
      <c r="M198" s="14">
        <v>1.46</v>
      </c>
      <c r="N198" s="14">
        <v>3.0499999999999901</v>
      </c>
      <c r="O198" s="14">
        <v>0.90600000000000003</v>
      </c>
      <c r="P198" s="14">
        <v>1.82</v>
      </c>
      <c r="Q198">
        <v>870</v>
      </c>
    </row>
    <row r="199" spans="3:17" x14ac:dyDescent="0.25">
      <c r="C199" s="15" t="s">
        <v>97</v>
      </c>
      <c r="D199" s="14" t="s">
        <v>13</v>
      </c>
      <c r="E199" s="14">
        <v>12.85</v>
      </c>
      <c r="F199" s="14">
        <v>1.6</v>
      </c>
      <c r="G199" s="14">
        <v>2.52</v>
      </c>
      <c r="H199" s="14">
        <v>17.8</v>
      </c>
      <c r="I199" s="14">
        <v>95</v>
      </c>
      <c r="J199" s="14">
        <v>2.48</v>
      </c>
      <c r="K199" s="14">
        <v>2.37</v>
      </c>
      <c r="L199" s="14">
        <v>0.26</v>
      </c>
      <c r="M199" s="14">
        <v>1.46</v>
      </c>
      <c r="N199" s="14">
        <v>3.93</v>
      </c>
      <c r="O199" s="14">
        <v>1.0900000000000001</v>
      </c>
      <c r="P199" s="14">
        <v>3.6299999999999901</v>
      </c>
      <c r="Q199">
        <v>1015</v>
      </c>
    </row>
    <row r="200" spans="3:17" x14ac:dyDescent="0.25">
      <c r="C200" s="15" t="s">
        <v>218</v>
      </c>
      <c r="D200" s="14" t="s">
        <v>15</v>
      </c>
      <c r="E200" s="14">
        <v>12.25</v>
      </c>
      <c r="F200" s="14">
        <v>3.8799999999999901</v>
      </c>
      <c r="G200" s="14">
        <v>2.2000000000000002</v>
      </c>
      <c r="H200" s="14">
        <v>18.5</v>
      </c>
      <c r="I200" s="14">
        <v>112</v>
      </c>
      <c r="J200" s="14">
        <v>1.3799999999999899</v>
      </c>
      <c r="K200" s="14">
        <v>0.78</v>
      </c>
      <c r="L200" s="14">
        <v>0.28999999999999898</v>
      </c>
      <c r="M200" s="14">
        <v>1.1399999999999899</v>
      </c>
      <c r="N200" s="14">
        <v>8.2100000000000009</v>
      </c>
      <c r="O200" s="14">
        <v>0.65</v>
      </c>
      <c r="P200" s="14">
        <v>2</v>
      </c>
      <c r="Q200">
        <v>855</v>
      </c>
    </row>
    <row r="201" spans="3:17" x14ac:dyDescent="0.25">
      <c r="C201" s="15" t="s">
        <v>112</v>
      </c>
      <c r="D201" s="14" t="s">
        <v>13</v>
      </c>
      <c r="E201" s="14">
        <v>13.07</v>
      </c>
      <c r="F201" s="14">
        <v>1.5</v>
      </c>
      <c r="G201" s="14">
        <v>2.1</v>
      </c>
      <c r="H201" s="14">
        <v>15.5</v>
      </c>
      <c r="I201" s="14">
        <v>98</v>
      </c>
      <c r="J201" s="14">
        <v>2.3999999999999901</v>
      </c>
      <c r="K201" s="14">
        <v>2.64</v>
      </c>
      <c r="L201" s="14">
        <v>0.28000000000000003</v>
      </c>
      <c r="M201" s="14">
        <v>1.37</v>
      </c>
      <c r="N201" s="14">
        <v>3.7</v>
      </c>
      <c r="O201" s="14">
        <v>1.1799999999999899</v>
      </c>
      <c r="P201" s="14">
        <v>2.6899999999999902</v>
      </c>
      <c r="Q201">
        <v>1020</v>
      </c>
    </row>
    <row r="202" spans="3:17" x14ac:dyDescent="0.25">
      <c r="C202" s="15" t="s">
        <v>377</v>
      </c>
      <c r="D202" s="14" t="s">
        <v>15</v>
      </c>
      <c r="E202" s="14">
        <v>13.32</v>
      </c>
      <c r="F202" s="14">
        <v>3.24</v>
      </c>
      <c r="G202" s="14">
        <v>2.3799999999999901</v>
      </c>
      <c r="H202" s="14">
        <v>21.5</v>
      </c>
      <c r="I202" s="14">
        <v>92</v>
      </c>
      <c r="J202" s="14">
        <v>1.9299999999999899</v>
      </c>
      <c r="K202" s="14">
        <v>0.76</v>
      </c>
      <c r="L202" s="14">
        <v>0.45</v>
      </c>
      <c r="M202" s="14">
        <v>1.25</v>
      </c>
      <c r="N202" s="14">
        <v>8.4199999999999893</v>
      </c>
      <c r="O202" s="14">
        <v>0.55000000000000004</v>
      </c>
      <c r="P202" s="14">
        <v>1.62</v>
      </c>
      <c r="Q202">
        <v>650</v>
      </c>
    </row>
    <row r="203" spans="3:17" x14ac:dyDescent="0.25">
      <c r="C203" s="15" t="s">
        <v>241</v>
      </c>
      <c r="D203" s="14" t="s">
        <v>15</v>
      </c>
      <c r="E203" s="14">
        <v>12.82</v>
      </c>
      <c r="F203" s="14">
        <v>3.37</v>
      </c>
      <c r="G203" s="14">
        <v>2.2999999999999901</v>
      </c>
      <c r="H203" s="14">
        <v>19.5</v>
      </c>
      <c r="I203" s="14">
        <v>88</v>
      </c>
      <c r="J203" s="14">
        <v>1.48</v>
      </c>
      <c r="K203" s="14">
        <v>0.66</v>
      </c>
      <c r="L203" s="14">
        <v>0.4</v>
      </c>
      <c r="M203" s="14">
        <v>0.96999999999999897</v>
      </c>
      <c r="N203" s="14">
        <v>10.26</v>
      </c>
      <c r="O203" s="14">
        <v>0.71999999999999897</v>
      </c>
      <c r="P203" s="14">
        <v>1.75</v>
      </c>
      <c r="Q203">
        <v>685</v>
      </c>
    </row>
    <row r="204" spans="3:17" x14ac:dyDescent="0.25">
      <c r="C204" s="15" t="s">
        <v>294</v>
      </c>
      <c r="D204" s="14" t="s">
        <v>14</v>
      </c>
      <c r="E204" s="14">
        <v>12.3699999999999</v>
      </c>
      <c r="F204" s="14">
        <v>1.21</v>
      </c>
      <c r="G204" s="14">
        <v>2.56</v>
      </c>
      <c r="H204" s="14">
        <v>18.100000000000001</v>
      </c>
      <c r="I204" s="14">
        <v>98</v>
      </c>
      <c r="J204" s="14">
        <v>2.4199999999999902</v>
      </c>
      <c r="K204" s="14">
        <v>2.6499999999999901</v>
      </c>
      <c r="L204" s="14">
        <v>0.37</v>
      </c>
      <c r="M204" s="14">
        <v>2.08</v>
      </c>
      <c r="N204" s="14">
        <v>4.5999999999999899</v>
      </c>
      <c r="O204" s="14">
        <v>1.18999999999999</v>
      </c>
      <c r="P204" s="14">
        <v>2.2999999999999901</v>
      </c>
      <c r="Q204">
        <v>678</v>
      </c>
    </row>
    <row r="205" spans="3:17" x14ac:dyDescent="0.25">
      <c r="C205" s="15" t="s">
        <v>203</v>
      </c>
      <c r="D205" s="14" t="s">
        <v>14</v>
      </c>
      <c r="E205" s="14">
        <v>12.0399999999999</v>
      </c>
      <c r="F205" s="14">
        <v>4.2999999999999901</v>
      </c>
      <c r="G205" s="14">
        <v>2.3799999999999901</v>
      </c>
      <c r="H205" s="14">
        <v>22</v>
      </c>
      <c r="I205" s="14">
        <v>80</v>
      </c>
      <c r="J205" s="14">
        <v>2.1</v>
      </c>
      <c r="K205" s="14">
        <v>1.75</v>
      </c>
      <c r="L205" s="14">
        <v>0.41999999999999899</v>
      </c>
      <c r="M205" s="14">
        <v>1.35</v>
      </c>
      <c r="N205" s="14">
        <v>2.6</v>
      </c>
      <c r="O205" s="14">
        <v>0.79</v>
      </c>
      <c r="P205" s="14">
        <v>2.5699999999999901</v>
      </c>
      <c r="Q205">
        <v>580</v>
      </c>
    </row>
    <row r="206" spans="3:17" x14ac:dyDescent="0.25">
      <c r="C206" s="15" t="s">
        <v>318</v>
      </c>
      <c r="D206" s="14" t="s">
        <v>14</v>
      </c>
      <c r="E206" s="14">
        <v>12.08</v>
      </c>
      <c r="F206" s="14">
        <v>1.33</v>
      </c>
      <c r="G206" s="14">
        <v>2.2999999999999901</v>
      </c>
      <c r="H206" s="14">
        <v>23.6</v>
      </c>
      <c r="I206" s="14">
        <v>70</v>
      </c>
      <c r="J206" s="14">
        <v>2.2000000000000002</v>
      </c>
      <c r="K206" s="14">
        <v>1.59</v>
      </c>
      <c r="L206" s="14">
        <v>0.41999999999999899</v>
      </c>
      <c r="M206" s="14">
        <v>1.3799999999999899</v>
      </c>
      <c r="N206" s="14">
        <v>1.74</v>
      </c>
      <c r="O206" s="14">
        <v>1.07</v>
      </c>
      <c r="P206" s="14">
        <v>3.21</v>
      </c>
      <c r="Q206">
        <v>625</v>
      </c>
    </row>
    <row r="207" spans="3:17" x14ac:dyDescent="0.25">
      <c r="C207" s="15" t="s">
        <v>268</v>
      </c>
      <c r="D207" s="14" t="s">
        <v>13</v>
      </c>
      <c r="E207" s="14">
        <v>14.22</v>
      </c>
      <c r="F207" s="14">
        <v>3.99</v>
      </c>
      <c r="G207" s="14">
        <v>2.50999999999999</v>
      </c>
      <c r="H207" s="14">
        <v>13.1999999999999</v>
      </c>
      <c r="I207" s="14">
        <v>128</v>
      </c>
      <c r="J207" s="14">
        <v>3</v>
      </c>
      <c r="K207" s="14">
        <v>3.04</v>
      </c>
      <c r="L207" s="14">
        <v>0.2</v>
      </c>
      <c r="M207" s="14">
        <v>2.08</v>
      </c>
      <c r="N207" s="14">
        <v>5.0999999999999899</v>
      </c>
      <c r="O207" s="14">
        <v>0.89</v>
      </c>
      <c r="P207" s="14">
        <v>3.52999999999999</v>
      </c>
      <c r="Q207">
        <v>760</v>
      </c>
    </row>
    <row r="208" spans="3:17" x14ac:dyDescent="0.25">
      <c r="C208" s="15" t="s">
        <v>180</v>
      </c>
      <c r="D208" s="14" t="s">
        <v>14</v>
      </c>
      <c r="E208" s="14">
        <v>12.25</v>
      </c>
      <c r="F208" s="14">
        <v>1.73</v>
      </c>
      <c r="G208" s="14">
        <v>2.12</v>
      </c>
      <c r="H208" s="14">
        <v>19</v>
      </c>
      <c r="I208" s="14">
        <v>80</v>
      </c>
      <c r="J208" s="14">
        <v>1.6499999999999899</v>
      </c>
      <c r="K208" s="14">
        <v>2.02999999999999</v>
      </c>
      <c r="L208" s="14">
        <v>0.37</v>
      </c>
      <c r="M208" s="14">
        <v>1.6299999999999899</v>
      </c>
      <c r="N208" s="14">
        <v>3.3999999999999901</v>
      </c>
      <c r="O208" s="14">
        <v>1</v>
      </c>
      <c r="P208" s="14">
        <v>3.1699999999999902</v>
      </c>
      <c r="Q208">
        <v>510</v>
      </c>
    </row>
    <row r="209" spans="3:17" x14ac:dyDescent="0.25">
      <c r="C209" s="15" t="s">
        <v>287</v>
      </c>
      <c r="D209" s="14" t="s">
        <v>13</v>
      </c>
      <c r="E209" s="14">
        <v>13.72</v>
      </c>
      <c r="F209" s="14">
        <v>1.4299999999999899</v>
      </c>
      <c r="G209" s="14">
        <v>2.5</v>
      </c>
      <c r="H209" s="14">
        <v>16.6999999999999</v>
      </c>
      <c r="I209" s="14">
        <v>108</v>
      </c>
      <c r="J209" s="14">
        <v>3.3999999999999901</v>
      </c>
      <c r="K209" s="14">
        <v>3.6699999999999902</v>
      </c>
      <c r="L209" s="14">
        <v>0.19</v>
      </c>
      <c r="M209" s="14">
        <v>2.04</v>
      </c>
      <c r="N209" s="14">
        <v>6.7999999999999901</v>
      </c>
      <c r="O209" s="14">
        <v>0.89</v>
      </c>
      <c r="P209" s="14">
        <v>2.87</v>
      </c>
      <c r="Q209">
        <v>1285</v>
      </c>
    </row>
    <row r="210" spans="3:17" x14ac:dyDescent="0.25">
      <c r="C210" s="15" t="s">
        <v>291</v>
      </c>
      <c r="D210" s="14" t="s">
        <v>14</v>
      </c>
      <c r="E210" s="14">
        <v>13.67</v>
      </c>
      <c r="F210" s="14">
        <v>1.25</v>
      </c>
      <c r="G210" s="14">
        <v>1.9199999999999899</v>
      </c>
      <c r="H210" s="14">
        <v>18</v>
      </c>
      <c r="I210" s="14">
        <v>94</v>
      </c>
      <c r="J210" s="14">
        <v>2.1</v>
      </c>
      <c r="K210" s="14">
        <v>1.79</v>
      </c>
      <c r="L210" s="14">
        <v>0.32</v>
      </c>
      <c r="M210" s="14">
        <v>0.72999999999999898</v>
      </c>
      <c r="N210" s="14">
        <v>3.7999999999999901</v>
      </c>
      <c r="O210" s="14">
        <v>1.23</v>
      </c>
      <c r="P210" s="14">
        <v>2.46</v>
      </c>
      <c r="Q210">
        <v>630</v>
      </c>
    </row>
    <row r="211" spans="3:17" x14ac:dyDescent="0.25">
      <c r="C211" s="15" t="s">
        <v>231</v>
      </c>
      <c r="D211" s="14" t="s">
        <v>15</v>
      </c>
      <c r="E211" s="14">
        <v>12.4499999999999</v>
      </c>
      <c r="F211" s="14">
        <v>3.02999999999999</v>
      </c>
      <c r="G211" s="14">
        <v>2.64</v>
      </c>
      <c r="H211" s="14">
        <v>27</v>
      </c>
      <c r="I211" s="14">
        <v>97</v>
      </c>
      <c r="J211" s="14">
        <v>1.8999999999999899</v>
      </c>
      <c r="K211" s="14">
        <v>0.57999999999999896</v>
      </c>
      <c r="L211" s="14">
        <v>0.63</v>
      </c>
      <c r="M211" s="14">
        <v>1.1399999999999899</v>
      </c>
      <c r="N211" s="14">
        <v>7.5</v>
      </c>
      <c r="O211" s="14">
        <v>0.67</v>
      </c>
      <c r="P211" s="14">
        <v>1.73</v>
      </c>
      <c r="Q211">
        <v>880</v>
      </c>
    </row>
    <row r="212" spans="3:17" x14ac:dyDescent="0.25">
      <c r="C212" s="15" t="s">
        <v>178</v>
      </c>
      <c r="D212" s="14" t="s">
        <v>14</v>
      </c>
      <c r="E212" s="14">
        <v>12.51</v>
      </c>
      <c r="F212" s="14">
        <v>1.73</v>
      </c>
      <c r="G212" s="14">
        <v>1.98</v>
      </c>
      <c r="H212" s="14">
        <v>20.5</v>
      </c>
      <c r="I212" s="14">
        <v>85</v>
      </c>
      <c r="J212" s="14">
        <v>2.2000000000000002</v>
      </c>
      <c r="K212" s="14">
        <v>1.9199999999999899</v>
      </c>
      <c r="L212" s="14">
        <v>0.32</v>
      </c>
      <c r="M212" s="14">
        <v>1.48</v>
      </c>
      <c r="N212" s="14">
        <v>2.9399999999999902</v>
      </c>
      <c r="O212" s="14">
        <v>1.04</v>
      </c>
      <c r="P212" s="14">
        <v>3.5699999999999901</v>
      </c>
      <c r="Q212">
        <v>672</v>
      </c>
    </row>
    <row r="213" spans="3:17" x14ac:dyDescent="0.25">
      <c r="C213" s="15" t="s">
        <v>143</v>
      </c>
      <c r="D213" s="14" t="s">
        <v>14</v>
      </c>
      <c r="E213" s="14">
        <v>12.21</v>
      </c>
      <c r="F213" s="14">
        <v>1.18999999999999</v>
      </c>
      <c r="G213" s="14">
        <v>1.75</v>
      </c>
      <c r="H213" s="14">
        <v>16.8</v>
      </c>
      <c r="I213" s="14">
        <v>151</v>
      </c>
      <c r="J213" s="14">
        <v>1.85</v>
      </c>
      <c r="K213" s="14">
        <v>1.28</v>
      </c>
      <c r="L213" s="14">
        <v>0.14000000000000001</v>
      </c>
      <c r="M213" s="14">
        <v>2.5</v>
      </c>
      <c r="N213" s="14">
        <v>2.85</v>
      </c>
      <c r="O213" s="14">
        <v>1.28</v>
      </c>
      <c r="P213" s="14">
        <v>3.0699999999999901</v>
      </c>
      <c r="Q213">
        <v>718</v>
      </c>
    </row>
    <row r="214" spans="3:17" x14ac:dyDescent="0.25">
      <c r="C214" s="15" t="s">
        <v>368</v>
      </c>
      <c r="D214" s="14" t="s">
        <v>15</v>
      </c>
      <c r="E214" s="14">
        <v>12.84</v>
      </c>
      <c r="F214" s="14">
        <v>2.96</v>
      </c>
      <c r="G214" s="14">
        <v>2.6099999999999901</v>
      </c>
      <c r="H214" s="14">
        <v>24</v>
      </c>
      <c r="I214" s="14">
        <v>101</v>
      </c>
      <c r="J214" s="14">
        <v>2.3199999999999901</v>
      </c>
      <c r="K214" s="14">
        <v>0.59999999999999898</v>
      </c>
      <c r="L214" s="14">
        <v>0.53</v>
      </c>
      <c r="M214" s="14">
        <v>0.81</v>
      </c>
      <c r="N214" s="14">
        <v>4.9199999999999902</v>
      </c>
      <c r="O214" s="14">
        <v>0.89</v>
      </c>
      <c r="P214" s="14">
        <v>2.1499999999999901</v>
      </c>
      <c r="Q214">
        <v>590</v>
      </c>
    </row>
    <row r="215" spans="3:17" x14ac:dyDescent="0.25">
      <c r="C215" s="15" t="s">
        <v>297</v>
      </c>
      <c r="D215" s="14" t="s">
        <v>14</v>
      </c>
      <c r="E215" s="14">
        <v>13.34</v>
      </c>
      <c r="F215" s="14">
        <v>0.93999999999999895</v>
      </c>
      <c r="G215" s="14">
        <v>2.3599999999999901</v>
      </c>
      <c r="H215" s="14">
        <v>17</v>
      </c>
      <c r="I215" s="14">
        <v>110</v>
      </c>
      <c r="J215" s="14">
        <v>2.52999999999999</v>
      </c>
      <c r="K215" s="14">
        <v>1.3</v>
      </c>
      <c r="L215" s="14">
        <v>0.55000000000000004</v>
      </c>
      <c r="M215" s="14">
        <v>0.41999999999999899</v>
      </c>
      <c r="N215" s="14">
        <v>3.1699999999999902</v>
      </c>
      <c r="O215" s="14">
        <v>1.02</v>
      </c>
      <c r="P215" s="14">
        <v>1.9299999999999899</v>
      </c>
      <c r="Q215">
        <v>750</v>
      </c>
    </row>
    <row r="216" spans="3:17" x14ac:dyDescent="0.25">
      <c r="C216" s="15" t="s">
        <v>123</v>
      </c>
      <c r="D216" s="14" t="s">
        <v>13</v>
      </c>
      <c r="E216" s="14">
        <v>13.94</v>
      </c>
      <c r="F216" s="14">
        <v>1.73</v>
      </c>
      <c r="G216" s="14">
        <v>2.27</v>
      </c>
      <c r="H216" s="14">
        <v>17.399999999999899</v>
      </c>
      <c r="I216" s="14">
        <v>108</v>
      </c>
      <c r="J216" s="14">
        <v>2.8799999999999901</v>
      </c>
      <c r="K216" s="14">
        <v>3.54</v>
      </c>
      <c r="L216" s="14">
        <v>0.32</v>
      </c>
      <c r="M216" s="14">
        <v>2.08</v>
      </c>
      <c r="N216" s="14">
        <v>8.9</v>
      </c>
      <c r="O216" s="14">
        <v>1.1200000000000001</v>
      </c>
      <c r="P216" s="14">
        <v>3.1</v>
      </c>
      <c r="Q216">
        <v>1260</v>
      </c>
    </row>
    <row r="217" spans="3:17" x14ac:dyDescent="0.25">
      <c r="C217" s="15" t="s">
        <v>325</v>
      </c>
      <c r="D217" s="14" t="s">
        <v>14</v>
      </c>
      <c r="E217" s="14">
        <v>11.81</v>
      </c>
      <c r="F217" s="14">
        <v>2.12</v>
      </c>
      <c r="G217" s="14">
        <v>2.74</v>
      </c>
      <c r="H217" s="14">
        <v>21.5</v>
      </c>
      <c r="I217" s="14">
        <v>134</v>
      </c>
      <c r="J217" s="14">
        <v>1.6</v>
      </c>
      <c r="K217" s="14">
        <v>0.98999999999999899</v>
      </c>
      <c r="L217" s="14">
        <v>0.14000000000000001</v>
      </c>
      <c r="M217" s="14">
        <v>1.56</v>
      </c>
      <c r="N217" s="14">
        <v>2.5</v>
      </c>
      <c r="O217" s="14">
        <v>0.94999999999999896</v>
      </c>
      <c r="P217" s="14">
        <v>2.25999999999999</v>
      </c>
      <c r="Q217">
        <v>625</v>
      </c>
    </row>
    <row r="218" spans="3:17" x14ac:dyDescent="0.25">
      <c r="C218" s="15" t="s">
        <v>359</v>
      </c>
      <c r="D218" s="14" t="s">
        <v>15</v>
      </c>
      <c r="E218" s="14">
        <v>12.8599999999999</v>
      </c>
      <c r="F218" s="14">
        <v>1.35</v>
      </c>
      <c r="G218" s="14">
        <v>2.3199999999999901</v>
      </c>
      <c r="H218" s="14">
        <v>18</v>
      </c>
      <c r="I218" s="14">
        <v>122</v>
      </c>
      <c r="J218" s="14">
        <v>1.51</v>
      </c>
      <c r="K218" s="14">
        <v>1.25</v>
      </c>
      <c r="L218" s="14">
        <v>0.20999999999999899</v>
      </c>
      <c r="M218" s="14">
        <v>0.93999999999999895</v>
      </c>
      <c r="N218" s="14">
        <v>4.0999999999999899</v>
      </c>
      <c r="O218" s="14">
        <v>0.76</v>
      </c>
      <c r="P218" s="14">
        <v>1.29</v>
      </c>
      <c r="Q218">
        <v>630</v>
      </c>
    </row>
    <row r="219" spans="3:17" x14ac:dyDescent="0.25">
      <c r="C219" s="15" t="s">
        <v>190</v>
      </c>
      <c r="D219" s="14" t="s">
        <v>14</v>
      </c>
      <c r="E219" s="14">
        <v>11.82</v>
      </c>
      <c r="F219" s="14">
        <v>1.47</v>
      </c>
      <c r="G219" s="14">
        <v>1.99</v>
      </c>
      <c r="H219" s="14">
        <v>20.8</v>
      </c>
      <c r="I219" s="14">
        <v>86</v>
      </c>
      <c r="J219" s="14">
        <v>1.98</v>
      </c>
      <c r="K219" s="14">
        <v>1.6</v>
      </c>
      <c r="L219" s="14">
        <v>0.29999999999999899</v>
      </c>
      <c r="M219" s="14">
        <v>1.53</v>
      </c>
      <c r="N219" s="14">
        <v>1.95</v>
      </c>
      <c r="O219" s="14">
        <v>0.94999999999999896</v>
      </c>
      <c r="P219" s="14">
        <v>3.33</v>
      </c>
      <c r="Q219">
        <v>495</v>
      </c>
    </row>
    <row r="220" spans="3:17" x14ac:dyDescent="0.25">
      <c r="C220" s="15" t="s">
        <v>128</v>
      </c>
      <c r="D220" s="14" t="s">
        <v>13</v>
      </c>
      <c r="E220" s="14">
        <v>13.74</v>
      </c>
      <c r="F220" s="14">
        <v>1.6699999999999899</v>
      </c>
      <c r="G220" s="14">
        <v>2.25</v>
      </c>
      <c r="H220" s="14">
        <v>16.399999999999899</v>
      </c>
      <c r="I220" s="14">
        <v>118</v>
      </c>
      <c r="J220" s="14">
        <v>2.6</v>
      </c>
      <c r="K220" s="14">
        <v>2.8999999999999901</v>
      </c>
      <c r="L220" s="14">
        <v>0.20999999999999899</v>
      </c>
      <c r="M220" s="14">
        <v>1.62</v>
      </c>
      <c r="N220" s="14">
        <v>5.8499999999999899</v>
      </c>
      <c r="O220" s="14">
        <v>0.92</v>
      </c>
      <c r="P220" s="14">
        <v>3.2</v>
      </c>
      <c r="Q220">
        <v>1060</v>
      </c>
    </row>
    <row r="221" spans="3:17" x14ac:dyDescent="0.25">
      <c r="C221" s="15" t="s">
        <v>330</v>
      </c>
      <c r="D221" s="14" t="s">
        <v>14</v>
      </c>
      <c r="E221" s="14">
        <v>12.6</v>
      </c>
      <c r="F221" s="14">
        <v>1.34</v>
      </c>
      <c r="G221" s="14">
        <v>1.8999999999999899</v>
      </c>
      <c r="H221" s="14">
        <v>18.5</v>
      </c>
      <c r="I221" s="14">
        <v>88</v>
      </c>
      <c r="J221" s="14">
        <v>1.45</v>
      </c>
      <c r="K221" s="14">
        <v>1.36</v>
      </c>
      <c r="L221" s="14">
        <v>0.28999999999999898</v>
      </c>
      <c r="M221" s="14">
        <v>1.35</v>
      </c>
      <c r="N221" s="14">
        <v>2.4500000000000002</v>
      </c>
      <c r="O221" s="14">
        <v>1.04</v>
      </c>
      <c r="P221" s="14">
        <v>2.77</v>
      </c>
      <c r="Q221">
        <v>562</v>
      </c>
    </row>
    <row r="222" spans="3:17" x14ac:dyDescent="0.25">
      <c r="C222" s="15" t="s">
        <v>333</v>
      </c>
      <c r="D222" s="14" t="s">
        <v>14</v>
      </c>
      <c r="E222" s="14">
        <v>12.51</v>
      </c>
      <c r="F222" s="14">
        <v>1.73</v>
      </c>
      <c r="G222" s="14">
        <v>1.98</v>
      </c>
      <c r="H222" s="14">
        <v>20.5</v>
      </c>
      <c r="I222" s="14">
        <v>85</v>
      </c>
      <c r="J222" s="14">
        <v>2.2000000000000002</v>
      </c>
      <c r="K222" s="14">
        <v>1.9199999999999899</v>
      </c>
      <c r="L222" s="14">
        <v>0.32</v>
      </c>
      <c r="M222" s="14">
        <v>1.48</v>
      </c>
      <c r="N222" s="14">
        <v>2.9399999999999902</v>
      </c>
      <c r="O222" s="14">
        <v>1.04</v>
      </c>
      <c r="P222" s="14">
        <v>3.5699999999999901</v>
      </c>
      <c r="Q222">
        <v>672</v>
      </c>
    </row>
    <row r="223" spans="3:17" x14ac:dyDescent="0.25">
      <c r="C223" s="15" t="s">
        <v>150</v>
      </c>
      <c r="D223" s="14" t="s">
        <v>14</v>
      </c>
      <c r="E223" s="14">
        <v>13.0299999999999</v>
      </c>
      <c r="F223" s="14">
        <v>0.9</v>
      </c>
      <c r="G223" s="14">
        <v>1.71</v>
      </c>
      <c r="H223" s="14">
        <v>16</v>
      </c>
      <c r="I223" s="14">
        <v>86</v>
      </c>
      <c r="J223" s="14">
        <v>1.95</v>
      </c>
      <c r="K223" s="14">
        <v>2.02999999999999</v>
      </c>
      <c r="L223" s="14">
        <v>0.23999999999999899</v>
      </c>
      <c r="M223" s="14">
        <v>1.46</v>
      </c>
      <c r="N223" s="14">
        <v>4.5999999999999899</v>
      </c>
      <c r="O223" s="14">
        <v>1.18999999999999</v>
      </c>
      <c r="P223" s="14">
        <v>2.48</v>
      </c>
      <c r="Q223">
        <v>392</v>
      </c>
    </row>
    <row r="224" spans="3:17" x14ac:dyDescent="0.25">
      <c r="C224" s="15" t="s">
        <v>126</v>
      </c>
      <c r="D224" s="14" t="s">
        <v>13</v>
      </c>
      <c r="E224" s="14">
        <v>13.82</v>
      </c>
      <c r="F224" s="14">
        <v>1.75</v>
      </c>
      <c r="G224" s="14">
        <v>2.4199999999999902</v>
      </c>
      <c r="H224" s="14">
        <v>14</v>
      </c>
      <c r="I224" s="14">
        <v>111</v>
      </c>
      <c r="J224" s="14">
        <v>3.8799999999999901</v>
      </c>
      <c r="K224" s="14">
        <v>3.74</v>
      </c>
      <c r="L224" s="14">
        <v>0.32</v>
      </c>
      <c r="M224" s="14">
        <v>1.87</v>
      </c>
      <c r="N224" s="14">
        <v>7.0499999999999901</v>
      </c>
      <c r="O224" s="14">
        <v>1.01</v>
      </c>
      <c r="P224" s="14">
        <v>3.25999999999999</v>
      </c>
      <c r="Q224">
        <v>1190</v>
      </c>
    </row>
    <row r="225" spans="3:17" x14ac:dyDescent="0.25">
      <c r="C225" s="15" t="s">
        <v>198</v>
      </c>
      <c r="D225" s="14" t="s">
        <v>14</v>
      </c>
      <c r="E225" s="14">
        <v>11.8699999999999</v>
      </c>
      <c r="F225" s="14">
        <v>4.3099999999999898</v>
      </c>
      <c r="G225" s="14">
        <v>2.39</v>
      </c>
      <c r="H225" s="14">
        <v>21</v>
      </c>
      <c r="I225" s="14">
        <v>82</v>
      </c>
      <c r="J225" s="14">
        <v>2.8599999999999901</v>
      </c>
      <c r="K225" s="14">
        <v>3.02999999999999</v>
      </c>
      <c r="L225" s="14">
        <v>0.20999999999999899</v>
      </c>
      <c r="M225" s="14">
        <v>2.91</v>
      </c>
      <c r="N225" s="14">
        <v>2.7999999999999901</v>
      </c>
      <c r="O225" s="14">
        <v>0.75</v>
      </c>
      <c r="P225" s="14">
        <v>3.64</v>
      </c>
      <c r="Q225">
        <v>380</v>
      </c>
    </row>
    <row r="226" spans="3:17" x14ac:dyDescent="0.25">
      <c r="C226" s="15" t="s">
        <v>281</v>
      </c>
      <c r="D226" s="14" t="s">
        <v>13</v>
      </c>
      <c r="E226" s="14">
        <v>13.82</v>
      </c>
      <c r="F226" s="14">
        <v>1.75</v>
      </c>
      <c r="G226" s="14">
        <v>2.4199999999999902</v>
      </c>
      <c r="H226" s="14">
        <v>14</v>
      </c>
      <c r="I226" s="14">
        <v>111</v>
      </c>
      <c r="J226" s="14">
        <v>3.8799999999999901</v>
      </c>
      <c r="K226" s="14">
        <v>3.74</v>
      </c>
      <c r="L226" s="14">
        <v>0.32</v>
      </c>
      <c r="M226" s="14">
        <v>1.87</v>
      </c>
      <c r="N226" s="14">
        <v>7.0499999999999901</v>
      </c>
      <c r="O226" s="14">
        <v>1.01</v>
      </c>
      <c r="P226" s="14">
        <v>3.25999999999999</v>
      </c>
      <c r="Q226">
        <v>1190</v>
      </c>
    </row>
    <row r="227" spans="3:17" x14ac:dyDescent="0.25">
      <c r="C227" s="15" t="s">
        <v>227</v>
      </c>
      <c r="D227" s="14" t="s">
        <v>15</v>
      </c>
      <c r="E227" s="14">
        <v>13.23</v>
      </c>
      <c r="F227" s="14">
        <v>3.2999999999999901</v>
      </c>
      <c r="G227" s="14">
        <v>2.27999999999999</v>
      </c>
      <c r="H227" s="14">
        <v>18.5</v>
      </c>
      <c r="I227" s="14">
        <v>98</v>
      </c>
      <c r="J227" s="14">
        <v>1.8</v>
      </c>
      <c r="K227" s="14">
        <v>0.82999999999999896</v>
      </c>
      <c r="L227" s="14">
        <v>0.60999999999999899</v>
      </c>
      <c r="M227" s="14">
        <v>1.87</v>
      </c>
      <c r="N227" s="14">
        <v>10.52</v>
      </c>
      <c r="O227" s="14">
        <v>0.56000000000000005</v>
      </c>
      <c r="P227" s="14">
        <v>1.51</v>
      </c>
      <c r="Q227">
        <v>675</v>
      </c>
    </row>
    <row r="228" spans="3:17" x14ac:dyDescent="0.25">
      <c r="C228" s="15" t="s">
        <v>295</v>
      </c>
      <c r="D228" s="14" t="s">
        <v>14</v>
      </c>
      <c r="E228" s="14">
        <v>13.1099999999999</v>
      </c>
      <c r="F228" s="14">
        <v>1.01</v>
      </c>
      <c r="G228" s="14">
        <v>1.7</v>
      </c>
      <c r="H228" s="14">
        <v>15</v>
      </c>
      <c r="I228" s="14">
        <v>78</v>
      </c>
      <c r="J228" s="14">
        <v>2.98</v>
      </c>
      <c r="K228" s="14">
        <v>3.18</v>
      </c>
      <c r="L228" s="14">
        <v>0.26</v>
      </c>
      <c r="M228" s="14">
        <v>2.27999999999999</v>
      </c>
      <c r="N228" s="14">
        <v>5.2999999999999901</v>
      </c>
      <c r="O228" s="14">
        <v>1.1200000000000001</v>
      </c>
      <c r="P228" s="14">
        <v>3.18</v>
      </c>
      <c r="Q228">
        <v>502</v>
      </c>
    </row>
    <row r="229" spans="3:17" x14ac:dyDescent="0.25">
      <c r="C229" s="15" t="s">
        <v>75</v>
      </c>
      <c r="D229" s="14" t="s">
        <v>13</v>
      </c>
      <c r="E229" s="14">
        <v>13.1999999999999</v>
      </c>
      <c r="F229" s="14">
        <v>1.78</v>
      </c>
      <c r="G229" s="14">
        <v>2.14</v>
      </c>
      <c r="H229" s="14">
        <v>11.1999999999999</v>
      </c>
      <c r="I229" s="14">
        <v>100</v>
      </c>
      <c r="J229" s="14">
        <v>2.6499999999999901</v>
      </c>
      <c r="K229" s="14">
        <v>2.75999999999999</v>
      </c>
      <c r="L229" s="14">
        <v>0.26</v>
      </c>
      <c r="M229" s="14">
        <v>1.28</v>
      </c>
      <c r="N229" s="14">
        <v>4.3799999999999901</v>
      </c>
      <c r="O229" s="14">
        <v>1.05</v>
      </c>
      <c r="P229" s="14">
        <v>3.3999999999999901</v>
      </c>
      <c r="Q229">
        <v>1050</v>
      </c>
    </row>
    <row r="230" spans="3:17" x14ac:dyDescent="0.25">
      <c r="C230" s="15" t="s">
        <v>257</v>
      </c>
      <c r="D230" s="14" t="s">
        <v>13</v>
      </c>
      <c r="E230" s="14">
        <v>13.8699999999999</v>
      </c>
      <c r="F230" s="14">
        <v>1.8999999999999899</v>
      </c>
      <c r="G230" s="14">
        <v>2.7999999999999901</v>
      </c>
      <c r="H230" s="14">
        <v>19.399999999999899</v>
      </c>
      <c r="I230" s="14">
        <v>107</v>
      </c>
      <c r="J230" s="14">
        <v>2.95</v>
      </c>
      <c r="K230" s="14">
        <v>2.97</v>
      </c>
      <c r="L230" s="14">
        <v>0.37</v>
      </c>
      <c r="M230" s="14">
        <v>1.76</v>
      </c>
      <c r="N230" s="14">
        <v>4.5</v>
      </c>
      <c r="O230" s="14">
        <v>1.25</v>
      </c>
      <c r="P230" s="14">
        <v>3.3999999999999901</v>
      </c>
      <c r="Q230">
        <v>915</v>
      </c>
    </row>
    <row r="231" spans="3:17" x14ac:dyDescent="0.25">
      <c r="C231" s="15" t="s">
        <v>309</v>
      </c>
      <c r="D231" s="14" t="s">
        <v>14</v>
      </c>
      <c r="E231" s="14">
        <v>12</v>
      </c>
      <c r="F231" s="14">
        <v>0.92</v>
      </c>
      <c r="G231" s="14">
        <v>2</v>
      </c>
      <c r="H231" s="14">
        <v>19</v>
      </c>
      <c r="I231" s="14">
        <v>86</v>
      </c>
      <c r="J231" s="14">
        <v>2.4199999999999902</v>
      </c>
      <c r="K231" s="14">
        <v>2.25999999999999</v>
      </c>
      <c r="L231" s="14">
        <v>0.29999999999999899</v>
      </c>
      <c r="M231" s="14">
        <v>1.4299999999999899</v>
      </c>
      <c r="N231" s="14">
        <v>2.5</v>
      </c>
      <c r="O231" s="14">
        <v>1.3799999999999899</v>
      </c>
      <c r="P231" s="14">
        <v>3.12</v>
      </c>
      <c r="Q231">
        <v>278</v>
      </c>
    </row>
    <row r="232" spans="3:17" x14ac:dyDescent="0.25">
      <c r="C232" s="15" t="s">
        <v>302</v>
      </c>
      <c r="D232" s="14" t="s">
        <v>14</v>
      </c>
      <c r="E232" s="14">
        <v>12.99</v>
      </c>
      <c r="F232" s="14">
        <v>1.6699999999999899</v>
      </c>
      <c r="G232" s="14">
        <v>2.6</v>
      </c>
      <c r="H232" s="14">
        <v>30</v>
      </c>
      <c r="I232" s="14">
        <v>139</v>
      </c>
      <c r="J232" s="14">
        <v>3.2999999999999901</v>
      </c>
      <c r="K232" s="14">
        <v>2.89</v>
      </c>
      <c r="L232" s="14">
        <v>0.20999999999999899</v>
      </c>
      <c r="M232" s="14">
        <v>1.96</v>
      </c>
      <c r="N232" s="14">
        <v>3.35</v>
      </c>
      <c r="O232" s="14">
        <v>1.31</v>
      </c>
      <c r="P232" s="14">
        <v>3.5</v>
      </c>
      <c r="Q232">
        <v>985</v>
      </c>
    </row>
    <row r="233" spans="3:17" x14ac:dyDescent="0.25">
      <c r="C233" s="15" t="s">
        <v>177</v>
      </c>
      <c r="D233" s="14" t="s">
        <v>14</v>
      </c>
      <c r="E233" s="14">
        <v>11.82</v>
      </c>
      <c r="F233" s="14">
        <v>1.72</v>
      </c>
      <c r="G233" s="14">
        <v>1.8799999999999899</v>
      </c>
      <c r="H233" s="14">
        <v>19.5</v>
      </c>
      <c r="I233" s="14">
        <v>86</v>
      </c>
      <c r="J233" s="14">
        <v>2.5</v>
      </c>
      <c r="K233" s="14">
        <v>1.6399999999999899</v>
      </c>
      <c r="L233" s="14">
        <v>0.37</v>
      </c>
      <c r="M233" s="14">
        <v>1.4199999999999899</v>
      </c>
      <c r="N233" s="14">
        <v>2.06</v>
      </c>
      <c r="O233" s="14">
        <v>0.93999999999999895</v>
      </c>
      <c r="P233" s="14">
        <v>2.4399999999999902</v>
      </c>
      <c r="Q233">
        <v>415</v>
      </c>
    </row>
    <row r="234" spans="3:17" x14ac:dyDescent="0.25">
      <c r="C234" s="15" t="s">
        <v>236</v>
      </c>
      <c r="D234" s="14" t="s">
        <v>15</v>
      </c>
      <c r="E234" s="14">
        <v>12.85</v>
      </c>
      <c r="F234" s="14">
        <v>3.27</v>
      </c>
      <c r="G234" s="14">
        <v>2.58</v>
      </c>
      <c r="H234" s="14">
        <v>22</v>
      </c>
      <c r="I234" s="14">
        <v>106</v>
      </c>
      <c r="J234" s="14">
        <v>1.6499999999999899</v>
      </c>
      <c r="K234" s="14">
        <v>0.59999999999999898</v>
      </c>
      <c r="L234" s="14">
        <v>0.59999999999999898</v>
      </c>
      <c r="M234" s="14">
        <v>0.95999999999999897</v>
      </c>
      <c r="N234" s="14">
        <v>5.58</v>
      </c>
      <c r="O234" s="14">
        <v>0.87</v>
      </c>
      <c r="P234" s="14">
        <v>2.1099999999999901</v>
      </c>
      <c r="Q234">
        <v>570</v>
      </c>
    </row>
    <row r="235" spans="3:17" x14ac:dyDescent="0.25">
      <c r="C235" s="15" t="s">
        <v>363</v>
      </c>
      <c r="D235" s="14" t="s">
        <v>15</v>
      </c>
      <c r="E235" s="14">
        <v>12.51</v>
      </c>
      <c r="F235" s="14">
        <v>1.24</v>
      </c>
      <c r="G235" s="14">
        <v>2.25</v>
      </c>
      <c r="H235" s="14">
        <v>17.5</v>
      </c>
      <c r="I235" s="14">
        <v>85</v>
      </c>
      <c r="J235" s="14">
        <v>2</v>
      </c>
      <c r="K235" s="14">
        <v>0.57999999999999896</v>
      </c>
      <c r="L235" s="14">
        <v>0.59999999999999898</v>
      </c>
      <c r="M235" s="14">
        <v>1.25</v>
      </c>
      <c r="N235" s="14">
        <v>5.45</v>
      </c>
      <c r="O235" s="14">
        <v>0.75</v>
      </c>
      <c r="P235" s="14">
        <v>1.51</v>
      </c>
      <c r="Q235">
        <v>650</v>
      </c>
    </row>
    <row r="236" spans="3:17" x14ac:dyDescent="0.25">
      <c r="C236" s="15" t="s">
        <v>280</v>
      </c>
      <c r="D236" s="14" t="s">
        <v>13</v>
      </c>
      <c r="E236" s="14">
        <v>13.83</v>
      </c>
      <c r="F236" s="14">
        <v>1.6499999999999899</v>
      </c>
      <c r="G236" s="14">
        <v>2.6</v>
      </c>
      <c r="H236" s="14">
        <v>17.1999999999999</v>
      </c>
      <c r="I236" s="14">
        <v>94</v>
      </c>
      <c r="J236" s="14">
        <v>2.4500000000000002</v>
      </c>
      <c r="K236" s="14">
        <v>2.99</v>
      </c>
      <c r="L236" s="14">
        <v>0.22</v>
      </c>
      <c r="M236" s="14">
        <v>2.29</v>
      </c>
      <c r="N236" s="14">
        <v>5.5999999999999899</v>
      </c>
      <c r="O236" s="14">
        <v>1.24</v>
      </c>
      <c r="P236" s="14">
        <v>3.37</v>
      </c>
      <c r="Q236">
        <v>1265</v>
      </c>
    </row>
    <row r="237" spans="3:17" x14ac:dyDescent="0.25">
      <c r="C237" s="15" t="s">
        <v>401</v>
      </c>
      <c r="D237" s="14" t="s">
        <v>15</v>
      </c>
      <c r="E237" s="14">
        <v>14.16</v>
      </c>
      <c r="F237" s="14">
        <v>2.50999999999999</v>
      </c>
      <c r="G237" s="14">
        <v>2.48</v>
      </c>
      <c r="H237" s="14">
        <v>20</v>
      </c>
      <c r="I237" s="14">
        <v>91</v>
      </c>
      <c r="J237" s="14">
        <v>1.6799999999999899</v>
      </c>
      <c r="K237" s="14">
        <v>0.69999999999999896</v>
      </c>
      <c r="L237" s="14">
        <v>0.44</v>
      </c>
      <c r="M237" s="14">
        <v>1.24</v>
      </c>
      <c r="N237" s="14">
        <v>9.6999999999999904</v>
      </c>
      <c r="O237" s="14">
        <v>0.62</v>
      </c>
      <c r="P237" s="14">
        <v>1.71</v>
      </c>
      <c r="Q237">
        <v>660</v>
      </c>
    </row>
    <row r="238" spans="3:17" x14ac:dyDescent="0.25">
      <c r="C238" s="15" t="s">
        <v>199</v>
      </c>
      <c r="D238" s="14" t="s">
        <v>14</v>
      </c>
      <c r="E238" s="14">
        <v>12.07</v>
      </c>
      <c r="F238" s="14">
        <v>2.16</v>
      </c>
      <c r="G238" s="14">
        <v>2.1699999999999902</v>
      </c>
      <c r="H238" s="14">
        <v>21</v>
      </c>
      <c r="I238" s="14">
        <v>85</v>
      </c>
      <c r="J238" s="14">
        <v>2.6</v>
      </c>
      <c r="K238" s="14">
        <v>2.6499999999999901</v>
      </c>
      <c r="L238" s="14">
        <v>0.37</v>
      </c>
      <c r="M238" s="14">
        <v>1.35</v>
      </c>
      <c r="N238" s="14">
        <v>2.75999999999999</v>
      </c>
      <c r="O238" s="14">
        <v>0.85999999999999899</v>
      </c>
      <c r="P238" s="14">
        <v>3.27999999999999</v>
      </c>
      <c r="Q238">
        <v>378</v>
      </c>
    </row>
    <row r="239" spans="3:17" x14ac:dyDescent="0.25">
      <c r="C239" s="15" t="s">
        <v>301</v>
      </c>
      <c r="D239" s="14" t="s">
        <v>14</v>
      </c>
      <c r="E239" s="14">
        <v>13.49</v>
      </c>
      <c r="F239" s="14">
        <v>1.6599999999999899</v>
      </c>
      <c r="G239" s="14">
        <v>2.2400000000000002</v>
      </c>
      <c r="H239" s="14">
        <v>24</v>
      </c>
      <c r="I239" s="14">
        <v>87</v>
      </c>
      <c r="J239" s="14">
        <v>1.8799999999999899</v>
      </c>
      <c r="K239" s="14">
        <v>1.84</v>
      </c>
      <c r="L239" s="14">
        <v>0.27</v>
      </c>
      <c r="M239" s="14">
        <v>1.03</v>
      </c>
      <c r="N239" s="14">
        <v>3.74</v>
      </c>
      <c r="O239" s="14">
        <v>0.97999999999999898</v>
      </c>
      <c r="P239" s="14">
        <v>2.77999999999999</v>
      </c>
      <c r="Q239">
        <v>472</v>
      </c>
    </row>
    <row r="240" spans="3:17" x14ac:dyDescent="0.25">
      <c r="C240" s="15" t="s">
        <v>277</v>
      </c>
      <c r="D240" s="14" t="s">
        <v>13</v>
      </c>
      <c r="E240" s="14">
        <v>14.1</v>
      </c>
      <c r="F240" s="14">
        <v>2.02</v>
      </c>
      <c r="G240" s="14">
        <v>2.3999999999999901</v>
      </c>
      <c r="H240" s="14">
        <v>18.8</v>
      </c>
      <c r="I240" s="14">
        <v>103</v>
      </c>
      <c r="J240" s="14">
        <v>2.75</v>
      </c>
      <c r="K240" s="14">
        <v>2.9199999999999902</v>
      </c>
      <c r="L240" s="14">
        <v>0.32</v>
      </c>
      <c r="M240" s="14">
        <v>2.3799999999999901</v>
      </c>
      <c r="N240" s="14">
        <v>6.2</v>
      </c>
      <c r="O240" s="14">
        <v>1.07</v>
      </c>
      <c r="P240" s="14">
        <v>2.75</v>
      </c>
      <c r="Q240">
        <v>1060</v>
      </c>
    </row>
    <row r="241" spans="3:17" x14ac:dyDescent="0.25">
      <c r="C241" s="15" t="s">
        <v>308</v>
      </c>
      <c r="D241" s="14" t="s">
        <v>14</v>
      </c>
      <c r="E241" s="14">
        <v>12.6999999999999</v>
      </c>
      <c r="F241" s="14">
        <v>3.87</v>
      </c>
      <c r="G241" s="14">
        <v>2.3999999999999901</v>
      </c>
      <c r="H241" s="14">
        <v>23</v>
      </c>
      <c r="I241" s="14">
        <v>101</v>
      </c>
      <c r="J241" s="14">
        <v>2.83</v>
      </c>
      <c r="K241" s="14">
        <v>2.5499999999999901</v>
      </c>
      <c r="L241" s="14">
        <v>0.42999999999999899</v>
      </c>
      <c r="M241" s="14">
        <v>1.95</v>
      </c>
      <c r="N241" s="14">
        <v>2.5699999999999901</v>
      </c>
      <c r="O241" s="14">
        <v>1.18999999999999</v>
      </c>
      <c r="P241" s="14">
        <v>3.1299999999999901</v>
      </c>
      <c r="Q241">
        <v>463</v>
      </c>
    </row>
    <row r="242" spans="3:17" x14ac:dyDescent="0.25">
      <c r="C242" s="15" t="s">
        <v>243</v>
      </c>
      <c r="D242" s="14" t="s">
        <v>15</v>
      </c>
      <c r="E242" s="14">
        <v>13.4</v>
      </c>
      <c r="F242" s="14">
        <v>4.5999999999999899</v>
      </c>
      <c r="G242" s="14">
        <v>2.8599999999999901</v>
      </c>
      <c r="H242" s="14">
        <v>25</v>
      </c>
      <c r="I242" s="14">
        <v>112</v>
      </c>
      <c r="J242" s="14">
        <v>1.98</v>
      </c>
      <c r="K242" s="14">
        <v>0.95999999999999897</v>
      </c>
      <c r="L242" s="14">
        <v>0.27</v>
      </c>
      <c r="M242" s="14">
        <v>1.1100000000000001</v>
      </c>
      <c r="N242" s="14">
        <v>8.5</v>
      </c>
      <c r="O242" s="14">
        <v>0.67</v>
      </c>
      <c r="P242" s="14">
        <v>1.9199999999999899</v>
      </c>
      <c r="Q242">
        <v>630</v>
      </c>
    </row>
    <row r="243" spans="3:17" x14ac:dyDescent="0.25">
      <c r="C243" s="15" t="s">
        <v>86</v>
      </c>
      <c r="D243" s="14" t="s">
        <v>13</v>
      </c>
      <c r="E243" s="14">
        <v>13.75</v>
      </c>
      <c r="F243" s="14">
        <v>1.73</v>
      </c>
      <c r="G243" s="14">
        <v>2.41</v>
      </c>
      <c r="H243" s="14">
        <v>16</v>
      </c>
      <c r="I243" s="14">
        <v>89</v>
      </c>
      <c r="J243" s="14">
        <v>2.6</v>
      </c>
      <c r="K243" s="14">
        <v>2.75999999999999</v>
      </c>
      <c r="L243" s="14">
        <v>0.28999999999999898</v>
      </c>
      <c r="M243" s="14">
        <v>1.81</v>
      </c>
      <c r="N243" s="14">
        <v>5.5999999999999899</v>
      </c>
      <c r="O243" s="14">
        <v>1.1499999999999899</v>
      </c>
      <c r="P243" s="14">
        <v>2.8999999999999901</v>
      </c>
      <c r="Q243">
        <v>1320</v>
      </c>
    </row>
    <row r="244" spans="3:17" x14ac:dyDescent="0.25">
      <c r="C244" s="15" t="s">
        <v>296</v>
      </c>
      <c r="D244" s="14" t="s">
        <v>14</v>
      </c>
      <c r="E244" s="14">
        <v>12.3699999999999</v>
      </c>
      <c r="F244" s="14">
        <v>1.1699999999999899</v>
      </c>
      <c r="G244" s="14">
        <v>1.9199999999999899</v>
      </c>
      <c r="H244" s="14">
        <v>19.600000000000001</v>
      </c>
      <c r="I244" s="14">
        <v>78</v>
      </c>
      <c r="J244" s="14">
        <v>2.1099999999999901</v>
      </c>
      <c r="K244" s="14">
        <v>2</v>
      </c>
      <c r="L244" s="14">
        <v>0.27</v>
      </c>
      <c r="M244" s="14">
        <v>1.04</v>
      </c>
      <c r="N244" s="14">
        <v>4.6799999999999899</v>
      </c>
      <c r="O244" s="14">
        <v>1.1200000000000001</v>
      </c>
      <c r="P244" s="14">
        <v>3.48</v>
      </c>
      <c r="Q244">
        <v>510</v>
      </c>
    </row>
    <row r="245" spans="3:17" x14ac:dyDescent="0.25">
      <c r="C245" s="15" t="s">
        <v>316</v>
      </c>
      <c r="D245" s="14" t="s">
        <v>14</v>
      </c>
      <c r="E245" s="14">
        <v>11.65</v>
      </c>
      <c r="F245" s="14">
        <v>1.6699999999999899</v>
      </c>
      <c r="G245" s="14">
        <v>2.62</v>
      </c>
      <c r="H245" s="14">
        <v>26</v>
      </c>
      <c r="I245" s="14">
        <v>88</v>
      </c>
      <c r="J245" s="14">
        <v>1.9199999999999899</v>
      </c>
      <c r="K245" s="14">
        <v>1.61</v>
      </c>
      <c r="L245" s="14">
        <v>0.4</v>
      </c>
      <c r="M245" s="14">
        <v>1.34</v>
      </c>
      <c r="N245" s="14">
        <v>2.6</v>
      </c>
      <c r="O245" s="14">
        <v>1.36</v>
      </c>
      <c r="P245" s="14">
        <v>3.21</v>
      </c>
      <c r="Q245">
        <v>562</v>
      </c>
    </row>
    <row r="246" spans="3:17" x14ac:dyDescent="0.25">
      <c r="C246" s="15" t="s">
        <v>358</v>
      </c>
      <c r="D246" s="14" t="s">
        <v>14</v>
      </c>
      <c r="E246" s="14">
        <v>12.0399999999999</v>
      </c>
      <c r="F246" s="14">
        <v>4.2999999999999901</v>
      </c>
      <c r="G246" s="14">
        <v>2.3799999999999901</v>
      </c>
      <c r="H246" s="14">
        <v>22</v>
      </c>
      <c r="I246" s="14">
        <v>80</v>
      </c>
      <c r="J246" s="14">
        <v>2.1</v>
      </c>
      <c r="K246" s="14">
        <v>1.75</v>
      </c>
      <c r="L246" s="14">
        <v>0.41999999999999899</v>
      </c>
      <c r="M246" s="14">
        <v>1.35</v>
      </c>
      <c r="N246" s="14">
        <v>2.6</v>
      </c>
      <c r="O246" s="14">
        <v>0.79</v>
      </c>
      <c r="P246" s="14">
        <v>2.5699999999999901</v>
      </c>
      <c r="Q246">
        <v>580</v>
      </c>
    </row>
    <row r="247" spans="3:17" x14ac:dyDescent="0.25">
      <c r="C247" s="15" t="s">
        <v>391</v>
      </c>
      <c r="D247" s="14" t="s">
        <v>15</v>
      </c>
      <c r="E247" s="14">
        <v>12.85</v>
      </c>
      <c r="F247" s="14">
        <v>3.27</v>
      </c>
      <c r="G247" s="14">
        <v>2.58</v>
      </c>
      <c r="H247" s="14">
        <v>22</v>
      </c>
      <c r="I247" s="14">
        <v>106</v>
      </c>
      <c r="J247" s="14">
        <v>1.6499999999999899</v>
      </c>
      <c r="K247" s="14">
        <v>0.59999999999999898</v>
      </c>
      <c r="L247" s="14">
        <v>0.59999999999999898</v>
      </c>
      <c r="M247" s="14">
        <v>0.95999999999999897</v>
      </c>
      <c r="N247" s="14">
        <v>5.58</v>
      </c>
      <c r="O247" s="14">
        <v>0.87</v>
      </c>
      <c r="P247" s="14">
        <v>2.1099999999999901</v>
      </c>
      <c r="Q247">
        <v>570</v>
      </c>
    </row>
    <row r="248" spans="3:17" x14ac:dyDescent="0.25">
      <c r="C248" s="15" t="s">
        <v>387</v>
      </c>
      <c r="D248" s="14" t="s">
        <v>15</v>
      </c>
      <c r="E248" s="14">
        <v>14.34</v>
      </c>
      <c r="F248" s="14">
        <v>1.6799999999999899</v>
      </c>
      <c r="G248" s="14">
        <v>2.7</v>
      </c>
      <c r="H248" s="14">
        <v>25</v>
      </c>
      <c r="I248" s="14">
        <v>98</v>
      </c>
      <c r="J248" s="14">
        <v>2.7999999999999901</v>
      </c>
      <c r="K248" s="14">
        <v>1.31</v>
      </c>
      <c r="L248" s="14">
        <v>0.53</v>
      </c>
      <c r="M248" s="14">
        <v>2.7</v>
      </c>
      <c r="N248" s="14">
        <v>13</v>
      </c>
      <c r="O248" s="14">
        <v>0.56999999999999895</v>
      </c>
      <c r="P248" s="14">
        <v>1.96</v>
      </c>
      <c r="Q248">
        <v>660</v>
      </c>
    </row>
    <row r="249" spans="3:17" x14ac:dyDescent="0.25">
      <c r="C249" s="15" t="s">
        <v>111</v>
      </c>
      <c r="D249" s="14" t="s">
        <v>13</v>
      </c>
      <c r="E249" s="14">
        <v>13.05</v>
      </c>
      <c r="F249" s="14">
        <v>1.6499999999999899</v>
      </c>
      <c r="G249" s="14">
        <v>2.5499999999999901</v>
      </c>
      <c r="H249" s="14">
        <v>18</v>
      </c>
      <c r="I249" s="14">
        <v>98</v>
      </c>
      <c r="J249" s="14">
        <v>2.4500000000000002</v>
      </c>
      <c r="K249" s="14">
        <v>2.4300000000000002</v>
      </c>
      <c r="L249" s="14">
        <v>0.28999999999999898</v>
      </c>
      <c r="M249" s="14">
        <v>1.43999999999999</v>
      </c>
      <c r="N249" s="14">
        <v>4.25</v>
      </c>
      <c r="O249" s="14">
        <v>1.1200000000000001</v>
      </c>
      <c r="P249" s="14">
        <v>2.50999999999999</v>
      </c>
      <c r="Q249">
        <v>1105</v>
      </c>
    </row>
    <row r="250" spans="3:17" x14ac:dyDescent="0.25">
      <c r="C250" s="15" t="s">
        <v>172</v>
      </c>
      <c r="D250" s="14" t="s">
        <v>14</v>
      </c>
      <c r="E250" s="14">
        <v>12.3699999999999</v>
      </c>
      <c r="F250" s="14">
        <v>1.07</v>
      </c>
      <c r="G250" s="14">
        <v>2.1</v>
      </c>
      <c r="H250" s="14">
        <v>18.5</v>
      </c>
      <c r="I250" s="14">
        <v>88</v>
      </c>
      <c r="J250" s="14">
        <v>3.52</v>
      </c>
      <c r="K250" s="14">
        <v>3.75</v>
      </c>
      <c r="L250" s="14">
        <v>0.23999999999999899</v>
      </c>
      <c r="M250" s="14">
        <v>1.95</v>
      </c>
      <c r="N250" s="14">
        <v>4.5</v>
      </c>
      <c r="O250" s="14">
        <v>1.04</v>
      </c>
      <c r="P250" s="14">
        <v>2.77</v>
      </c>
      <c r="Q250">
        <v>660</v>
      </c>
    </row>
    <row r="251" spans="3:17" x14ac:dyDescent="0.25">
      <c r="C251" s="15" t="s">
        <v>321</v>
      </c>
      <c r="D251" s="14" t="s">
        <v>14</v>
      </c>
      <c r="E251" s="14">
        <v>12.69</v>
      </c>
      <c r="F251" s="14">
        <v>1.53</v>
      </c>
      <c r="G251" s="14">
        <v>2.25999999999999</v>
      </c>
      <c r="H251" s="14">
        <v>20.6999999999999</v>
      </c>
      <c r="I251" s="14">
        <v>80</v>
      </c>
      <c r="J251" s="14">
        <v>1.3799999999999899</v>
      </c>
      <c r="K251" s="14">
        <v>1.46</v>
      </c>
      <c r="L251" s="14">
        <v>0.57999999999999896</v>
      </c>
      <c r="M251" s="14">
        <v>1.62</v>
      </c>
      <c r="N251" s="14">
        <v>3.0499999999999901</v>
      </c>
      <c r="O251" s="14">
        <v>0.95999999999999897</v>
      </c>
      <c r="P251" s="14">
        <v>2.06</v>
      </c>
      <c r="Q251">
        <v>495</v>
      </c>
    </row>
    <row r="252" spans="3:17" x14ac:dyDescent="0.25">
      <c r="C252" s="15" t="s">
        <v>211</v>
      </c>
      <c r="D252" s="14" t="s">
        <v>15</v>
      </c>
      <c r="E252" s="14">
        <v>12.5299999999999</v>
      </c>
      <c r="F252" s="14">
        <v>5.50999999999999</v>
      </c>
      <c r="G252" s="14">
        <v>2.64</v>
      </c>
      <c r="H252" s="14">
        <v>25</v>
      </c>
      <c r="I252" s="14">
        <v>96</v>
      </c>
      <c r="J252" s="14">
        <v>1.79</v>
      </c>
      <c r="K252" s="14">
        <v>0.59999999999999898</v>
      </c>
      <c r="L252" s="14">
        <v>0.63</v>
      </c>
      <c r="M252" s="14">
        <v>1.1000000000000001</v>
      </c>
      <c r="N252" s="14">
        <v>5</v>
      </c>
      <c r="O252" s="14">
        <v>0.81999999999999895</v>
      </c>
      <c r="P252" s="14">
        <v>1.68999999999999</v>
      </c>
      <c r="Q252">
        <v>515</v>
      </c>
    </row>
    <row r="253" spans="3:17" x14ac:dyDescent="0.25">
      <c r="C253" s="15" t="s">
        <v>217</v>
      </c>
      <c r="D253" s="14" t="s">
        <v>15</v>
      </c>
      <c r="E253" s="14">
        <v>13.6199999999999</v>
      </c>
      <c r="F253" s="14">
        <v>4.95</v>
      </c>
      <c r="G253" s="14">
        <v>2.35</v>
      </c>
      <c r="H253" s="14">
        <v>20</v>
      </c>
      <c r="I253" s="14">
        <v>92</v>
      </c>
      <c r="J253" s="14">
        <v>2</v>
      </c>
      <c r="K253" s="14">
        <v>0.8</v>
      </c>
      <c r="L253" s="14">
        <v>0.46999999999999897</v>
      </c>
      <c r="M253" s="14">
        <v>1.02</v>
      </c>
      <c r="N253" s="14">
        <v>4.4000000000000004</v>
      </c>
      <c r="O253" s="14">
        <v>0.91</v>
      </c>
      <c r="P253" s="14">
        <v>2.0499999999999901</v>
      </c>
      <c r="Q253">
        <v>550</v>
      </c>
    </row>
    <row r="254" spans="3:17" x14ac:dyDescent="0.25">
      <c r="C254" s="15" t="s">
        <v>324</v>
      </c>
      <c r="D254" s="14" t="s">
        <v>14</v>
      </c>
      <c r="E254" s="14">
        <v>12.47</v>
      </c>
      <c r="F254" s="14">
        <v>1.52</v>
      </c>
      <c r="G254" s="14">
        <v>2.2000000000000002</v>
      </c>
      <c r="H254" s="14">
        <v>19</v>
      </c>
      <c r="I254" s="14">
        <v>162</v>
      </c>
      <c r="J254" s="14">
        <v>2.5</v>
      </c>
      <c r="K254" s="14">
        <v>2.27</v>
      </c>
      <c r="L254" s="14">
        <v>0.32</v>
      </c>
      <c r="M254" s="14">
        <v>3.27999999999999</v>
      </c>
      <c r="N254" s="14">
        <v>2.6</v>
      </c>
      <c r="O254" s="14">
        <v>1.1599999999999899</v>
      </c>
      <c r="P254" s="14">
        <v>2.6299999999999901</v>
      </c>
      <c r="Q254">
        <v>937</v>
      </c>
    </row>
    <row r="255" spans="3:17" x14ac:dyDescent="0.25">
      <c r="C255" s="15" t="s">
        <v>104</v>
      </c>
      <c r="D255" s="14" t="s">
        <v>13</v>
      </c>
      <c r="E255" s="14">
        <v>13.73</v>
      </c>
      <c r="F255" s="14">
        <v>1.5</v>
      </c>
      <c r="G255" s="14">
        <v>2.7</v>
      </c>
      <c r="H255" s="14">
        <v>22.5</v>
      </c>
      <c r="I255" s="14">
        <v>101</v>
      </c>
      <c r="J255" s="14">
        <v>3</v>
      </c>
      <c r="K255" s="14">
        <v>3.25</v>
      </c>
      <c r="L255" s="14">
        <v>0.28999999999999898</v>
      </c>
      <c r="M255" s="14">
        <v>2.3799999999999901</v>
      </c>
      <c r="N255" s="14">
        <v>5.7</v>
      </c>
      <c r="O255" s="14">
        <v>1.18999999999999</v>
      </c>
      <c r="P255" s="14">
        <v>2.71</v>
      </c>
      <c r="Q255">
        <v>1285</v>
      </c>
    </row>
    <row r="256" spans="3:17" x14ac:dyDescent="0.25">
      <c r="C256" s="15" t="s">
        <v>100</v>
      </c>
      <c r="D256" s="14" t="s">
        <v>13</v>
      </c>
      <c r="E256" s="14">
        <v>13.39</v>
      </c>
      <c r="F256" s="14">
        <v>1.77</v>
      </c>
      <c r="G256" s="14">
        <v>2.62</v>
      </c>
      <c r="H256" s="14">
        <v>16.100000000000001</v>
      </c>
      <c r="I256" s="14">
        <v>93</v>
      </c>
      <c r="J256" s="14">
        <v>2.85</v>
      </c>
      <c r="K256" s="14">
        <v>2.9399999999999902</v>
      </c>
      <c r="L256" s="14">
        <v>0.34</v>
      </c>
      <c r="M256" s="14">
        <v>1.45</v>
      </c>
      <c r="N256" s="14">
        <v>4.7999999999999901</v>
      </c>
      <c r="O256" s="14">
        <v>0.92</v>
      </c>
      <c r="P256" s="14">
        <v>3.22</v>
      </c>
      <c r="Q256">
        <v>1195</v>
      </c>
    </row>
    <row r="257" spans="3:17" x14ac:dyDescent="0.25">
      <c r="C257" s="15" t="s">
        <v>167</v>
      </c>
      <c r="D257" s="14" t="s">
        <v>14</v>
      </c>
      <c r="E257" s="14">
        <v>12.2899999999999</v>
      </c>
      <c r="F257" s="14">
        <v>2.83</v>
      </c>
      <c r="G257" s="14">
        <v>2.2200000000000002</v>
      </c>
      <c r="H257" s="14">
        <v>18</v>
      </c>
      <c r="I257" s="14">
        <v>88</v>
      </c>
      <c r="J257" s="14">
        <v>2.4500000000000002</v>
      </c>
      <c r="K257" s="14">
        <v>2.25</v>
      </c>
      <c r="L257" s="14">
        <v>0.25</v>
      </c>
      <c r="M257" s="14">
        <v>1.99</v>
      </c>
      <c r="N257" s="14">
        <v>2.1499999999999901</v>
      </c>
      <c r="O257" s="14">
        <v>1.1499999999999899</v>
      </c>
      <c r="P257" s="14">
        <v>3.2999999999999901</v>
      </c>
      <c r="Q257">
        <v>290</v>
      </c>
    </row>
    <row r="258" spans="3:17" x14ac:dyDescent="0.25">
      <c r="C258" s="15" t="s">
        <v>267</v>
      </c>
      <c r="D258" s="14" t="s">
        <v>13</v>
      </c>
      <c r="E258" s="14">
        <v>13.07</v>
      </c>
      <c r="F258" s="14">
        <v>1.5</v>
      </c>
      <c r="G258" s="14">
        <v>2.1</v>
      </c>
      <c r="H258" s="14">
        <v>15.5</v>
      </c>
      <c r="I258" s="14">
        <v>98</v>
      </c>
      <c r="J258" s="14">
        <v>2.3999999999999901</v>
      </c>
      <c r="K258" s="14">
        <v>2.64</v>
      </c>
      <c r="L258" s="14">
        <v>0.28000000000000003</v>
      </c>
      <c r="M258" s="14">
        <v>1.37</v>
      </c>
      <c r="N258" s="14">
        <v>3.7</v>
      </c>
      <c r="O258" s="14">
        <v>1.1799999999999899</v>
      </c>
      <c r="P258" s="14">
        <v>2.6899999999999902</v>
      </c>
      <c r="Q258">
        <v>1020</v>
      </c>
    </row>
    <row r="259" spans="3:17" x14ac:dyDescent="0.25">
      <c r="C259" s="15" t="s">
        <v>87</v>
      </c>
      <c r="D259" s="14" t="s">
        <v>13</v>
      </c>
      <c r="E259" s="14">
        <v>14.75</v>
      </c>
      <c r="F259" s="14">
        <v>1.73</v>
      </c>
      <c r="G259" s="14">
        <v>2.39</v>
      </c>
      <c r="H259" s="14">
        <v>11.4</v>
      </c>
      <c r="I259" s="14">
        <v>91</v>
      </c>
      <c r="J259" s="14">
        <v>3.1</v>
      </c>
      <c r="K259" s="14">
        <v>3.6899999999999902</v>
      </c>
      <c r="L259" s="14">
        <v>0.42999999999999899</v>
      </c>
      <c r="M259" s="14">
        <v>2.81</v>
      </c>
      <c r="N259" s="14">
        <v>5.4</v>
      </c>
      <c r="O259" s="14">
        <v>1.25</v>
      </c>
      <c r="P259" s="14">
        <v>2.73</v>
      </c>
      <c r="Q259">
        <v>1150</v>
      </c>
    </row>
    <row r="260" spans="3:17" x14ac:dyDescent="0.25">
      <c r="C260" s="15" t="s">
        <v>90</v>
      </c>
      <c r="D260" s="14" t="s">
        <v>13</v>
      </c>
      <c r="E260" s="14">
        <v>14.3</v>
      </c>
      <c r="F260" s="14">
        <v>1.9199999999999899</v>
      </c>
      <c r="G260" s="14">
        <v>2.72</v>
      </c>
      <c r="H260" s="14">
        <v>20</v>
      </c>
      <c r="I260" s="14">
        <v>120</v>
      </c>
      <c r="J260" s="14">
        <v>2.7999999999999901</v>
      </c>
      <c r="K260" s="14">
        <v>3.14</v>
      </c>
      <c r="L260" s="14">
        <v>0.33</v>
      </c>
      <c r="M260" s="14">
        <v>1.97</v>
      </c>
      <c r="N260" s="14">
        <v>6.2</v>
      </c>
      <c r="O260" s="14">
        <v>1.07</v>
      </c>
      <c r="P260" s="14">
        <v>2.6499999999999901</v>
      </c>
      <c r="Q260">
        <v>1280</v>
      </c>
    </row>
    <row r="261" spans="3:17" x14ac:dyDescent="0.25">
      <c r="C261" s="15" t="s">
        <v>145</v>
      </c>
      <c r="D261" s="14" t="s">
        <v>14</v>
      </c>
      <c r="E261" s="14">
        <v>13.8599999999999</v>
      </c>
      <c r="F261" s="14">
        <v>1.51</v>
      </c>
      <c r="G261" s="14">
        <v>2.6699999999999902</v>
      </c>
      <c r="H261" s="14">
        <v>25</v>
      </c>
      <c r="I261" s="14">
        <v>86</v>
      </c>
      <c r="J261" s="14">
        <v>2.95</v>
      </c>
      <c r="K261" s="14">
        <v>2.8599999999999901</v>
      </c>
      <c r="L261" s="14">
        <v>0.20999999999999899</v>
      </c>
      <c r="M261" s="14">
        <v>1.87</v>
      </c>
      <c r="N261" s="14">
        <v>3.3799999999999901</v>
      </c>
      <c r="O261" s="14">
        <v>1.36</v>
      </c>
      <c r="P261" s="14">
        <v>3.16</v>
      </c>
      <c r="Q261">
        <v>410</v>
      </c>
    </row>
    <row r="262" spans="3:17" x14ac:dyDescent="0.25">
      <c r="C262" s="15" t="s">
        <v>77</v>
      </c>
      <c r="D262" s="14" t="s">
        <v>13</v>
      </c>
      <c r="E262" s="14">
        <v>14.3699999999999</v>
      </c>
      <c r="F262" s="14">
        <v>1.95</v>
      </c>
      <c r="G262" s="14">
        <v>2.5</v>
      </c>
      <c r="H262" s="14">
        <v>16.8</v>
      </c>
      <c r="I262" s="14">
        <v>113</v>
      </c>
      <c r="J262" s="14">
        <v>3.85</v>
      </c>
      <c r="K262" s="14">
        <v>3.49</v>
      </c>
      <c r="L262" s="14">
        <v>0.23999999999999899</v>
      </c>
      <c r="M262" s="14">
        <v>2.1800000000000002</v>
      </c>
      <c r="N262" s="14">
        <v>7.7999999999999901</v>
      </c>
      <c r="O262" s="14">
        <v>0.85999999999999899</v>
      </c>
      <c r="P262" s="14">
        <v>3.45</v>
      </c>
      <c r="Q262">
        <v>1480</v>
      </c>
    </row>
    <row r="263" spans="3:17" x14ac:dyDescent="0.25">
      <c r="C263" s="15" t="s">
        <v>238</v>
      </c>
      <c r="D263" s="14" t="s">
        <v>15</v>
      </c>
      <c r="E263" s="14">
        <v>13.7799999999999</v>
      </c>
      <c r="F263" s="14">
        <v>2.75999999999999</v>
      </c>
      <c r="G263" s="14">
        <v>2.2999999999999901</v>
      </c>
      <c r="H263" s="14">
        <v>22</v>
      </c>
      <c r="I263" s="14">
        <v>90</v>
      </c>
      <c r="J263" s="14">
        <v>1.35</v>
      </c>
      <c r="K263" s="14">
        <v>0.68</v>
      </c>
      <c r="L263" s="14">
        <v>0.40999999999999898</v>
      </c>
      <c r="M263" s="14">
        <v>1.03</v>
      </c>
      <c r="N263" s="14">
        <v>9.58</v>
      </c>
      <c r="O263" s="14">
        <v>0.69999999999999896</v>
      </c>
      <c r="P263" s="14">
        <v>1.6799999999999899</v>
      </c>
      <c r="Q263">
        <v>615</v>
      </c>
    </row>
    <row r="264" spans="3:17" x14ac:dyDescent="0.25">
      <c r="C264" s="15" t="s">
        <v>382</v>
      </c>
      <c r="D264" s="14" t="s">
        <v>15</v>
      </c>
      <c r="E264" s="14">
        <v>13.23</v>
      </c>
      <c r="F264" s="14">
        <v>3.2999999999999901</v>
      </c>
      <c r="G264" s="14">
        <v>2.27999999999999</v>
      </c>
      <c r="H264" s="14">
        <v>18.5</v>
      </c>
      <c r="I264" s="14">
        <v>98</v>
      </c>
      <c r="J264" s="14">
        <v>1.8</v>
      </c>
      <c r="K264" s="14">
        <v>0.82999999999999896</v>
      </c>
      <c r="L264" s="14">
        <v>0.60999999999999899</v>
      </c>
      <c r="M264" s="14">
        <v>1.87</v>
      </c>
      <c r="N264" s="14">
        <v>10.52</v>
      </c>
      <c r="O264" s="14">
        <v>0.56000000000000005</v>
      </c>
      <c r="P264" s="14">
        <v>1.51</v>
      </c>
      <c r="Q264">
        <v>675</v>
      </c>
    </row>
    <row r="265" spans="3:17" x14ac:dyDescent="0.25">
      <c r="C265" s="15" t="s">
        <v>116</v>
      </c>
      <c r="D265" s="14" t="s">
        <v>13</v>
      </c>
      <c r="E265" s="14">
        <v>13.88</v>
      </c>
      <c r="F265" s="14">
        <v>1.8899999999999899</v>
      </c>
      <c r="G265" s="14">
        <v>2.5899999999999901</v>
      </c>
      <c r="H265" s="14">
        <v>15</v>
      </c>
      <c r="I265" s="14">
        <v>101</v>
      </c>
      <c r="J265" s="14">
        <v>3.25</v>
      </c>
      <c r="K265" s="14">
        <v>3.56</v>
      </c>
      <c r="L265" s="14">
        <v>0.17</v>
      </c>
      <c r="M265" s="14">
        <v>1.7</v>
      </c>
      <c r="N265" s="14">
        <v>5.4299999999999899</v>
      </c>
      <c r="O265" s="14">
        <v>0.88</v>
      </c>
      <c r="P265" s="14">
        <v>3.56</v>
      </c>
      <c r="Q265">
        <v>1095</v>
      </c>
    </row>
    <row r="266" spans="3:17" x14ac:dyDescent="0.25">
      <c r="C266" s="15" t="s">
        <v>310</v>
      </c>
      <c r="D266" s="14" t="s">
        <v>14</v>
      </c>
      <c r="E266" s="14">
        <v>12.72</v>
      </c>
      <c r="F266" s="14">
        <v>1.81</v>
      </c>
      <c r="G266" s="14">
        <v>2.2000000000000002</v>
      </c>
      <c r="H266" s="14">
        <v>18.8</v>
      </c>
      <c r="I266" s="14">
        <v>86</v>
      </c>
      <c r="J266" s="14">
        <v>2.2000000000000002</v>
      </c>
      <c r="K266" s="14">
        <v>2.52999999999999</v>
      </c>
      <c r="L266" s="14">
        <v>0.26</v>
      </c>
      <c r="M266" s="14">
        <v>1.77</v>
      </c>
      <c r="N266" s="14">
        <v>3.8999999999999901</v>
      </c>
      <c r="O266" s="14">
        <v>1.1599999999999899</v>
      </c>
      <c r="P266" s="14">
        <v>3.14</v>
      </c>
      <c r="Q266">
        <v>714</v>
      </c>
    </row>
    <row r="267" spans="3:17" x14ac:dyDescent="0.25">
      <c r="C267" s="15" t="s">
        <v>109</v>
      </c>
      <c r="D267" s="14" t="s">
        <v>13</v>
      </c>
      <c r="E267" s="14">
        <v>13.48</v>
      </c>
      <c r="F267" s="14">
        <v>1.81</v>
      </c>
      <c r="G267" s="14">
        <v>2.41</v>
      </c>
      <c r="H267" s="14">
        <v>20.5</v>
      </c>
      <c r="I267" s="14">
        <v>100</v>
      </c>
      <c r="J267" s="14">
        <v>2.7</v>
      </c>
      <c r="K267" s="14">
        <v>2.98</v>
      </c>
      <c r="L267" s="14">
        <v>0.26</v>
      </c>
      <c r="M267" s="14">
        <v>1.86</v>
      </c>
      <c r="N267" s="14">
        <v>5.0999999999999899</v>
      </c>
      <c r="O267" s="14">
        <v>1.04</v>
      </c>
      <c r="P267" s="14">
        <v>3.47</v>
      </c>
      <c r="Q267">
        <v>920</v>
      </c>
    </row>
    <row r="268" spans="3:17" x14ac:dyDescent="0.25">
      <c r="C268" s="15" t="s">
        <v>348</v>
      </c>
      <c r="D268" s="14" t="s">
        <v>14</v>
      </c>
      <c r="E268" s="14">
        <v>12</v>
      </c>
      <c r="F268" s="14">
        <v>3.43</v>
      </c>
      <c r="G268" s="14">
        <v>2</v>
      </c>
      <c r="H268" s="14">
        <v>19</v>
      </c>
      <c r="I268" s="14">
        <v>87</v>
      </c>
      <c r="J268" s="14">
        <v>2</v>
      </c>
      <c r="K268" s="14">
        <v>1.6399999999999899</v>
      </c>
      <c r="L268" s="14">
        <v>0.37</v>
      </c>
      <c r="M268" s="14">
        <v>1.87</v>
      </c>
      <c r="N268" s="14">
        <v>1.28</v>
      </c>
      <c r="O268" s="14">
        <v>0.93</v>
      </c>
      <c r="P268" s="14">
        <v>3.0499999999999901</v>
      </c>
      <c r="Q268">
        <v>564</v>
      </c>
    </row>
    <row r="269" spans="3:17" x14ac:dyDescent="0.25">
      <c r="C269" s="15" t="s">
        <v>189</v>
      </c>
      <c r="D269" s="14" t="s">
        <v>14</v>
      </c>
      <c r="E269" s="14">
        <v>11.0299999999999</v>
      </c>
      <c r="F269" s="14">
        <v>1.51</v>
      </c>
      <c r="G269" s="14">
        <v>2.2000000000000002</v>
      </c>
      <c r="H269" s="14">
        <v>21.5</v>
      </c>
      <c r="I269" s="14">
        <v>85</v>
      </c>
      <c r="J269" s="14">
        <v>2.46</v>
      </c>
      <c r="K269" s="14">
        <v>2.1699999999999902</v>
      </c>
      <c r="L269" s="14">
        <v>0.52</v>
      </c>
      <c r="M269" s="14">
        <v>2.00999999999999</v>
      </c>
      <c r="N269" s="14">
        <v>1.8999999999999899</v>
      </c>
      <c r="O269" s="14">
        <v>1.71</v>
      </c>
      <c r="P269" s="14">
        <v>2.87</v>
      </c>
      <c r="Q269">
        <v>407</v>
      </c>
    </row>
    <row r="270" spans="3:17" x14ac:dyDescent="0.25">
      <c r="C270" s="15" t="s">
        <v>352</v>
      </c>
      <c r="D270" s="14" t="s">
        <v>14</v>
      </c>
      <c r="E270" s="14">
        <v>13.05</v>
      </c>
      <c r="F270" s="14">
        <v>5.7999999999999901</v>
      </c>
      <c r="G270" s="14">
        <v>2.1299999999999901</v>
      </c>
      <c r="H270" s="14">
        <v>21.5</v>
      </c>
      <c r="I270" s="14">
        <v>86</v>
      </c>
      <c r="J270" s="14">
        <v>2.62</v>
      </c>
      <c r="K270" s="14">
        <v>2.6499999999999901</v>
      </c>
      <c r="L270" s="14">
        <v>0.36538226299694199</v>
      </c>
      <c r="M270" s="14">
        <v>2.00999999999999</v>
      </c>
      <c r="N270" s="14">
        <v>2.6</v>
      </c>
      <c r="O270" s="14">
        <v>0.72999999999999898</v>
      </c>
      <c r="P270" s="14">
        <v>3.1</v>
      </c>
      <c r="Q270">
        <v>380</v>
      </c>
    </row>
    <row r="271" spans="3:17" x14ac:dyDescent="0.25">
      <c r="C271" s="15" t="s">
        <v>83</v>
      </c>
      <c r="D271" s="14" t="s">
        <v>13</v>
      </c>
      <c r="E271" s="14">
        <v>13.8599999999999</v>
      </c>
      <c r="F271" s="14">
        <v>1.35</v>
      </c>
      <c r="G271" s="14">
        <v>2.27</v>
      </c>
      <c r="H271" s="14">
        <v>16</v>
      </c>
      <c r="I271" s="14">
        <v>98</v>
      </c>
      <c r="J271" s="14">
        <v>2.98</v>
      </c>
      <c r="K271" s="14">
        <v>3.1499999999999901</v>
      </c>
      <c r="L271" s="14">
        <v>0.22</v>
      </c>
      <c r="M271" s="14">
        <v>1.85</v>
      </c>
      <c r="N271" s="14">
        <v>7.21999999999999</v>
      </c>
      <c r="O271" s="14">
        <v>1.01</v>
      </c>
      <c r="P271" s="14">
        <v>3.5499999999999901</v>
      </c>
      <c r="Q271">
        <v>1045</v>
      </c>
    </row>
    <row r="272" spans="3:17" x14ac:dyDescent="0.25">
      <c r="C272" s="15" t="s">
        <v>79</v>
      </c>
      <c r="D272" s="14" t="s">
        <v>13</v>
      </c>
      <c r="E272" s="14">
        <v>14.1999999999999</v>
      </c>
      <c r="F272" s="14">
        <v>1.76</v>
      </c>
      <c r="G272" s="14">
        <v>2.4500000000000002</v>
      </c>
      <c r="H272" s="14">
        <v>15.1999999999999</v>
      </c>
      <c r="I272" s="14">
        <v>112</v>
      </c>
      <c r="J272" s="14">
        <v>3.27</v>
      </c>
      <c r="K272" s="14">
        <v>3.39</v>
      </c>
      <c r="L272" s="14">
        <v>0.34</v>
      </c>
      <c r="M272" s="14">
        <v>1.97</v>
      </c>
      <c r="N272" s="14">
        <v>6.75</v>
      </c>
      <c r="O272" s="14">
        <v>1.05</v>
      </c>
      <c r="P272" s="14">
        <v>2.85</v>
      </c>
      <c r="Q272">
        <v>1450</v>
      </c>
    </row>
    <row r="273" spans="3:17" x14ac:dyDescent="0.25">
      <c r="C273" s="15" t="s">
        <v>137</v>
      </c>
      <c r="D273" s="14" t="s">
        <v>14</v>
      </c>
      <c r="E273" s="14">
        <v>12.3699999999999</v>
      </c>
      <c r="F273" s="14">
        <v>1.1299999999999899</v>
      </c>
      <c r="G273" s="14">
        <v>2.16</v>
      </c>
      <c r="H273" s="14">
        <v>19</v>
      </c>
      <c r="I273" s="14">
        <v>87</v>
      </c>
      <c r="J273" s="14">
        <v>3.5</v>
      </c>
      <c r="K273" s="14">
        <v>3.1</v>
      </c>
      <c r="L273" s="14">
        <v>0.19</v>
      </c>
      <c r="M273" s="14">
        <v>1.87</v>
      </c>
      <c r="N273" s="14">
        <v>4.45</v>
      </c>
      <c r="O273" s="14">
        <v>1.22</v>
      </c>
      <c r="P273" s="14">
        <v>2.87</v>
      </c>
      <c r="Q273">
        <v>420</v>
      </c>
    </row>
    <row r="274" spans="3:17" x14ac:dyDescent="0.25">
      <c r="C274" s="15" t="s">
        <v>256</v>
      </c>
      <c r="D274" s="14" t="s">
        <v>13</v>
      </c>
      <c r="E274" s="14">
        <v>13.3</v>
      </c>
      <c r="F274" s="14">
        <v>1.72</v>
      </c>
      <c r="G274" s="14">
        <v>2.14</v>
      </c>
      <c r="H274" s="14">
        <v>17</v>
      </c>
      <c r="I274" s="14">
        <v>94</v>
      </c>
      <c r="J274" s="14">
        <v>2.3999999999999901</v>
      </c>
      <c r="K274" s="14">
        <v>2.1899999999999902</v>
      </c>
      <c r="L274" s="14">
        <v>0.27</v>
      </c>
      <c r="M274" s="14">
        <v>1.35</v>
      </c>
      <c r="N274" s="14">
        <v>3.95</v>
      </c>
      <c r="O274" s="14">
        <v>1.02</v>
      </c>
      <c r="P274" s="14">
        <v>2.77</v>
      </c>
      <c r="Q274">
        <v>1285</v>
      </c>
    </row>
    <row r="275" spans="3:17" x14ac:dyDescent="0.25">
      <c r="C275" s="15" t="s">
        <v>212</v>
      </c>
      <c r="D275" s="14" t="s">
        <v>15</v>
      </c>
      <c r="E275" s="14">
        <v>13.49</v>
      </c>
      <c r="F275" s="14">
        <v>3.5899999999999901</v>
      </c>
      <c r="G275" s="14">
        <v>2.1899999999999902</v>
      </c>
      <c r="H275" s="14">
        <v>19.5</v>
      </c>
      <c r="I275" s="14">
        <v>88</v>
      </c>
      <c r="J275" s="14">
        <v>1.62</v>
      </c>
      <c r="K275" s="14">
        <v>0.47999999999999898</v>
      </c>
      <c r="L275" s="14">
        <v>0.57999999999999896</v>
      </c>
      <c r="M275" s="14">
        <v>0.88</v>
      </c>
      <c r="N275" s="14">
        <v>5.7</v>
      </c>
      <c r="O275" s="14">
        <v>0.81</v>
      </c>
      <c r="P275" s="14">
        <v>1.82</v>
      </c>
      <c r="Q275">
        <v>580</v>
      </c>
    </row>
    <row r="276" spans="3:17" x14ac:dyDescent="0.25">
      <c r="C276" s="15" t="s">
        <v>354</v>
      </c>
      <c r="D276" s="14" t="s">
        <v>14</v>
      </c>
      <c r="E276" s="14">
        <v>12.07</v>
      </c>
      <c r="F276" s="14">
        <v>2.16</v>
      </c>
      <c r="G276" s="14">
        <v>2.1699999999999902</v>
      </c>
      <c r="H276" s="14">
        <v>21</v>
      </c>
      <c r="I276" s="14">
        <v>85</v>
      </c>
      <c r="J276" s="14">
        <v>2.6</v>
      </c>
      <c r="K276" s="14">
        <v>2.6499999999999901</v>
      </c>
      <c r="L276" s="14">
        <v>0.37</v>
      </c>
      <c r="M276" s="14">
        <v>1.35</v>
      </c>
      <c r="N276" s="14">
        <v>2.75999999999999</v>
      </c>
      <c r="O276" s="14">
        <v>0.85999999999999899</v>
      </c>
      <c r="P276" s="14">
        <v>3.27999999999999</v>
      </c>
      <c r="Q276">
        <v>378</v>
      </c>
    </row>
    <row r="277" spans="3:17" x14ac:dyDescent="0.25">
      <c r="C277" s="15" t="s">
        <v>306</v>
      </c>
      <c r="D277" s="14" t="s">
        <v>14</v>
      </c>
      <c r="E277" s="14">
        <v>11.84</v>
      </c>
      <c r="F277" s="14">
        <v>2.89</v>
      </c>
      <c r="G277" s="14">
        <v>2.23</v>
      </c>
      <c r="H277" s="14">
        <v>18</v>
      </c>
      <c r="I277" s="14">
        <v>112</v>
      </c>
      <c r="J277" s="14">
        <v>1.72</v>
      </c>
      <c r="K277" s="14">
        <v>1.32</v>
      </c>
      <c r="L277" s="14">
        <v>0.42999999999999899</v>
      </c>
      <c r="M277" s="14">
        <v>0.94999999999999896</v>
      </c>
      <c r="N277" s="14">
        <v>2.6499999999999901</v>
      </c>
      <c r="O277" s="14">
        <v>0.95999999999999897</v>
      </c>
      <c r="P277" s="14">
        <v>2.52</v>
      </c>
      <c r="Q277">
        <v>500</v>
      </c>
    </row>
    <row r="278" spans="3:17" x14ac:dyDescent="0.25">
      <c r="C278" s="15" t="s">
        <v>320</v>
      </c>
      <c r="D278" s="14" t="s">
        <v>14</v>
      </c>
      <c r="E278" s="14">
        <v>12</v>
      </c>
      <c r="F278" s="14">
        <v>1.51</v>
      </c>
      <c r="G278" s="14">
        <v>2.4199999999999902</v>
      </c>
      <c r="H278" s="14">
        <v>22</v>
      </c>
      <c r="I278" s="14">
        <v>86</v>
      </c>
      <c r="J278" s="14">
        <v>1.45</v>
      </c>
      <c r="K278" s="14">
        <v>1.25</v>
      </c>
      <c r="L278" s="14">
        <v>0.5</v>
      </c>
      <c r="M278" s="14">
        <v>1.6299999999999899</v>
      </c>
      <c r="N278" s="14">
        <v>3.6</v>
      </c>
      <c r="O278" s="14">
        <v>1.05</v>
      </c>
      <c r="P278" s="14">
        <v>2.6499999999999901</v>
      </c>
      <c r="Q278">
        <v>450</v>
      </c>
    </row>
    <row r="279" spans="3:17" x14ac:dyDescent="0.25">
      <c r="C279" s="15" t="s">
        <v>235</v>
      </c>
      <c r="D279" s="14" t="s">
        <v>15</v>
      </c>
      <c r="E279" s="14">
        <v>13.69</v>
      </c>
      <c r="F279" s="14">
        <v>3.25999999999999</v>
      </c>
      <c r="G279" s="14">
        <v>2.54</v>
      </c>
      <c r="H279" s="14">
        <v>20</v>
      </c>
      <c r="I279" s="14">
        <v>107</v>
      </c>
      <c r="J279" s="14">
        <v>1.83</v>
      </c>
      <c r="K279" s="14">
        <v>0.56000000000000005</v>
      </c>
      <c r="L279" s="14">
        <v>0.5</v>
      </c>
      <c r="M279" s="14">
        <v>0.8</v>
      </c>
      <c r="N279" s="14">
        <v>5.8799999999999901</v>
      </c>
      <c r="O279" s="14">
        <v>0.95999999999999897</v>
      </c>
      <c r="P279" s="14">
        <v>1.82</v>
      </c>
      <c r="Q279">
        <v>680</v>
      </c>
    </row>
    <row r="280" spans="3:17" x14ac:dyDescent="0.25">
      <c r="C280" s="15" t="s">
        <v>124</v>
      </c>
      <c r="D280" s="14" t="s">
        <v>13</v>
      </c>
      <c r="E280" s="14">
        <v>13.05</v>
      </c>
      <c r="F280" s="14">
        <v>1.73</v>
      </c>
      <c r="G280" s="14">
        <v>2.04</v>
      </c>
      <c r="H280" s="14">
        <v>12.4</v>
      </c>
      <c r="I280" s="14">
        <v>92</v>
      </c>
      <c r="J280" s="14">
        <v>2.72</v>
      </c>
      <c r="K280" s="14">
        <v>3.27</v>
      </c>
      <c r="L280" s="14">
        <v>0.17</v>
      </c>
      <c r="M280" s="14">
        <v>2.91</v>
      </c>
      <c r="N280" s="14">
        <v>7.2</v>
      </c>
      <c r="O280" s="14">
        <v>1.1200000000000001</v>
      </c>
      <c r="P280" s="14">
        <v>2.91</v>
      </c>
      <c r="Q280">
        <v>1150</v>
      </c>
    </row>
    <row r="281" spans="3:17" x14ac:dyDescent="0.25">
      <c r="C281" s="15" t="s">
        <v>341</v>
      </c>
      <c r="D281" s="14" t="s">
        <v>14</v>
      </c>
      <c r="E281" s="14">
        <v>11.76</v>
      </c>
      <c r="F281" s="14">
        <v>2.68</v>
      </c>
      <c r="G281" s="14">
        <v>2.9199999999999902</v>
      </c>
      <c r="H281" s="14">
        <v>20</v>
      </c>
      <c r="I281" s="14">
        <v>103</v>
      </c>
      <c r="J281" s="14">
        <v>1.75</v>
      </c>
      <c r="K281" s="14">
        <v>2.02999999999999</v>
      </c>
      <c r="L281" s="14">
        <v>0.59999999999999898</v>
      </c>
      <c r="M281" s="14">
        <v>1.05</v>
      </c>
      <c r="N281" s="14">
        <v>3.7999999999999901</v>
      </c>
      <c r="O281" s="14">
        <v>1.23</v>
      </c>
      <c r="P281" s="14">
        <v>2.5</v>
      </c>
      <c r="Q281">
        <v>607</v>
      </c>
    </row>
    <row r="282" spans="3:17" x14ac:dyDescent="0.25">
      <c r="C282" s="15" t="s">
        <v>142</v>
      </c>
      <c r="D282" s="14" t="s">
        <v>14</v>
      </c>
      <c r="E282" s="14">
        <v>13.34</v>
      </c>
      <c r="F282" s="14">
        <v>0.93999999999999895</v>
      </c>
      <c r="G282" s="14">
        <v>2.3599999999999901</v>
      </c>
      <c r="H282" s="14">
        <v>17</v>
      </c>
      <c r="I282" s="14">
        <v>110</v>
      </c>
      <c r="J282" s="14">
        <v>2.52999999999999</v>
      </c>
      <c r="K282" s="14">
        <v>1.3</v>
      </c>
      <c r="L282" s="14">
        <v>0.55000000000000004</v>
      </c>
      <c r="M282" s="14">
        <v>0.41999999999999899</v>
      </c>
      <c r="N282" s="14">
        <v>3.1699999999999902</v>
      </c>
      <c r="O282" s="14">
        <v>1.02</v>
      </c>
      <c r="P282" s="14">
        <v>1.9299999999999899</v>
      </c>
      <c r="Q282">
        <v>750</v>
      </c>
    </row>
    <row r="283" spans="3:17" x14ac:dyDescent="0.25">
      <c r="C283" s="15" t="s">
        <v>220</v>
      </c>
      <c r="D283" s="14" t="s">
        <v>15</v>
      </c>
      <c r="E283" s="14">
        <v>13.88</v>
      </c>
      <c r="F283" s="14">
        <v>5.04</v>
      </c>
      <c r="G283" s="14">
        <v>2.23</v>
      </c>
      <c r="H283" s="14">
        <v>20</v>
      </c>
      <c r="I283" s="14">
        <v>80</v>
      </c>
      <c r="J283" s="14">
        <v>0.97999999999999898</v>
      </c>
      <c r="K283" s="14">
        <v>0.34</v>
      </c>
      <c r="L283" s="14">
        <v>0.4</v>
      </c>
      <c r="M283" s="14">
        <v>0.68</v>
      </c>
      <c r="N283" s="14">
        <v>4.9000000000000004</v>
      </c>
      <c r="O283" s="14">
        <v>0.57999999999999896</v>
      </c>
      <c r="P283" s="14">
        <v>1.33</v>
      </c>
      <c r="Q283">
        <v>415</v>
      </c>
    </row>
    <row r="284" spans="3:17" x14ac:dyDescent="0.25">
      <c r="C284" s="15" t="s">
        <v>213</v>
      </c>
      <c r="D284" s="14" t="s">
        <v>15</v>
      </c>
      <c r="E284" s="14">
        <v>12.84</v>
      </c>
      <c r="F284" s="14">
        <v>2.96</v>
      </c>
      <c r="G284" s="14">
        <v>2.6099999999999901</v>
      </c>
      <c r="H284" s="14">
        <v>24</v>
      </c>
      <c r="I284" s="14">
        <v>101</v>
      </c>
      <c r="J284" s="14">
        <v>2.3199999999999901</v>
      </c>
      <c r="K284" s="14">
        <v>0.59999999999999898</v>
      </c>
      <c r="L284" s="14">
        <v>0.53</v>
      </c>
      <c r="M284" s="14">
        <v>0.81</v>
      </c>
      <c r="N284" s="14">
        <v>4.9199999999999902</v>
      </c>
      <c r="O284" s="14">
        <v>0.89</v>
      </c>
      <c r="P284" s="14">
        <v>2.1499999999999901</v>
      </c>
      <c r="Q284">
        <v>590</v>
      </c>
    </row>
    <row r="285" spans="3:17" x14ac:dyDescent="0.25">
      <c r="C285" s="15" t="s">
        <v>160</v>
      </c>
      <c r="D285" s="14" t="s">
        <v>14</v>
      </c>
      <c r="E285" s="14">
        <v>12.16</v>
      </c>
      <c r="F285" s="14">
        <v>1.61</v>
      </c>
      <c r="G285" s="14">
        <v>2.31</v>
      </c>
      <c r="H285" s="14">
        <v>22.8</v>
      </c>
      <c r="I285" s="14">
        <v>90</v>
      </c>
      <c r="J285" s="14">
        <v>1.78</v>
      </c>
      <c r="K285" s="14">
        <v>1.68999999999999</v>
      </c>
      <c r="L285" s="14">
        <v>0.42999999999999899</v>
      </c>
      <c r="M285" s="14">
        <v>1.56</v>
      </c>
      <c r="N285" s="14">
        <v>2.4500000000000002</v>
      </c>
      <c r="O285" s="14">
        <v>1.33</v>
      </c>
      <c r="P285" s="14">
        <v>2.25999999999999</v>
      </c>
      <c r="Q285">
        <v>495</v>
      </c>
    </row>
    <row r="286" spans="3:17" x14ac:dyDescent="0.25">
      <c r="C286" s="15" t="s">
        <v>264</v>
      </c>
      <c r="D286" s="14" t="s">
        <v>13</v>
      </c>
      <c r="E286" s="14">
        <v>13.48</v>
      </c>
      <c r="F286" s="14">
        <v>1.81</v>
      </c>
      <c r="G286" s="14">
        <v>2.41</v>
      </c>
      <c r="H286" s="14">
        <v>20.5</v>
      </c>
      <c r="I286" s="14">
        <v>100</v>
      </c>
      <c r="J286" s="14">
        <v>2.7</v>
      </c>
      <c r="K286" s="14">
        <v>2.98</v>
      </c>
      <c r="L286" s="14">
        <v>0.26</v>
      </c>
      <c r="M286" s="14">
        <v>1.86</v>
      </c>
      <c r="N286" s="14">
        <v>5.0999999999999899</v>
      </c>
      <c r="O286" s="14">
        <v>1.04</v>
      </c>
      <c r="P286" s="14">
        <v>3.47</v>
      </c>
      <c r="Q286">
        <v>920</v>
      </c>
    </row>
    <row r="287" spans="3:17" x14ac:dyDescent="0.25">
      <c r="C287" s="15" t="s">
        <v>380</v>
      </c>
      <c r="D287" s="14" t="s">
        <v>15</v>
      </c>
      <c r="E287" s="14">
        <v>12.7899999999999</v>
      </c>
      <c r="F287" s="14">
        <v>2.6699999999999902</v>
      </c>
      <c r="G287" s="14">
        <v>2.48</v>
      </c>
      <c r="H287" s="14">
        <v>22</v>
      </c>
      <c r="I287" s="14">
        <v>112</v>
      </c>
      <c r="J287" s="14">
        <v>1.48</v>
      </c>
      <c r="K287" s="14">
        <v>1.36</v>
      </c>
      <c r="L287" s="14">
        <v>0.23999999999999899</v>
      </c>
      <c r="M287" s="14">
        <v>1.26</v>
      </c>
      <c r="N287" s="14">
        <v>10.8</v>
      </c>
      <c r="O287" s="14">
        <v>0.47999999999999898</v>
      </c>
      <c r="P287" s="14">
        <v>1.47</v>
      </c>
      <c r="Q287">
        <v>480</v>
      </c>
    </row>
    <row r="288" spans="3:17" x14ac:dyDescent="0.25">
      <c r="C288" s="15" t="s">
        <v>386</v>
      </c>
      <c r="D288" s="14" t="s">
        <v>15</v>
      </c>
      <c r="E288" s="14">
        <v>12.4499999999999</v>
      </c>
      <c r="F288" s="14">
        <v>3.02999999999999</v>
      </c>
      <c r="G288" s="14">
        <v>2.64</v>
      </c>
      <c r="H288" s="14">
        <v>27</v>
      </c>
      <c r="I288" s="14">
        <v>97</v>
      </c>
      <c r="J288" s="14">
        <v>1.8999999999999899</v>
      </c>
      <c r="K288" s="14">
        <v>0.57999999999999896</v>
      </c>
      <c r="L288" s="14">
        <v>0.63</v>
      </c>
      <c r="M288" s="14">
        <v>1.1399999999999899</v>
      </c>
      <c r="N288" s="14">
        <v>7.5</v>
      </c>
      <c r="O288" s="14">
        <v>0.67</v>
      </c>
      <c r="P288" s="14">
        <v>1.73</v>
      </c>
      <c r="Q288">
        <v>880</v>
      </c>
    </row>
    <row r="289" spans="3:17" x14ac:dyDescent="0.25">
      <c r="C289" s="15" t="s">
        <v>117</v>
      </c>
      <c r="D289" s="14" t="s">
        <v>13</v>
      </c>
      <c r="E289" s="14">
        <v>13.24</v>
      </c>
      <c r="F289" s="14">
        <v>3.98</v>
      </c>
      <c r="G289" s="14">
        <v>2.29</v>
      </c>
      <c r="H289" s="14">
        <v>17.5</v>
      </c>
      <c r="I289" s="14">
        <v>103</v>
      </c>
      <c r="J289" s="14">
        <v>2.64</v>
      </c>
      <c r="K289" s="14">
        <v>2.6299999999999901</v>
      </c>
      <c r="L289" s="14">
        <v>0.32</v>
      </c>
      <c r="M289" s="14">
        <v>1.6599999999999899</v>
      </c>
      <c r="N289" s="14">
        <v>4.3600000000000003</v>
      </c>
      <c r="O289" s="14">
        <v>0.81999999999999895</v>
      </c>
      <c r="P289" s="14">
        <v>3</v>
      </c>
      <c r="Q289">
        <v>680</v>
      </c>
    </row>
    <row r="290" spans="3:17" x14ac:dyDescent="0.25">
      <c r="C290" s="15" t="s">
        <v>332</v>
      </c>
      <c r="D290" s="14" t="s">
        <v>14</v>
      </c>
      <c r="E290" s="14">
        <v>11.82</v>
      </c>
      <c r="F290" s="14">
        <v>1.72</v>
      </c>
      <c r="G290" s="14">
        <v>1.8799999999999899</v>
      </c>
      <c r="H290" s="14">
        <v>19.5</v>
      </c>
      <c r="I290" s="14">
        <v>86</v>
      </c>
      <c r="J290" s="14">
        <v>2.5</v>
      </c>
      <c r="K290" s="14">
        <v>1.6399999999999899</v>
      </c>
      <c r="L290" s="14">
        <v>0.37</v>
      </c>
      <c r="M290" s="14">
        <v>1.4199999999999899</v>
      </c>
      <c r="N290" s="14">
        <v>2.06</v>
      </c>
      <c r="O290" s="14">
        <v>0.93999999999999895</v>
      </c>
      <c r="P290" s="14">
        <v>2.4399999999999902</v>
      </c>
      <c r="Q290">
        <v>415</v>
      </c>
    </row>
    <row r="291" spans="3:17" x14ac:dyDescent="0.25">
      <c r="C291" s="15" t="s">
        <v>249</v>
      </c>
      <c r="D291" s="14" t="s">
        <v>15</v>
      </c>
      <c r="E291" s="14">
        <v>13.27</v>
      </c>
      <c r="F291" s="14">
        <v>4.28</v>
      </c>
      <c r="G291" s="14">
        <v>2.25999999999999</v>
      </c>
      <c r="H291" s="14">
        <v>20</v>
      </c>
      <c r="I291" s="14">
        <v>120</v>
      </c>
      <c r="J291" s="14">
        <v>1.59</v>
      </c>
      <c r="K291" s="14">
        <v>0.68999999999999895</v>
      </c>
      <c r="L291" s="14">
        <v>0.42999999999999899</v>
      </c>
      <c r="M291" s="14">
        <v>1.35</v>
      </c>
      <c r="N291" s="14">
        <v>10.1999999999999</v>
      </c>
      <c r="O291" s="14">
        <v>0.58999999999999897</v>
      </c>
      <c r="P291" s="14">
        <v>1.56</v>
      </c>
      <c r="Q291">
        <v>835</v>
      </c>
    </row>
    <row r="292" spans="3:17" x14ac:dyDescent="0.25">
      <c r="C292" s="15" t="s">
        <v>331</v>
      </c>
      <c r="D292" s="14" t="s">
        <v>14</v>
      </c>
      <c r="E292" s="14">
        <v>12.34</v>
      </c>
      <c r="F292" s="14">
        <v>2.4500000000000002</v>
      </c>
      <c r="G292" s="14">
        <v>2.46</v>
      </c>
      <c r="H292" s="14">
        <v>21</v>
      </c>
      <c r="I292" s="14">
        <v>98</v>
      </c>
      <c r="J292" s="14">
        <v>2.56</v>
      </c>
      <c r="K292" s="14">
        <v>2.1099999999999901</v>
      </c>
      <c r="L292" s="14">
        <v>0.34</v>
      </c>
      <c r="M292" s="14">
        <v>1.31</v>
      </c>
      <c r="N292" s="14">
        <v>2.7999999999999901</v>
      </c>
      <c r="O292" s="14">
        <v>0.8</v>
      </c>
      <c r="P292" s="14">
        <v>3.3799999999999901</v>
      </c>
      <c r="Q292">
        <v>438</v>
      </c>
    </row>
    <row r="293" spans="3:17" x14ac:dyDescent="0.25">
      <c r="C293" s="15" t="s">
        <v>76</v>
      </c>
      <c r="D293" s="14" t="s">
        <v>13</v>
      </c>
      <c r="E293" s="14">
        <v>13.16</v>
      </c>
      <c r="F293" s="14">
        <v>2.3599999999999901</v>
      </c>
      <c r="G293" s="14">
        <v>2.6699999999999902</v>
      </c>
      <c r="H293" s="14">
        <v>18.600000000000001</v>
      </c>
      <c r="I293" s="14">
        <v>101</v>
      </c>
      <c r="J293" s="14">
        <v>2.7999999999999901</v>
      </c>
      <c r="K293" s="14">
        <v>3.24</v>
      </c>
      <c r="L293" s="14">
        <v>0.29999999999999899</v>
      </c>
      <c r="M293" s="14">
        <v>2.81</v>
      </c>
      <c r="N293" s="14">
        <v>5.6799999999999899</v>
      </c>
      <c r="O293" s="14">
        <v>1.03</v>
      </c>
      <c r="P293" s="14">
        <v>3.1699999999999902</v>
      </c>
      <c r="Q293">
        <v>1185</v>
      </c>
    </row>
    <row r="294" spans="3:17" x14ac:dyDescent="0.25">
      <c r="C294" s="15" t="s">
        <v>366</v>
      </c>
      <c r="D294" s="14" t="s">
        <v>15</v>
      </c>
      <c r="E294" s="14">
        <v>12.5299999999999</v>
      </c>
      <c r="F294" s="14">
        <v>5.50999999999999</v>
      </c>
      <c r="G294" s="14">
        <v>2.64</v>
      </c>
      <c r="H294" s="14">
        <v>25</v>
      </c>
      <c r="I294" s="14">
        <v>96</v>
      </c>
      <c r="J294" s="14">
        <v>1.79</v>
      </c>
      <c r="K294" s="14">
        <v>0.59999999999999898</v>
      </c>
      <c r="L294" s="14">
        <v>0.63</v>
      </c>
      <c r="M294" s="14">
        <v>1.1000000000000001</v>
      </c>
      <c r="N294" s="14">
        <v>5</v>
      </c>
      <c r="O294" s="14">
        <v>0.81999999999999895</v>
      </c>
      <c r="P294" s="14">
        <v>1.68999999999999</v>
      </c>
      <c r="Q294">
        <v>515</v>
      </c>
    </row>
    <row r="295" spans="3:17" x14ac:dyDescent="0.25">
      <c r="C295" s="15" t="s">
        <v>392</v>
      </c>
      <c r="D295" s="14" t="s">
        <v>15</v>
      </c>
      <c r="E295" s="14">
        <v>12.96</v>
      </c>
      <c r="F295" s="14">
        <v>3.45</v>
      </c>
      <c r="G295" s="14">
        <v>2.35</v>
      </c>
      <c r="H295" s="14">
        <v>18.5</v>
      </c>
      <c r="I295" s="14">
        <v>106</v>
      </c>
      <c r="J295" s="14">
        <v>1.3899999999999899</v>
      </c>
      <c r="K295" s="14">
        <v>0.69999999999999896</v>
      </c>
      <c r="L295" s="14">
        <v>0.4</v>
      </c>
      <c r="M295" s="14">
        <v>0.93999999999999895</v>
      </c>
      <c r="N295" s="14">
        <v>5.28</v>
      </c>
      <c r="O295" s="14">
        <v>0.68</v>
      </c>
      <c r="P295" s="14">
        <v>1.75</v>
      </c>
      <c r="Q295">
        <v>675</v>
      </c>
    </row>
    <row r="296" spans="3:17" x14ac:dyDescent="0.25">
      <c r="C296" s="15" t="s">
        <v>92</v>
      </c>
      <c r="D296" s="14" t="s">
        <v>13</v>
      </c>
      <c r="E296" s="14">
        <v>14.19</v>
      </c>
      <c r="F296" s="14">
        <v>1.59</v>
      </c>
      <c r="G296" s="14">
        <v>2.48</v>
      </c>
      <c r="H296" s="14">
        <v>16.5</v>
      </c>
      <c r="I296" s="14">
        <v>108</v>
      </c>
      <c r="J296" s="14">
        <v>3.2999999999999901</v>
      </c>
      <c r="K296" s="14">
        <v>3.93</v>
      </c>
      <c r="L296" s="14">
        <v>0.32</v>
      </c>
      <c r="M296" s="14">
        <v>1.86</v>
      </c>
      <c r="N296" s="14">
        <v>8.6999999999999904</v>
      </c>
      <c r="O296" s="14">
        <v>1.23</v>
      </c>
      <c r="P296" s="14">
        <v>2.8199999999999901</v>
      </c>
      <c r="Q296">
        <v>1680</v>
      </c>
    </row>
    <row r="297" spans="3:17" x14ac:dyDescent="0.25">
      <c r="C297" s="15" t="s">
        <v>356</v>
      </c>
      <c r="D297" s="14" t="s">
        <v>14</v>
      </c>
      <c r="E297" s="14">
        <v>11.7899999999999</v>
      </c>
      <c r="F297" s="14">
        <v>2.1299999999999901</v>
      </c>
      <c r="G297" s="14">
        <v>2.77999999999999</v>
      </c>
      <c r="H297" s="14">
        <v>28.5</v>
      </c>
      <c r="I297" s="14">
        <v>92</v>
      </c>
      <c r="J297" s="14">
        <v>2.1299999999999901</v>
      </c>
      <c r="K297" s="14">
        <v>2.2400000000000002</v>
      </c>
      <c r="L297" s="14">
        <v>0.57999999999999896</v>
      </c>
      <c r="M297" s="14">
        <v>1.76</v>
      </c>
      <c r="N297" s="14">
        <v>3</v>
      </c>
      <c r="O297" s="14">
        <v>0.96999999999999897</v>
      </c>
      <c r="P297" s="14">
        <v>2.4399999999999902</v>
      </c>
      <c r="Q297">
        <v>466</v>
      </c>
    </row>
    <row r="298" spans="3:17" x14ac:dyDescent="0.25">
      <c r="C298" s="15" t="s">
        <v>147</v>
      </c>
      <c r="D298" s="14" t="s">
        <v>14</v>
      </c>
      <c r="E298" s="14">
        <v>12.99</v>
      </c>
      <c r="F298" s="14">
        <v>1.6699999999999899</v>
      </c>
      <c r="G298" s="14">
        <v>2.6</v>
      </c>
      <c r="H298" s="14">
        <v>30</v>
      </c>
      <c r="I298" s="14">
        <v>139</v>
      </c>
      <c r="J298" s="14">
        <v>3.2999999999999901</v>
      </c>
      <c r="K298" s="14">
        <v>2.89</v>
      </c>
      <c r="L298" s="14">
        <v>0.20999999999999899</v>
      </c>
      <c r="M298" s="14">
        <v>1.96</v>
      </c>
      <c r="N298" s="14">
        <v>3.35</v>
      </c>
      <c r="O298" s="14">
        <v>1.31</v>
      </c>
      <c r="P298" s="14">
        <v>3.5</v>
      </c>
      <c r="Q298">
        <v>985</v>
      </c>
    </row>
    <row r="299" spans="3:17" x14ac:dyDescent="0.25">
      <c r="C299" s="15" t="s">
        <v>174</v>
      </c>
      <c r="D299" s="14" t="s">
        <v>14</v>
      </c>
      <c r="E299" s="14">
        <v>12.08</v>
      </c>
      <c r="F299" s="14">
        <v>2.08</v>
      </c>
      <c r="G299" s="14">
        <v>1.7</v>
      </c>
      <c r="H299" s="14">
        <v>17.5</v>
      </c>
      <c r="I299" s="14">
        <v>97</v>
      </c>
      <c r="J299" s="14">
        <v>2.23</v>
      </c>
      <c r="K299" s="14">
        <v>2.1699999999999902</v>
      </c>
      <c r="L299" s="14">
        <v>0.26</v>
      </c>
      <c r="M299" s="14">
        <v>1.3999999999999899</v>
      </c>
      <c r="N299" s="14">
        <v>3.2999999999999901</v>
      </c>
      <c r="O299" s="14">
        <v>1.27</v>
      </c>
      <c r="P299" s="14">
        <v>2.96</v>
      </c>
      <c r="Q299">
        <v>710</v>
      </c>
    </row>
    <row r="300" spans="3:17" x14ac:dyDescent="0.25">
      <c r="C300" s="15" t="s">
        <v>372</v>
      </c>
      <c r="D300" s="14" t="s">
        <v>15</v>
      </c>
      <c r="E300" s="14">
        <v>13.6199999999999</v>
      </c>
      <c r="F300" s="14">
        <v>4.95</v>
      </c>
      <c r="G300" s="14">
        <v>2.35</v>
      </c>
      <c r="H300" s="14">
        <v>20</v>
      </c>
      <c r="I300" s="14">
        <v>92</v>
      </c>
      <c r="J300" s="14">
        <v>2</v>
      </c>
      <c r="K300" s="14">
        <v>0.8</v>
      </c>
      <c r="L300" s="14">
        <v>0.46999999999999897</v>
      </c>
      <c r="M300" s="14">
        <v>1.02</v>
      </c>
      <c r="N300" s="14">
        <v>4.4000000000000004</v>
      </c>
      <c r="O300" s="14">
        <v>0.91</v>
      </c>
      <c r="P300" s="14">
        <v>2.0499999999999901</v>
      </c>
      <c r="Q300">
        <v>550</v>
      </c>
    </row>
    <row r="301" spans="3:17" x14ac:dyDescent="0.25">
      <c r="C301" s="15" t="s">
        <v>131</v>
      </c>
      <c r="D301" s="14" t="s">
        <v>13</v>
      </c>
      <c r="E301" s="14">
        <v>13.2899999999999</v>
      </c>
      <c r="F301" s="14">
        <v>1.97</v>
      </c>
      <c r="G301" s="14">
        <v>2.68</v>
      </c>
      <c r="H301" s="14">
        <v>16.8</v>
      </c>
      <c r="I301" s="14">
        <v>102</v>
      </c>
      <c r="J301" s="14">
        <v>3</v>
      </c>
      <c r="K301" s="14">
        <v>3.23</v>
      </c>
      <c r="L301" s="14">
        <v>0.31</v>
      </c>
      <c r="M301" s="14">
        <v>1.6599999999999899</v>
      </c>
      <c r="N301" s="14">
        <v>6</v>
      </c>
      <c r="O301" s="14">
        <v>1.07</v>
      </c>
      <c r="P301" s="14">
        <v>2.8399999999999901</v>
      </c>
      <c r="Q301">
        <v>1270</v>
      </c>
    </row>
    <row r="302" spans="3:17" x14ac:dyDescent="0.25">
      <c r="C302" s="15" t="s">
        <v>175</v>
      </c>
      <c r="D302" s="14" t="s">
        <v>14</v>
      </c>
      <c r="E302" s="14">
        <v>12.6</v>
      </c>
      <c r="F302" s="14">
        <v>1.34</v>
      </c>
      <c r="G302" s="14">
        <v>1.8999999999999899</v>
      </c>
      <c r="H302" s="14">
        <v>18.5</v>
      </c>
      <c r="I302" s="14">
        <v>88</v>
      </c>
      <c r="J302" s="14">
        <v>1.45</v>
      </c>
      <c r="K302" s="14">
        <v>1.36</v>
      </c>
      <c r="L302" s="14">
        <v>0.28999999999999898</v>
      </c>
      <c r="M302" s="14">
        <v>1.35</v>
      </c>
      <c r="N302" s="14">
        <v>2.4500000000000002</v>
      </c>
      <c r="O302" s="14">
        <v>1.04</v>
      </c>
      <c r="P302" s="14">
        <v>2.77</v>
      </c>
      <c r="Q302">
        <v>562</v>
      </c>
    </row>
    <row r="303" spans="3:17" x14ac:dyDescent="0.25">
      <c r="C303" s="15" t="s">
        <v>298</v>
      </c>
      <c r="D303" s="14" t="s">
        <v>14</v>
      </c>
      <c r="E303" s="14">
        <v>12.21</v>
      </c>
      <c r="F303" s="14">
        <v>1.18999999999999</v>
      </c>
      <c r="G303" s="14">
        <v>1.75</v>
      </c>
      <c r="H303" s="14">
        <v>16.8</v>
      </c>
      <c r="I303" s="14">
        <v>151</v>
      </c>
      <c r="J303" s="14">
        <v>1.85</v>
      </c>
      <c r="K303" s="14">
        <v>1.28</v>
      </c>
      <c r="L303" s="14">
        <v>0.14000000000000001</v>
      </c>
      <c r="M303" s="14">
        <v>2.5</v>
      </c>
      <c r="N303" s="14">
        <v>2.85</v>
      </c>
      <c r="O303" s="14">
        <v>1.28</v>
      </c>
      <c r="P303" s="14">
        <v>3.0699999999999901</v>
      </c>
      <c r="Q303">
        <v>718</v>
      </c>
    </row>
    <row r="304" spans="3:17" x14ac:dyDescent="0.25">
      <c r="C304" s="15" t="s">
        <v>136</v>
      </c>
      <c r="D304" s="14" t="s">
        <v>14</v>
      </c>
      <c r="E304" s="14">
        <v>13.67</v>
      </c>
      <c r="F304" s="14">
        <v>1.25</v>
      </c>
      <c r="G304" s="14">
        <v>1.9199999999999899</v>
      </c>
      <c r="H304" s="14">
        <v>18</v>
      </c>
      <c r="I304" s="14">
        <v>94</v>
      </c>
      <c r="J304" s="14">
        <v>2.1</v>
      </c>
      <c r="K304" s="14">
        <v>1.79</v>
      </c>
      <c r="L304" s="14">
        <v>0.32</v>
      </c>
      <c r="M304" s="14">
        <v>0.72999999999999898</v>
      </c>
      <c r="N304" s="14">
        <v>3.7999999999999901</v>
      </c>
      <c r="O304" s="14">
        <v>1.23</v>
      </c>
      <c r="P304" s="14">
        <v>2.46</v>
      </c>
      <c r="Q304">
        <v>630</v>
      </c>
    </row>
    <row r="305" spans="3:17" x14ac:dyDescent="0.25">
      <c r="C305" s="15" t="s">
        <v>326</v>
      </c>
      <c r="D305" s="14" t="s">
        <v>14</v>
      </c>
      <c r="E305" s="14">
        <v>12.2899999999999</v>
      </c>
      <c r="F305" s="14">
        <v>1.4099999999999899</v>
      </c>
      <c r="G305" s="14">
        <v>1.98</v>
      </c>
      <c r="H305" s="14">
        <v>16</v>
      </c>
      <c r="I305" s="14">
        <v>85</v>
      </c>
      <c r="J305" s="14">
        <v>2.5499999999999901</v>
      </c>
      <c r="K305" s="14">
        <v>2.5</v>
      </c>
      <c r="L305" s="14">
        <v>0.28999999999999898</v>
      </c>
      <c r="M305" s="14">
        <v>1.77</v>
      </c>
      <c r="N305" s="14">
        <v>2.8999999999999901</v>
      </c>
      <c r="O305" s="14">
        <v>1.23</v>
      </c>
      <c r="P305" s="14">
        <v>2.74</v>
      </c>
      <c r="Q305">
        <v>428</v>
      </c>
    </row>
    <row r="306" spans="3:17" x14ac:dyDescent="0.25">
      <c r="C306" s="15" t="s">
        <v>399</v>
      </c>
      <c r="D306" s="14" t="s">
        <v>15</v>
      </c>
      <c r="E306" s="14">
        <v>12.1999999999999</v>
      </c>
      <c r="F306" s="14">
        <v>3.02999999999999</v>
      </c>
      <c r="G306" s="14">
        <v>2.3199999999999901</v>
      </c>
      <c r="H306" s="14">
        <v>19</v>
      </c>
      <c r="I306" s="14">
        <v>96</v>
      </c>
      <c r="J306" s="14">
        <v>1.25</v>
      </c>
      <c r="K306" s="14">
        <v>0.48999999999999899</v>
      </c>
      <c r="L306" s="14">
        <v>0.4</v>
      </c>
      <c r="M306" s="14">
        <v>0.72999999999999898</v>
      </c>
      <c r="N306" s="14">
        <v>5.5</v>
      </c>
      <c r="O306" s="14">
        <v>0.66</v>
      </c>
      <c r="P306" s="14">
        <v>1.83</v>
      </c>
      <c r="Q306">
        <v>510</v>
      </c>
    </row>
    <row r="307" spans="3:17" x14ac:dyDescent="0.25">
      <c r="C307" s="15" t="s">
        <v>357</v>
      </c>
      <c r="D307" s="14" t="s">
        <v>14</v>
      </c>
      <c r="E307" s="14">
        <v>12.3699999999999</v>
      </c>
      <c r="F307" s="14">
        <v>1.6299999999999899</v>
      </c>
      <c r="G307" s="14">
        <v>2.2999999999999901</v>
      </c>
      <c r="H307" s="14">
        <v>24.5</v>
      </c>
      <c r="I307" s="14">
        <v>88</v>
      </c>
      <c r="J307" s="14">
        <v>2.2200000000000002</v>
      </c>
      <c r="K307" s="14">
        <v>2.4500000000000002</v>
      </c>
      <c r="L307" s="14">
        <v>0.4</v>
      </c>
      <c r="M307" s="14">
        <v>1.8999999999999899</v>
      </c>
      <c r="N307" s="14">
        <v>2.12</v>
      </c>
      <c r="O307" s="14">
        <v>0.89</v>
      </c>
      <c r="P307" s="14">
        <v>2.77999999999999</v>
      </c>
      <c r="Q307">
        <v>342</v>
      </c>
    </row>
    <row r="308" spans="3:17" x14ac:dyDescent="0.25">
      <c r="C308" s="15" t="s">
        <v>338</v>
      </c>
      <c r="D308" s="14" t="s">
        <v>14</v>
      </c>
      <c r="E308" s="14">
        <v>11.6099999999999</v>
      </c>
      <c r="F308" s="14">
        <v>1.35</v>
      </c>
      <c r="G308" s="14">
        <v>2.7</v>
      </c>
      <c r="H308" s="14">
        <v>20</v>
      </c>
      <c r="I308" s="14">
        <v>94</v>
      </c>
      <c r="J308" s="14">
        <v>2.74</v>
      </c>
      <c r="K308" s="14">
        <v>2.9199999999999902</v>
      </c>
      <c r="L308" s="14">
        <v>0.28999999999999898</v>
      </c>
      <c r="M308" s="14">
        <v>2.4900000000000002</v>
      </c>
      <c r="N308" s="14">
        <v>2.6499999999999901</v>
      </c>
      <c r="O308" s="14">
        <v>0.95999999999999897</v>
      </c>
      <c r="P308" s="14">
        <v>3.25999999999999</v>
      </c>
      <c r="Q308">
        <v>680</v>
      </c>
    </row>
    <row r="309" spans="3:17" x14ac:dyDescent="0.25">
      <c r="C309" s="15" t="s">
        <v>248</v>
      </c>
      <c r="D309" s="14" t="s">
        <v>15</v>
      </c>
      <c r="E309" s="14">
        <v>13.4</v>
      </c>
      <c r="F309" s="14">
        <v>3.91</v>
      </c>
      <c r="G309" s="14">
        <v>2.48</v>
      </c>
      <c r="H309" s="14">
        <v>23</v>
      </c>
      <c r="I309" s="14">
        <v>102</v>
      </c>
      <c r="J309" s="14">
        <v>1.8</v>
      </c>
      <c r="K309" s="14">
        <v>0.75</v>
      </c>
      <c r="L309" s="14">
        <v>0.42999999999999899</v>
      </c>
      <c r="M309" s="14">
        <v>1.4099999999999899</v>
      </c>
      <c r="N309" s="14">
        <v>7.2999999999999901</v>
      </c>
      <c r="O309" s="14">
        <v>0.69999999999999896</v>
      </c>
      <c r="P309" s="14">
        <v>1.56</v>
      </c>
      <c r="Q309">
        <v>750</v>
      </c>
    </row>
    <row r="310" spans="3:17" x14ac:dyDescent="0.25">
      <c r="C310" s="15" t="s">
        <v>250</v>
      </c>
      <c r="D310" s="14" t="s">
        <v>15</v>
      </c>
      <c r="E310" s="14">
        <v>13.17</v>
      </c>
      <c r="F310" s="14">
        <v>2.5899999999999901</v>
      </c>
      <c r="G310" s="14">
        <v>2.37</v>
      </c>
      <c r="H310" s="14">
        <v>20</v>
      </c>
      <c r="I310" s="14">
        <v>120</v>
      </c>
      <c r="J310" s="14">
        <v>1.6499999999999899</v>
      </c>
      <c r="K310" s="14">
        <v>0.68</v>
      </c>
      <c r="L310" s="14">
        <v>0.53</v>
      </c>
      <c r="M310" s="14">
        <v>1.46</v>
      </c>
      <c r="N310" s="14">
        <v>9.3000000000000007</v>
      </c>
      <c r="O310" s="14">
        <v>0.59999999999999898</v>
      </c>
      <c r="P310" s="14">
        <v>1.62</v>
      </c>
      <c r="Q310">
        <v>840</v>
      </c>
    </row>
    <row r="311" spans="3:17" x14ac:dyDescent="0.25">
      <c r="C311" s="15" t="s">
        <v>246</v>
      </c>
      <c r="D311" s="14" t="s">
        <v>15</v>
      </c>
      <c r="E311" s="14">
        <v>14.16</v>
      </c>
      <c r="F311" s="14">
        <v>2.50999999999999</v>
      </c>
      <c r="G311" s="14">
        <v>2.48</v>
      </c>
      <c r="H311" s="14">
        <v>20</v>
      </c>
      <c r="I311" s="14">
        <v>91</v>
      </c>
      <c r="J311" s="14">
        <v>1.6799999999999899</v>
      </c>
      <c r="K311" s="14">
        <v>0.69999999999999896</v>
      </c>
      <c r="L311" s="14">
        <v>0.44</v>
      </c>
      <c r="M311" s="14">
        <v>1.24</v>
      </c>
      <c r="N311" s="14">
        <v>9.6999999999999904</v>
      </c>
      <c r="O311" s="14">
        <v>0.62</v>
      </c>
      <c r="P311" s="14">
        <v>1.71</v>
      </c>
      <c r="Q311">
        <v>660</v>
      </c>
    </row>
    <row r="312" spans="3:17" x14ac:dyDescent="0.25">
      <c r="C312" s="15" t="s">
        <v>272</v>
      </c>
      <c r="D312" s="14" t="s">
        <v>13</v>
      </c>
      <c r="E312" s="14">
        <v>13.24</v>
      </c>
      <c r="F312" s="14">
        <v>3.98</v>
      </c>
      <c r="G312" s="14">
        <v>2.29</v>
      </c>
      <c r="H312" s="14">
        <v>17.5</v>
      </c>
      <c r="I312" s="14">
        <v>103</v>
      </c>
      <c r="J312" s="14">
        <v>2.64</v>
      </c>
      <c r="K312" s="14">
        <v>2.6299999999999901</v>
      </c>
      <c r="L312" s="14">
        <v>0.32</v>
      </c>
      <c r="M312" s="14">
        <v>1.6599999999999899</v>
      </c>
      <c r="N312" s="14">
        <v>4.3600000000000003</v>
      </c>
      <c r="O312" s="14">
        <v>0.81999999999999895</v>
      </c>
      <c r="P312" s="14">
        <v>3</v>
      </c>
      <c r="Q312">
        <v>680</v>
      </c>
    </row>
    <row r="313" spans="3:17" x14ac:dyDescent="0.25">
      <c r="C313" s="15" t="s">
        <v>80</v>
      </c>
      <c r="D313" s="14" t="s">
        <v>13</v>
      </c>
      <c r="E313" s="14">
        <v>14.39</v>
      </c>
      <c r="F313" s="14">
        <v>1.87</v>
      </c>
      <c r="G313" s="14">
        <v>2.4500000000000002</v>
      </c>
      <c r="H313" s="14">
        <v>14.6</v>
      </c>
      <c r="I313" s="14">
        <v>96</v>
      </c>
      <c r="J313" s="14">
        <v>2.5</v>
      </c>
      <c r="K313" s="14">
        <v>2.52</v>
      </c>
      <c r="L313" s="14">
        <v>0.29999999999999899</v>
      </c>
      <c r="M313" s="14">
        <v>1.98</v>
      </c>
      <c r="N313" s="14">
        <v>5.25</v>
      </c>
      <c r="O313" s="14">
        <v>1.02</v>
      </c>
      <c r="P313" s="14">
        <v>3.58</v>
      </c>
      <c r="Q313">
        <v>1290</v>
      </c>
    </row>
    <row r="314" spans="3:17" x14ac:dyDescent="0.25">
      <c r="C314" s="15" t="s">
        <v>159</v>
      </c>
      <c r="D314" s="14" t="s">
        <v>14</v>
      </c>
      <c r="E314" s="14">
        <v>12.67</v>
      </c>
      <c r="F314" s="14">
        <v>0.97999999999999898</v>
      </c>
      <c r="G314" s="14">
        <v>2.2400000000000002</v>
      </c>
      <c r="H314" s="14">
        <v>18</v>
      </c>
      <c r="I314" s="14">
        <v>99</v>
      </c>
      <c r="J314" s="14">
        <v>2.2000000000000002</v>
      </c>
      <c r="K314" s="14">
        <v>1.93999999999999</v>
      </c>
      <c r="L314" s="14">
        <v>0.29999999999999899</v>
      </c>
      <c r="M314" s="14">
        <v>1.46</v>
      </c>
      <c r="N314" s="14">
        <v>2.62</v>
      </c>
      <c r="O314" s="14">
        <v>1.23</v>
      </c>
      <c r="P314" s="14">
        <v>3.16</v>
      </c>
      <c r="Q314">
        <v>450</v>
      </c>
    </row>
    <row r="315" spans="3:17" x14ac:dyDescent="0.25">
      <c r="C315" s="15" t="s">
        <v>364</v>
      </c>
      <c r="D315" s="14" t="s">
        <v>15</v>
      </c>
      <c r="E315" s="14">
        <v>12.6</v>
      </c>
      <c r="F315" s="14">
        <v>2.46</v>
      </c>
      <c r="G315" s="14">
        <v>2.2000000000000002</v>
      </c>
      <c r="H315" s="14">
        <v>18.5</v>
      </c>
      <c r="I315" s="14">
        <v>94</v>
      </c>
      <c r="J315" s="14">
        <v>1.62</v>
      </c>
      <c r="K315" s="14">
        <v>0.66</v>
      </c>
      <c r="L315" s="14">
        <v>0.63</v>
      </c>
      <c r="M315" s="14">
        <v>0.93999999999999895</v>
      </c>
      <c r="N315" s="14">
        <v>7.0999999999999899</v>
      </c>
      <c r="O315" s="14">
        <v>0.72999999999999898</v>
      </c>
      <c r="P315" s="14">
        <v>1.58</v>
      </c>
      <c r="Q315">
        <v>695</v>
      </c>
    </row>
    <row r="316" spans="3:17" x14ac:dyDescent="0.25">
      <c r="C316" s="15" t="s">
        <v>103</v>
      </c>
      <c r="D316" s="14" t="s">
        <v>13</v>
      </c>
      <c r="E316" s="14">
        <v>14.02</v>
      </c>
      <c r="F316" s="14">
        <v>1.6799999999999899</v>
      </c>
      <c r="G316" s="14">
        <v>2.21</v>
      </c>
      <c r="H316" s="14">
        <v>16</v>
      </c>
      <c r="I316" s="14">
        <v>96</v>
      </c>
      <c r="J316" s="14">
        <v>2.6499999999999901</v>
      </c>
      <c r="K316" s="14">
        <v>2.33</v>
      </c>
      <c r="L316" s="14">
        <v>0.26</v>
      </c>
      <c r="M316" s="14">
        <v>1.98</v>
      </c>
      <c r="N316" s="14">
        <v>4.7</v>
      </c>
      <c r="O316" s="14">
        <v>1.04</v>
      </c>
      <c r="P316" s="14">
        <v>3.5899999999999901</v>
      </c>
      <c r="Q316">
        <v>1035</v>
      </c>
    </row>
    <row r="317" spans="3:17" x14ac:dyDescent="0.25">
      <c r="C317" s="15" t="s">
        <v>140</v>
      </c>
      <c r="D317" s="14" t="s">
        <v>14</v>
      </c>
      <c r="E317" s="14">
        <v>13.1099999999999</v>
      </c>
      <c r="F317" s="14">
        <v>1.01</v>
      </c>
      <c r="G317" s="14">
        <v>1.7</v>
      </c>
      <c r="H317" s="14">
        <v>15</v>
      </c>
      <c r="I317" s="14">
        <v>78</v>
      </c>
      <c r="J317" s="14">
        <v>2.98</v>
      </c>
      <c r="K317" s="14">
        <v>3.18</v>
      </c>
      <c r="L317" s="14">
        <v>0.26</v>
      </c>
      <c r="M317" s="14">
        <v>2.27999999999999</v>
      </c>
      <c r="N317" s="14">
        <v>5.2999999999999901</v>
      </c>
      <c r="O317" s="14">
        <v>1.1200000000000001</v>
      </c>
      <c r="P317" s="14">
        <v>3.18</v>
      </c>
      <c r="Q317">
        <v>502</v>
      </c>
    </row>
    <row r="318" spans="3:17" x14ac:dyDescent="0.25">
      <c r="C318" s="15" t="s">
        <v>158</v>
      </c>
      <c r="D318" s="14" t="s">
        <v>14</v>
      </c>
      <c r="E318" s="14">
        <v>11.84</v>
      </c>
      <c r="F318" s="14">
        <v>0.89</v>
      </c>
      <c r="G318" s="14">
        <v>2.58</v>
      </c>
      <c r="H318" s="14">
        <v>18</v>
      </c>
      <c r="I318" s="14">
        <v>94</v>
      </c>
      <c r="J318" s="14">
        <v>2.2000000000000002</v>
      </c>
      <c r="K318" s="14">
        <v>2.21</v>
      </c>
      <c r="L318" s="14">
        <v>0.22</v>
      </c>
      <c r="M318" s="14">
        <v>2.35</v>
      </c>
      <c r="N318" s="14">
        <v>3.0499999999999901</v>
      </c>
      <c r="O318" s="14">
        <v>0.79</v>
      </c>
      <c r="P318" s="14">
        <v>3.08</v>
      </c>
      <c r="Q318">
        <v>520</v>
      </c>
    </row>
    <row r="319" spans="3:17" x14ac:dyDescent="0.25">
      <c r="C319" s="15" t="s">
        <v>344</v>
      </c>
      <c r="D319" s="14" t="s">
        <v>14</v>
      </c>
      <c r="E319" s="14">
        <v>11.0299999999999</v>
      </c>
      <c r="F319" s="14">
        <v>1.51</v>
      </c>
      <c r="G319" s="14">
        <v>2.2000000000000002</v>
      </c>
      <c r="H319" s="14">
        <v>21.5</v>
      </c>
      <c r="I319" s="14">
        <v>85</v>
      </c>
      <c r="J319" s="14">
        <v>2.46</v>
      </c>
      <c r="K319" s="14">
        <v>2.1699999999999902</v>
      </c>
      <c r="L319" s="14">
        <v>0.52</v>
      </c>
      <c r="M319" s="14">
        <v>2.00999999999999</v>
      </c>
      <c r="N319" s="14">
        <v>1.8999999999999899</v>
      </c>
      <c r="O319" s="14">
        <v>1.71</v>
      </c>
      <c r="P319" s="14">
        <v>2.87</v>
      </c>
      <c r="Q319">
        <v>407</v>
      </c>
    </row>
    <row r="320" spans="3:17" x14ac:dyDescent="0.25">
      <c r="C320" s="15" t="s">
        <v>210</v>
      </c>
      <c r="D320" s="14" t="s">
        <v>15</v>
      </c>
      <c r="E320" s="14">
        <v>12.25</v>
      </c>
      <c r="F320" s="14">
        <v>4.71999999999999</v>
      </c>
      <c r="G320" s="14">
        <v>2.54</v>
      </c>
      <c r="H320" s="14">
        <v>21</v>
      </c>
      <c r="I320" s="14">
        <v>89</v>
      </c>
      <c r="J320" s="14">
        <v>1.3799999999999899</v>
      </c>
      <c r="K320" s="14">
        <v>0.46999999999999897</v>
      </c>
      <c r="L320" s="14">
        <v>0.53</v>
      </c>
      <c r="M320" s="14">
        <v>0.8</v>
      </c>
      <c r="N320" s="14">
        <v>3.85</v>
      </c>
      <c r="O320" s="14">
        <v>0.75</v>
      </c>
      <c r="P320" s="14">
        <v>1.27</v>
      </c>
      <c r="Q320">
        <v>720</v>
      </c>
    </row>
    <row r="321" spans="3:17" x14ac:dyDescent="0.25">
      <c r="C321" s="15" t="s">
        <v>148</v>
      </c>
      <c r="D321" s="14" t="s">
        <v>14</v>
      </c>
      <c r="E321" s="14">
        <v>11.96</v>
      </c>
      <c r="F321" s="14">
        <v>1.0900000000000001</v>
      </c>
      <c r="G321" s="14">
        <v>2.2999999999999901</v>
      </c>
      <c r="H321" s="14">
        <v>21</v>
      </c>
      <c r="I321" s="14">
        <v>101</v>
      </c>
      <c r="J321" s="14">
        <v>3.3799999999999901</v>
      </c>
      <c r="K321" s="14">
        <v>2.14</v>
      </c>
      <c r="L321" s="14">
        <v>0.13</v>
      </c>
      <c r="M321" s="14">
        <v>1.6499999999999899</v>
      </c>
      <c r="N321" s="14">
        <v>3.21</v>
      </c>
      <c r="O321" s="14">
        <v>0.98999999999999899</v>
      </c>
      <c r="P321" s="14">
        <v>3.1299999999999901</v>
      </c>
      <c r="Q321">
        <v>886</v>
      </c>
    </row>
    <row r="322" spans="3:17" x14ac:dyDescent="0.25">
      <c r="C322" s="15" t="s">
        <v>184</v>
      </c>
      <c r="D322" s="14" t="s">
        <v>14</v>
      </c>
      <c r="E322" s="14">
        <v>11.46</v>
      </c>
      <c r="F322" s="14">
        <v>3.74</v>
      </c>
      <c r="G322" s="14">
        <v>1.82</v>
      </c>
      <c r="H322" s="14">
        <v>19.5</v>
      </c>
      <c r="I322" s="14">
        <v>107</v>
      </c>
      <c r="J322" s="14">
        <v>3.18</v>
      </c>
      <c r="K322" s="14">
        <v>2.58</v>
      </c>
      <c r="L322" s="14">
        <v>0.23999999999999899</v>
      </c>
      <c r="M322" s="14">
        <v>3.58</v>
      </c>
      <c r="N322" s="14">
        <v>2.8999999999999901</v>
      </c>
      <c r="O322" s="14">
        <v>0.75</v>
      </c>
      <c r="P322" s="14">
        <v>2.81</v>
      </c>
      <c r="Q322">
        <v>562</v>
      </c>
    </row>
    <row r="323" spans="3:17" x14ac:dyDescent="0.25">
      <c r="C323" s="15" t="s">
        <v>125</v>
      </c>
      <c r="D323" s="14" t="s">
        <v>13</v>
      </c>
      <c r="E323" s="14">
        <v>13.83</v>
      </c>
      <c r="F323" s="14">
        <v>1.6499999999999899</v>
      </c>
      <c r="G323" s="14">
        <v>2.6</v>
      </c>
      <c r="H323" s="14">
        <v>17.1999999999999</v>
      </c>
      <c r="I323" s="14">
        <v>94</v>
      </c>
      <c r="J323" s="14">
        <v>2.4500000000000002</v>
      </c>
      <c r="K323" s="14">
        <v>2.99</v>
      </c>
      <c r="L323" s="14">
        <v>0.22</v>
      </c>
      <c r="M323" s="14">
        <v>2.29</v>
      </c>
      <c r="N323" s="14">
        <v>5.5999999999999899</v>
      </c>
      <c r="O323" s="14">
        <v>1.24</v>
      </c>
      <c r="P323" s="14">
        <v>3.37</v>
      </c>
      <c r="Q323">
        <v>1265</v>
      </c>
    </row>
    <row r="324" spans="3:17" x14ac:dyDescent="0.25">
      <c r="C324" s="15" t="s">
        <v>113</v>
      </c>
      <c r="D324" s="14" t="s">
        <v>13</v>
      </c>
      <c r="E324" s="14">
        <v>14.22</v>
      </c>
      <c r="F324" s="14">
        <v>3.99</v>
      </c>
      <c r="G324" s="14">
        <v>2.50999999999999</v>
      </c>
      <c r="H324" s="14">
        <v>13.1999999999999</v>
      </c>
      <c r="I324" s="14">
        <v>128</v>
      </c>
      <c r="J324" s="14">
        <v>3</v>
      </c>
      <c r="K324" s="14">
        <v>3.04</v>
      </c>
      <c r="L324" s="14">
        <v>0.2</v>
      </c>
      <c r="M324" s="14">
        <v>2.08</v>
      </c>
      <c r="N324" s="14">
        <v>5.0999999999999899</v>
      </c>
      <c r="O324" s="14">
        <v>0.89</v>
      </c>
      <c r="P324" s="14">
        <v>3.52999999999999</v>
      </c>
      <c r="Q324">
        <v>760</v>
      </c>
    </row>
    <row r="325" spans="3:17" x14ac:dyDescent="0.25">
      <c r="C325" s="15" t="s">
        <v>385</v>
      </c>
      <c r="D325" s="14" t="s">
        <v>15</v>
      </c>
      <c r="E325" s="14">
        <v>13.84</v>
      </c>
      <c r="F325" s="14">
        <v>4.12</v>
      </c>
      <c r="G325" s="14">
        <v>2.3799999999999901</v>
      </c>
      <c r="H325" s="14">
        <v>19.5</v>
      </c>
      <c r="I325" s="14">
        <v>89</v>
      </c>
      <c r="J325" s="14">
        <v>1.8</v>
      </c>
      <c r="K325" s="14">
        <v>0.82999999999999896</v>
      </c>
      <c r="L325" s="14">
        <v>0.47999999999999898</v>
      </c>
      <c r="M325" s="14">
        <v>1.56</v>
      </c>
      <c r="N325" s="14">
        <v>9.0099999999999891</v>
      </c>
      <c r="O325" s="14">
        <v>0.56999999999999895</v>
      </c>
      <c r="P325" s="14">
        <v>1.6399999999999899</v>
      </c>
      <c r="Q325">
        <v>480</v>
      </c>
    </row>
    <row r="326" spans="3:17" x14ac:dyDescent="0.25">
      <c r="C326" s="15" t="s">
        <v>299</v>
      </c>
      <c r="D326" s="14" t="s">
        <v>14</v>
      </c>
      <c r="E326" s="14">
        <v>12.2899999999999</v>
      </c>
      <c r="F326" s="14">
        <v>1.61</v>
      </c>
      <c r="G326" s="14">
        <v>2.21</v>
      </c>
      <c r="H326" s="14">
        <v>20.399999999999899</v>
      </c>
      <c r="I326" s="14">
        <v>103</v>
      </c>
      <c r="J326" s="14">
        <v>1.1000000000000001</v>
      </c>
      <c r="K326" s="14">
        <v>1.02</v>
      </c>
      <c r="L326" s="14">
        <v>0.37</v>
      </c>
      <c r="M326" s="14">
        <v>1.46</v>
      </c>
      <c r="N326" s="14">
        <v>3.0499999999999901</v>
      </c>
      <c r="O326" s="14">
        <v>0.90600000000000003</v>
      </c>
      <c r="P326" s="14">
        <v>1.82</v>
      </c>
      <c r="Q326">
        <v>870</v>
      </c>
    </row>
    <row r="327" spans="3:17" x14ac:dyDescent="0.25">
      <c r="C327" s="15" t="s">
        <v>166</v>
      </c>
      <c r="D327" s="14" t="s">
        <v>14</v>
      </c>
      <c r="E327" s="14">
        <v>12.69</v>
      </c>
      <c r="F327" s="14">
        <v>1.53</v>
      </c>
      <c r="G327" s="14">
        <v>2.25999999999999</v>
      </c>
      <c r="H327" s="14">
        <v>20.6999999999999</v>
      </c>
      <c r="I327" s="14">
        <v>80</v>
      </c>
      <c r="J327" s="14">
        <v>1.3799999999999899</v>
      </c>
      <c r="K327" s="14">
        <v>1.46</v>
      </c>
      <c r="L327" s="14">
        <v>0.57999999999999896</v>
      </c>
      <c r="M327" s="14">
        <v>1.62</v>
      </c>
      <c r="N327" s="14">
        <v>3.0499999999999901</v>
      </c>
      <c r="O327" s="14">
        <v>0.95999999999999897</v>
      </c>
      <c r="P327" s="14">
        <v>2.06</v>
      </c>
      <c r="Q327">
        <v>495</v>
      </c>
    </row>
    <row r="328" spans="3:17" x14ac:dyDescent="0.25">
      <c r="C328" s="15" t="s">
        <v>289</v>
      </c>
      <c r="D328" s="14" t="s">
        <v>14</v>
      </c>
      <c r="E328" s="14">
        <v>12.33</v>
      </c>
      <c r="F328" s="14">
        <v>1.1000000000000001</v>
      </c>
      <c r="G328" s="14">
        <v>2.27999999999999</v>
      </c>
      <c r="H328" s="14">
        <v>16</v>
      </c>
      <c r="I328" s="14">
        <v>101</v>
      </c>
      <c r="J328" s="14">
        <v>2.0499999999999901</v>
      </c>
      <c r="K328" s="14">
        <v>1.0900000000000001</v>
      </c>
      <c r="L328" s="14">
        <v>0.63</v>
      </c>
      <c r="M328" s="14">
        <v>0.40999999999999898</v>
      </c>
      <c r="N328" s="14">
        <v>3.27</v>
      </c>
      <c r="O328" s="14">
        <v>1.25</v>
      </c>
      <c r="P328" s="14">
        <v>1.6699999999999899</v>
      </c>
      <c r="Q328">
        <v>680</v>
      </c>
    </row>
    <row r="329" spans="3:17" x14ac:dyDescent="0.25">
      <c r="C329" s="15" t="s">
        <v>176</v>
      </c>
      <c r="D329" s="14" t="s">
        <v>14</v>
      </c>
      <c r="E329" s="14">
        <v>12.34</v>
      </c>
      <c r="F329" s="14">
        <v>2.4500000000000002</v>
      </c>
      <c r="G329" s="14">
        <v>2.46</v>
      </c>
      <c r="H329" s="14">
        <v>21</v>
      </c>
      <c r="I329" s="14">
        <v>98</v>
      </c>
      <c r="J329" s="14">
        <v>2.56</v>
      </c>
      <c r="K329" s="14">
        <v>2.1099999999999901</v>
      </c>
      <c r="L329" s="14">
        <v>0.34</v>
      </c>
      <c r="M329" s="14">
        <v>1.31</v>
      </c>
      <c r="N329" s="14">
        <v>2.7999999999999901</v>
      </c>
      <c r="O329" s="14">
        <v>0.8</v>
      </c>
      <c r="P329" s="14">
        <v>3.3799999999999901</v>
      </c>
      <c r="Q329">
        <v>438</v>
      </c>
    </row>
    <row r="330" spans="3:17" x14ac:dyDescent="0.25">
      <c r="C330" s="15" t="s">
        <v>204</v>
      </c>
      <c r="D330" s="14" t="s">
        <v>15</v>
      </c>
      <c r="E330" s="14">
        <v>12.8599999999999</v>
      </c>
      <c r="F330" s="14">
        <v>1.35</v>
      </c>
      <c r="G330" s="14">
        <v>2.3199999999999901</v>
      </c>
      <c r="H330" s="14">
        <v>18</v>
      </c>
      <c r="I330" s="14">
        <v>122</v>
      </c>
      <c r="J330" s="14">
        <v>1.51</v>
      </c>
      <c r="K330" s="14">
        <v>1.25</v>
      </c>
      <c r="L330" s="14">
        <v>0.20999999999999899</v>
      </c>
      <c r="M330" s="14">
        <v>0.93999999999999895</v>
      </c>
      <c r="N330" s="14">
        <v>4.0999999999999899</v>
      </c>
      <c r="O330" s="14">
        <v>0.76</v>
      </c>
      <c r="P330" s="14">
        <v>1.29</v>
      </c>
      <c r="Q330">
        <v>630</v>
      </c>
    </row>
    <row r="331" spans="3:17" x14ac:dyDescent="0.25">
      <c r="C331" s="15" t="s">
        <v>374</v>
      </c>
      <c r="D331" s="14" t="s">
        <v>15</v>
      </c>
      <c r="E331" s="14">
        <v>13.16</v>
      </c>
      <c r="F331" s="14">
        <v>3.5699999999999901</v>
      </c>
      <c r="G331" s="14">
        <v>2.1499999999999901</v>
      </c>
      <c r="H331" s="14">
        <v>21</v>
      </c>
      <c r="I331" s="14">
        <v>102</v>
      </c>
      <c r="J331" s="14">
        <v>1.5</v>
      </c>
      <c r="K331" s="14">
        <v>0.55000000000000004</v>
      </c>
      <c r="L331" s="14">
        <v>0.42999999999999899</v>
      </c>
      <c r="M331" s="14">
        <v>1.3</v>
      </c>
      <c r="N331" s="14">
        <v>4</v>
      </c>
      <c r="O331" s="14">
        <v>0.59999999999999898</v>
      </c>
      <c r="P331" s="14">
        <v>1.6799999999999899</v>
      </c>
      <c r="Q331">
        <v>830</v>
      </c>
    </row>
    <row r="332" spans="3:17" x14ac:dyDescent="0.25">
      <c r="C332" s="15" t="s">
        <v>300</v>
      </c>
      <c r="D332" s="14" t="s">
        <v>14</v>
      </c>
      <c r="E332" s="14">
        <v>13.8599999999999</v>
      </c>
      <c r="F332" s="14">
        <v>1.51</v>
      </c>
      <c r="G332" s="14">
        <v>2.6699999999999902</v>
      </c>
      <c r="H332" s="14">
        <v>25</v>
      </c>
      <c r="I332" s="14">
        <v>86</v>
      </c>
      <c r="J332" s="14">
        <v>2.95</v>
      </c>
      <c r="K332" s="14">
        <v>2.8599999999999901</v>
      </c>
      <c r="L332" s="14">
        <v>0.20999999999999899</v>
      </c>
      <c r="M332" s="14">
        <v>1.87</v>
      </c>
      <c r="N332" s="14">
        <v>3.3799999999999901</v>
      </c>
      <c r="O332" s="14">
        <v>1.36</v>
      </c>
      <c r="P332" s="14">
        <v>3.16</v>
      </c>
      <c r="Q332">
        <v>410</v>
      </c>
    </row>
    <row r="333" spans="3:17" x14ac:dyDescent="0.25">
      <c r="C333" s="15" t="s">
        <v>279</v>
      </c>
      <c r="D333" s="14" t="s">
        <v>13</v>
      </c>
      <c r="E333" s="14">
        <v>13.05</v>
      </c>
      <c r="F333" s="14">
        <v>1.73</v>
      </c>
      <c r="G333" s="14">
        <v>2.04</v>
      </c>
      <c r="H333" s="14">
        <v>12.4</v>
      </c>
      <c r="I333" s="14">
        <v>92</v>
      </c>
      <c r="J333" s="14">
        <v>2.72</v>
      </c>
      <c r="K333" s="14">
        <v>3.27</v>
      </c>
      <c r="L333" s="14">
        <v>0.17</v>
      </c>
      <c r="M333" s="14">
        <v>2.91</v>
      </c>
      <c r="N333" s="14">
        <v>7.2</v>
      </c>
      <c r="O333" s="14">
        <v>1.1200000000000001</v>
      </c>
      <c r="P333" s="14">
        <v>2.91</v>
      </c>
      <c r="Q333">
        <v>1150</v>
      </c>
    </row>
    <row r="334" spans="3:17" x14ac:dyDescent="0.25">
      <c r="C334" s="15" t="s">
        <v>225</v>
      </c>
      <c r="D334" s="14" t="s">
        <v>15</v>
      </c>
      <c r="E334" s="14">
        <v>12.7899999999999</v>
      </c>
      <c r="F334" s="14">
        <v>2.6699999999999902</v>
      </c>
      <c r="G334" s="14">
        <v>2.48</v>
      </c>
      <c r="H334" s="14">
        <v>22</v>
      </c>
      <c r="I334" s="14">
        <v>112</v>
      </c>
      <c r="J334" s="14">
        <v>1.48</v>
      </c>
      <c r="K334" s="14">
        <v>1.36</v>
      </c>
      <c r="L334" s="14">
        <v>0.23999999999999899</v>
      </c>
      <c r="M334" s="14">
        <v>1.26</v>
      </c>
      <c r="N334" s="14">
        <v>10.8</v>
      </c>
      <c r="O334" s="14">
        <v>0.47999999999999898</v>
      </c>
      <c r="P334" s="14">
        <v>1.47</v>
      </c>
      <c r="Q334">
        <v>480</v>
      </c>
    </row>
    <row r="335" spans="3:17" x14ac:dyDescent="0.25">
      <c r="C335" s="15" t="s">
        <v>286</v>
      </c>
      <c r="D335" s="14" t="s">
        <v>13</v>
      </c>
      <c r="E335" s="14">
        <v>13.2899999999999</v>
      </c>
      <c r="F335" s="14">
        <v>1.97</v>
      </c>
      <c r="G335" s="14">
        <v>2.68</v>
      </c>
      <c r="H335" s="14">
        <v>16.8</v>
      </c>
      <c r="I335" s="14">
        <v>102</v>
      </c>
      <c r="J335" s="14">
        <v>3</v>
      </c>
      <c r="K335" s="14">
        <v>3.23</v>
      </c>
      <c r="L335" s="14">
        <v>0.31</v>
      </c>
      <c r="M335" s="14">
        <v>1.6599999999999899</v>
      </c>
      <c r="N335" s="14">
        <v>6</v>
      </c>
      <c r="O335" s="14">
        <v>1.07</v>
      </c>
      <c r="P335" s="14">
        <v>2.8399999999999901</v>
      </c>
      <c r="Q335">
        <v>1270</v>
      </c>
    </row>
    <row r="336" spans="3:17" x14ac:dyDescent="0.25">
      <c r="C336" s="15" t="s">
        <v>119</v>
      </c>
      <c r="D336" s="14" t="s">
        <v>13</v>
      </c>
      <c r="E336" s="14">
        <v>14.21</v>
      </c>
      <c r="F336" s="14">
        <v>4.04</v>
      </c>
      <c r="G336" s="14">
        <v>2.4399999999999902</v>
      </c>
      <c r="H336" s="14">
        <v>18.899999999999899</v>
      </c>
      <c r="I336" s="14">
        <v>111</v>
      </c>
      <c r="J336" s="14">
        <v>2.85</v>
      </c>
      <c r="K336" s="14">
        <v>2.6499999999999901</v>
      </c>
      <c r="L336" s="14">
        <v>0.29999999999999899</v>
      </c>
      <c r="M336" s="14">
        <v>1.25</v>
      </c>
      <c r="N336" s="14">
        <v>5.24</v>
      </c>
      <c r="O336" s="14">
        <v>0.87</v>
      </c>
      <c r="P336" s="14">
        <v>3.33</v>
      </c>
      <c r="Q336">
        <v>1080</v>
      </c>
    </row>
    <row r="337" spans="3:17" x14ac:dyDescent="0.25">
      <c r="C337" s="15" t="s">
        <v>82</v>
      </c>
      <c r="D337" s="14" t="s">
        <v>13</v>
      </c>
      <c r="E337" s="14">
        <v>14.83</v>
      </c>
      <c r="F337" s="14">
        <v>1.6399999999999899</v>
      </c>
      <c r="G337" s="14">
        <v>2.1699999999999902</v>
      </c>
      <c r="H337" s="14">
        <v>14</v>
      </c>
      <c r="I337" s="14">
        <v>97</v>
      </c>
      <c r="J337" s="14">
        <v>2.7999999999999901</v>
      </c>
      <c r="K337" s="14">
        <v>2.98</v>
      </c>
      <c r="L337" s="14">
        <v>0.28999999999999898</v>
      </c>
      <c r="M337" s="14">
        <v>1.98</v>
      </c>
      <c r="N337" s="14">
        <v>5.2</v>
      </c>
      <c r="O337" s="14">
        <v>1.08</v>
      </c>
      <c r="P337" s="14">
        <v>2.85</v>
      </c>
      <c r="Q337">
        <v>1045</v>
      </c>
    </row>
    <row r="338" spans="3:17" x14ac:dyDescent="0.25">
      <c r="C338" s="15" t="s">
        <v>304</v>
      </c>
      <c r="D338" s="14" t="s">
        <v>14</v>
      </c>
      <c r="E338" s="14">
        <v>11.66</v>
      </c>
      <c r="F338" s="14">
        <v>1.8799999999999899</v>
      </c>
      <c r="G338" s="14">
        <v>1.9199999999999899</v>
      </c>
      <c r="H338" s="14">
        <v>16</v>
      </c>
      <c r="I338" s="14">
        <v>97</v>
      </c>
      <c r="J338" s="14">
        <v>1.61</v>
      </c>
      <c r="K338" s="14">
        <v>1.57</v>
      </c>
      <c r="L338" s="14">
        <v>0.34</v>
      </c>
      <c r="M338" s="14">
        <v>1.1499999999999899</v>
      </c>
      <c r="N338" s="14">
        <v>3.7999999999999901</v>
      </c>
      <c r="O338" s="14">
        <v>1.23</v>
      </c>
      <c r="P338" s="14">
        <v>2.14</v>
      </c>
      <c r="Q338">
        <v>428</v>
      </c>
    </row>
    <row r="339" spans="3:17" x14ac:dyDescent="0.25">
      <c r="C339" s="15" t="s">
        <v>163</v>
      </c>
      <c r="D339" s="14" t="s">
        <v>14</v>
      </c>
      <c r="E339" s="14">
        <v>12.08</v>
      </c>
      <c r="F339" s="14">
        <v>1.33</v>
      </c>
      <c r="G339" s="14">
        <v>2.2999999999999901</v>
      </c>
      <c r="H339" s="14">
        <v>23.6</v>
      </c>
      <c r="I339" s="14">
        <v>70</v>
      </c>
      <c r="J339" s="14">
        <v>2.2000000000000002</v>
      </c>
      <c r="K339" s="14">
        <v>1.59</v>
      </c>
      <c r="L339" s="14">
        <v>0.41999999999999899</v>
      </c>
      <c r="M339" s="14">
        <v>1.3799999999999899</v>
      </c>
      <c r="N339" s="14">
        <v>1.74</v>
      </c>
      <c r="O339" s="14">
        <v>1.07</v>
      </c>
      <c r="P339" s="14">
        <v>3.21</v>
      </c>
      <c r="Q339">
        <v>625</v>
      </c>
    </row>
    <row r="340" spans="3:17" x14ac:dyDescent="0.25">
      <c r="C340" s="15" t="s">
        <v>152</v>
      </c>
      <c r="D340" s="14" t="s">
        <v>14</v>
      </c>
      <c r="E340" s="14">
        <v>12.33</v>
      </c>
      <c r="F340" s="14">
        <v>0.98999999999999899</v>
      </c>
      <c r="G340" s="14">
        <v>1.95</v>
      </c>
      <c r="H340" s="14">
        <v>14.8</v>
      </c>
      <c r="I340" s="14">
        <v>136</v>
      </c>
      <c r="J340" s="14">
        <v>1.8999999999999899</v>
      </c>
      <c r="K340" s="14">
        <v>1.85</v>
      </c>
      <c r="L340" s="14">
        <v>0.34999999999999898</v>
      </c>
      <c r="M340" s="14">
        <v>2.75999999999999</v>
      </c>
      <c r="N340" s="14">
        <v>3.3999999999999901</v>
      </c>
      <c r="O340" s="14">
        <v>1.06</v>
      </c>
      <c r="P340" s="14">
        <v>2.31</v>
      </c>
      <c r="Q340">
        <v>750</v>
      </c>
    </row>
    <row r="341" spans="3:17" x14ac:dyDescent="0.25">
      <c r="C341" s="15" t="s">
        <v>197</v>
      </c>
      <c r="D341" s="14" t="s">
        <v>14</v>
      </c>
      <c r="E341" s="14">
        <v>13.05</v>
      </c>
      <c r="F341" s="14">
        <v>5.7999999999999901</v>
      </c>
      <c r="G341" s="14">
        <v>2.1299999999999901</v>
      </c>
      <c r="H341" s="14">
        <v>21.5</v>
      </c>
      <c r="I341" s="14">
        <v>86</v>
      </c>
      <c r="J341" s="14">
        <v>2.62</v>
      </c>
      <c r="K341" s="14">
        <v>2.6499999999999901</v>
      </c>
      <c r="L341" s="14">
        <v>0.29999999999999899</v>
      </c>
      <c r="M341" s="14">
        <v>2.00999999999999</v>
      </c>
      <c r="N341" s="14">
        <v>2.6</v>
      </c>
      <c r="O341" s="14">
        <v>0.72999999999999898</v>
      </c>
      <c r="P341" s="14">
        <v>3.1</v>
      </c>
      <c r="Q341">
        <v>380</v>
      </c>
    </row>
    <row r="342" spans="3:17" x14ac:dyDescent="0.25">
      <c r="C342" s="15" t="s">
        <v>378</v>
      </c>
      <c r="D342" s="14" t="s">
        <v>15</v>
      </c>
      <c r="E342" s="14">
        <v>13.08</v>
      </c>
      <c r="F342" s="14">
        <v>3.8999999999999901</v>
      </c>
      <c r="G342" s="14">
        <v>2.3599999999999901</v>
      </c>
      <c r="H342" s="14">
        <v>21.5</v>
      </c>
      <c r="I342" s="14">
        <v>113</v>
      </c>
      <c r="J342" s="14">
        <v>1.4099999999999899</v>
      </c>
      <c r="K342" s="14">
        <v>1.3899999999999899</v>
      </c>
      <c r="L342" s="14">
        <v>0.34</v>
      </c>
      <c r="M342" s="14">
        <v>1.1399999999999899</v>
      </c>
      <c r="N342" s="14">
        <v>9.4</v>
      </c>
      <c r="O342" s="14">
        <v>0.56999999999999895</v>
      </c>
      <c r="P342" s="14">
        <v>1.33</v>
      </c>
      <c r="Q342">
        <v>550</v>
      </c>
    </row>
    <row r="343" spans="3:17" x14ac:dyDescent="0.25">
      <c r="C343" s="15" t="s">
        <v>233</v>
      </c>
      <c r="D343" s="14" t="s">
        <v>15</v>
      </c>
      <c r="E343" s="14">
        <v>13.48</v>
      </c>
      <c r="F343" s="14">
        <v>1.6699999999999899</v>
      </c>
      <c r="G343" s="14">
        <v>2.64</v>
      </c>
      <c r="H343" s="14">
        <v>22.5</v>
      </c>
      <c r="I343" s="14">
        <v>89</v>
      </c>
      <c r="J343" s="14">
        <v>2.6</v>
      </c>
      <c r="K343" s="14">
        <v>1.1000000000000001</v>
      </c>
      <c r="L343" s="14">
        <v>0.52</v>
      </c>
      <c r="M343" s="14">
        <v>2.29</v>
      </c>
      <c r="N343" s="14">
        <v>11.75</v>
      </c>
      <c r="O343" s="14">
        <v>0.56999999999999895</v>
      </c>
      <c r="P343" s="14">
        <v>1.78</v>
      </c>
      <c r="Q343">
        <v>620</v>
      </c>
    </row>
    <row r="344" spans="3:17" x14ac:dyDescent="0.25">
      <c r="C344" s="15" t="s">
        <v>346</v>
      </c>
      <c r="D344" s="14" t="s">
        <v>14</v>
      </c>
      <c r="E344" s="14">
        <v>12.42</v>
      </c>
      <c r="F344" s="14">
        <v>1.61</v>
      </c>
      <c r="G344" s="14">
        <v>2.1899999999999902</v>
      </c>
      <c r="H344" s="14">
        <v>22.5</v>
      </c>
      <c r="I344" s="14">
        <v>108</v>
      </c>
      <c r="J344" s="14">
        <v>2</v>
      </c>
      <c r="K344" s="14">
        <v>2.0899999999999901</v>
      </c>
      <c r="L344" s="14">
        <v>0.34</v>
      </c>
      <c r="M344" s="14">
        <v>1.61</v>
      </c>
      <c r="N344" s="14">
        <v>2.06</v>
      </c>
      <c r="O344" s="14">
        <v>1.06</v>
      </c>
      <c r="P344" s="14">
        <v>2.96</v>
      </c>
      <c r="Q344">
        <v>345</v>
      </c>
    </row>
    <row r="345" spans="3:17" x14ac:dyDescent="0.25">
      <c r="C345" s="15" t="s">
        <v>271</v>
      </c>
      <c r="D345" s="14" t="s">
        <v>13</v>
      </c>
      <c r="E345" s="14">
        <v>13.88</v>
      </c>
      <c r="F345" s="14">
        <v>1.8899999999999899</v>
      </c>
      <c r="G345" s="14">
        <v>2.5899999999999901</v>
      </c>
      <c r="H345" s="14">
        <v>15</v>
      </c>
      <c r="I345" s="14">
        <v>101</v>
      </c>
      <c r="J345" s="14">
        <v>3.25</v>
      </c>
      <c r="K345" s="14">
        <v>3.56</v>
      </c>
      <c r="L345" s="14">
        <v>0.17</v>
      </c>
      <c r="M345" s="14">
        <v>1.7</v>
      </c>
      <c r="N345" s="14">
        <v>5.4299999999999899</v>
      </c>
      <c r="O345" s="14">
        <v>0.88</v>
      </c>
      <c r="P345" s="14">
        <v>3.56</v>
      </c>
      <c r="Q345">
        <v>1095</v>
      </c>
    </row>
    <row r="346" spans="3:17" x14ac:dyDescent="0.25">
      <c r="C346" s="15" t="s">
        <v>228</v>
      </c>
      <c r="D346" s="14" t="s">
        <v>15</v>
      </c>
      <c r="E346" s="14">
        <v>12.58</v>
      </c>
      <c r="F346" s="14">
        <v>1.29</v>
      </c>
      <c r="G346" s="14">
        <v>2.1</v>
      </c>
      <c r="H346" s="14">
        <v>20</v>
      </c>
      <c r="I346" s="14">
        <v>103</v>
      </c>
      <c r="J346" s="14">
        <v>1.48</v>
      </c>
      <c r="K346" s="14">
        <v>0.57999999999999896</v>
      </c>
      <c r="L346" s="14">
        <v>0.53</v>
      </c>
      <c r="M346" s="14">
        <v>1.3999999999999899</v>
      </c>
      <c r="N346" s="14">
        <v>7.5999999999999899</v>
      </c>
      <c r="O346" s="14">
        <v>0.57999999999999896</v>
      </c>
      <c r="P346" s="14">
        <v>1.55</v>
      </c>
      <c r="Q346">
        <v>640</v>
      </c>
    </row>
    <row r="347" spans="3:17" x14ac:dyDescent="0.25">
      <c r="C347" s="15" t="s">
        <v>200</v>
      </c>
      <c r="D347" s="14" t="s">
        <v>14</v>
      </c>
      <c r="E347" s="14">
        <v>12.43</v>
      </c>
      <c r="F347" s="14">
        <v>1.53</v>
      </c>
      <c r="G347" s="14">
        <v>2.29</v>
      </c>
      <c r="H347" s="14">
        <v>21.5</v>
      </c>
      <c r="I347" s="14">
        <v>86</v>
      </c>
      <c r="J347" s="14">
        <v>2.74</v>
      </c>
      <c r="K347" s="14">
        <v>3.1499999999999901</v>
      </c>
      <c r="L347" s="14">
        <v>0.39</v>
      </c>
      <c r="M347" s="14">
        <v>1.77</v>
      </c>
      <c r="N347" s="14">
        <v>3.9399999999999902</v>
      </c>
      <c r="O347" s="14">
        <v>0.68999999999999895</v>
      </c>
      <c r="P347" s="14">
        <v>2.8399999999999901</v>
      </c>
      <c r="Q347">
        <v>352</v>
      </c>
    </row>
    <row r="348" spans="3:17" x14ac:dyDescent="0.25">
      <c r="C348" s="15" t="s">
        <v>270</v>
      </c>
      <c r="D348" s="14" t="s">
        <v>13</v>
      </c>
      <c r="E348" s="14">
        <v>13.41</v>
      </c>
      <c r="F348" s="14">
        <v>3.8399999999999901</v>
      </c>
      <c r="G348" s="14">
        <v>2.12</v>
      </c>
      <c r="H348" s="14">
        <v>18.8</v>
      </c>
      <c r="I348" s="14">
        <v>90</v>
      </c>
      <c r="J348" s="14">
        <v>2.4500000000000002</v>
      </c>
      <c r="K348" s="14">
        <v>2.68</v>
      </c>
      <c r="L348" s="14">
        <v>0.27</v>
      </c>
      <c r="M348" s="14">
        <v>1.48</v>
      </c>
      <c r="N348" s="14">
        <v>4.28</v>
      </c>
      <c r="O348" s="14">
        <v>0.91</v>
      </c>
      <c r="P348" s="14">
        <v>3</v>
      </c>
      <c r="Q348">
        <v>1035</v>
      </c>
    </row>
    <row r="349" spans="3:17" x14ac:dyDescent="0.25">
      <c r="C349" s="15" t="s">
        <v>208</v>
      </c>
      <c r="D349" s="14" t="s">
        <v>15</v>
      </c>
      <c r="E349" s="14">
        <v>12.51</v>
      </c>
      <c r="F349" s="14">
        <v>1.24</v>
      </c>
      <c r="G349" s="14">
        <v>2.25</v>
      </c>
      <c r="H349" s="14">
        <v>17.5</v>
      </c>
      <c r="I349" s="14">
        <v>85</v>
      </c>
      <c r="J349" s="14">
        <v>2</v>
      </c>
      <c r="K349" s="14">
        <v>0.57999999999999896</v>
      </c>
      <c r="L349" s="14">
        <v>0.59999999999999898</v>
      </c>
      <c r="M349" s="14">
        <v>1.25</v>
      </c>
      <c r="N349" s="14">
        <v>5.45</v>
      </c>
      <c r="O349" s="14">
        <v>0.75</v>
      </c>
      <c r="P349" s="14">
        <v>1.51</v>
      </c>
      <c r="Q349">
        <v>650</v>
      </c>
    </row>
    <row r="350" spans="3:17" x14ac:dyDescent="0.25">
      <c r="C350" s="15" t="s">
        <v>253</v>
      </c>
      <c r="D350" s="14" t="s">
        <v>13</v>
      </c>
      <c r="E350" s="14">
        <v>13.5</v>
      </c>
      <c r="F350" s="14">
        <v>1.81</v>
      </c>
      <c r="G350" s="14">
        <v>2.6099999999999901</v>
      </c>
      <c r="H350" s="14">
        <v>20</v>
      </c>
      <c r="I350" s="14">
        <v>96</v>
      </c>
      <c r="J350" s="14">
        <v>2.52999999999999</v>
      </c>
      <c r="K350" s="14">
        <v>2.6099999999999901</v>
      </c>
      <c r="L350" s="14">
        <v>0.28000000000000003</v>
      </c>
      <c r="M350" s="14">
        <v>1.6599999999999899</v>
      </c>
      <c r="N350" s="14">
        <v>3.52</v>
      </c>
      <c r="O350" s="14">
        <v>1.1200000000000001</v>
      </c>
      <c r="P350" s="14">
        <v>3.8199999999999901</v>
      </c>
      <c r="Q350">
        <v>845</v>
      </c>
    </row>
    <row r="351" spans="3:17" x14ac:dyDescent="0.25">
      <c r="C351" s="15" t="s">
        <v>224</v>
      </c>
      <c r="D351" s="14" t="s">
        <v>15</v>
      </c>
      <c r="E351" s="14">
        <v>13.5</v>
      </c>
      <c r="F351" s="14">
        <v>3.12</v>
      </c>
      <c r="G351" s="14">
        <v>2.62</v>
      </c>
      <c r="H351" s="14">
        <v>24</v>
      </c>
      <c r="I351" s="14">
        <v>123</v>
      </c>
      <c r="J351" s="14">
        <v>1.3999999999999899</v>
      </c>
      <c r="K351" s="14">
        <v>1.57</v>
      </c>
      <c r="L351" s="14">
        <v>0.22</v>
      </c>
      <c r="M351" s="14">
        <v>1.25</v>
      </c>
      <c r="N351" s="14">
        <v>8.5999999999999908</v>
      </c>
      <c r="O351" s="14">
        <v>0.58999999999999897</v>
      </c>
      <c r="P351" s="14">
        <v>1.3</v>
      </c>
      <c r="Q351">
        <v>500</v>
      </c>
    </row>
    <row r="352" spans="3:17" x14ac:dyDescent="0.25">
      <c r="C352" s="15" t="s">
        <v>245</v>
      </c>
      <c r="D352" s="14" t="s">
        <v>15</v>
      </c>
      <c r="E352" s="14">
        <v>12.77</v>
      </c>
      <c r="F352" s="14">
        <v>2.39</v>
      </c>
      <c r="G352" s="14">
        <v>2.27999999999999</v>
      </c>
      <c r="H352" s="14">
        <v>19.5</v>
      </c>
      <c r="I352" s="14">
        <v>86</v>
      </c>
      <c r="J352" s="14">
        <v>1.3899999999999899</v>
      </c>
      <c r="K352" s="14">
        <v>0.51</v>
      </c>
      <c r="L352" s="14">
        <v>0.47999999999999898</v>
      </c>
      <c r="M352" s="14">
        <v>0.64</v>
      </c>
      <c r="N352" s="14">
        <v>9.8999989999999904</v>
      </c>
      <c r="O352" s="14">
        <v>0.56999999999999895</v>
      </c>
      <c r="P352" s="14">
        <v>1.6299999999999899</v>
      </c>
      <c r="Q352">
        <v>470</v>
      </c>
    </row>
    <row r="353" spans="3:17" x14ac:dyDescent="0.25">
      <c r="C353" s="15" t="s">
        <v>194</v>
      </c>
      <c r="D353" s="14" t="s">
        <v>14</v>
      </c>
      <c r="E353" s="14">
        <v>11.4499999999999</v>
      </c>
      <c r="F353" s="14">
        <v>2.3999999999999901</v>
      </c>
      <c r="G353" s="14">
        <v>2.4199999999999902</v>
      </c>
      <c r="H353" s="14">
        <v>20</v>
      </c>
      <c r="I353" s="14">
        <v>96</v>
      </c>
      <c r="J353" s="14">
        <v>2.8999999999999901</v>
      </c>
      <c r="K353" s="14">
        <v>2.79</v>
      </c>
      <c r="L353" s="14">
        <v>0.32</v>
      </c>
      <c r="M353" s="14">
        <v>1.83</v>
      </c>
      <c r="N353" s="14">
        <v>3.25</v>
      </c>
      <c r="O353" s="14">
        <v>0.8</v>
      </c>
      <c r="P353" s="14">
        <v>3.39</v>
      </c>
      <c r="Q353">
        <v>625</v>
      </c>
    </row>
    <row r="354" spans="3:17" x14ac:dyDescent="0.25">
      <c r="C354" s="15" t="s">
        <v>251</v>
      </c>
      <c r="D354" s="14" t="s">
        <v>15</v>
      </c>
      <c r="E354" s="14">
        <v>14.13</v>
      </c>
      <c r="F354" s="14">
        <v>4.0999999999999899</v>
      </c>
      <c r="G354" s="14">
        <v>2.74</v>
      </c>
      <c r="H354" s="14">
        <v>24.5</v>
      </c>
      <c r="I354" s="14">
        <v>96</v>
      </c>
      <c r="J354" s="14">
        <v>2.0499999999999901</v>
      </c>
      <c r="K354" s="14">
        <v>0.76</v>
      </c>
      <c r="L354" s="14">
        <v>0.56000000000000005</v>
      </c>
      <c r="M354" s="14">
        <v>1.35</v>
      </c>
      <c r="N354" s="14">
        <v>9.1999999999999904</v>
      </c>
      <c r="O354" s="14">
        <v>0.60999999999999899</v>
      </c>
      <c r="P354" s="14">
        <v>1.6</v>
      </c>
      <c r="Q354">
        <v>560</v>
      </c>
    </row>
    <row r="355" spans="3:17" x14ac:dyDescent="0.25">
      <c r="C355" s="15" t="s">
        <v>349</v>
      </c>
      <c r="D355" s="14" t="s">
        <v>14</v>
      </c>
      <c r="E355" s="14">
        <v>11.4499999999999</v>
      </c>
      <c r="F355" s="14">
        <v>2.3999999999999901</v>
      </c>
      <c r="G355" s="14">
        <v>2.4199999999999902</v>
      </c>
      <c r="H355" s="14">
        <v>20</v>
      </c>
      <c r="I355" s="14">
        <v>96</v>
      </c>
      <c r="J355" s="14">
        <v>2.8999999999999901</v>
      </c>
      <c r="K355" s="14">
        <v>2.79</v>
      </c>
      <c r="L355" s="14">
        <v>0.32</v>
      </c>
      <c r="M355" s="14">
        <v>1.83</v>
      </c>
      <c r="N355" s="14">
        <v>3.25</v>
      </c>
      <c r="O355" s="14">
        <v>0.8</v>
      </c>
      <c r="P355" s="14">
        <v>3.39</v>
      </c>
      <c r="Q355">
        <v>625</v>
      </c>
    </row>
    <row r="356" spans="3:17" x14ac:dyDescent="0.25">
      <c r="C356" s="15" t="s">
        <v>107</v>
      </c>
      <c r="D356" s="14" t="s">
        <v>13</v>
      </c>
      <c r="E356" s="14">
        <v>13.76</v>
      </c>
      <c r="F356" s="14">
        <v>1.53</v>
      </c>
      <c r="G356" s="14">
        <v>2.7</v>
      </c>
      <c r="H356" s="14">
        <v>19.5</v>
      </c>
      <c r="I356" s="14">
        <v>132</v>
      </c>
      <c r="J356" s="14">
        <v>2.95</v>
      </c>
      <c r="K356" s="14">
        <v>2.74</v>
      </c>
      <c r="L356" s="14">
        <v>0.5</v>
      </c>
      <c r="M356" s="14">
        <v>1.35</v>
      </c>
      <c r="N356" s="14">
        <v>5.4</v>
      </c>
      <c r="O356" s="14">
        <v>1.25</v>
      </c>
      <c r="P356" s="14">
        <v>3</v>
      </c>
      <c r="Q356">
        <v>1235</v>
      </c>
    </row>
    <row r="357" spans="3:17" x14ac:dyDescent="0.25">
      <c r="C357" s="15" t="s">
        <v>169</v>
      </c>
      <c r="D357" s="14" t="s">
        <v>14</v>
      </c>
      <c r="E357" s="14">
        <v>12.47</v>
      </c>
      <c r="F357" s="14">
        <v>1.52</v>
      </c>
      <c r="G357" s="14">
        <v>2.2000000000000002</v>
      </c>
      <c r="H357" s="14">
        <v>19</v>
      </c>
      <c r="I357" s="14">
        <v>162</v>
      </c>
      <c r="J357" s="14">
        <v>2.5</v>
      </c>
      <c r="K357" s="14">
        <v>2.27</v>
      </c>
      <c r="L357" s="14">
        <v>0.32</v>
      </c>
      <c r="M357" s="14">
        <v>3.27999999999999</v>
      </c>
      <c r="N357" s="14">
        <v>2.6</v>
      </c>
      <c r="O357" s="14">
        <v>1.1599999999999899</v>
      </c>
      <c r="P357" s="14">
        <v>2.6299999999999901</v>
      </c>
      <c r="Q357">
        <v>937</v>
      </c>
    </row>
    <row r="358" spans="3:17" x14ac:dyDescent="0.25">
      <c r="C358" s="15" t="s">
        <v>361</v>
      </c>
      <c r="D358" s="14" t="s">
        <v>15</v>
      </c>
      <c r="E358" s="14">
        <v>12.81</v>
      </c>
      <c r="F358" s="14">
        <v>2.31</v>
      </c>
      <c r="G358" s="14">
        <v>2.3999999999999901</v>
      </c>
      <c r="H358" s="14">
        <v>24</v>
      </c>
      <c r="I358" s="14">
        <v>98</v>
      </c>
      <c r="J358" s="14">
        <v>1.1499999999999899</v>
      </c>
      <c r="K358" s="14">
        <v>1.0900000000000001</v>
      </c>
      <c r="L358" s="14">
        <v>0.27</v>
      </c>
      <c r="M358" s="14">
        <v>0.82999999999999896</v>
      </c>
      <c r="N358" s="14">
        <v>5.7</v>
      </c>
      <c r="O358" s="14">
        <v>0.66</v>
      </c>
      <c r="P358" s="14">
        <v>1.36</v>
      </c>
      <c r="Q358">
        <v>560</v>
      </c>
    </row>
    <row r="359" spans="3:17" x14ac:dyDescent="0.25">
      <c r="C359" s="15" t="s">
        <v>328</v>
      </c>
      <c r="D359" s="14" t="s">
        <v>14</v>
      </c>
      <c r="E359" s="14">
        <v>12.2899999999999</v>
      </c>
      <c r="F359" s="14">
        <v>3.1699999999999902</v>
      </c>
      <c r="G359" s="14">
        <v>2.21</v>
      </c>
      <c r="H359" s="14">
        <v>18</v>
      </c>
      <c r="I359" s="14">
        <v>88</v>
      </c>
      <c r="J359" s="14">
        <v>2.85</v>
      </c>
      <c r="K359" s="14">
        <v>2.99</v>
      </c>
      <c r="L359" s="14">
        <v>0.45</v>
      </c>
      <c r="M359" s="14">
        <v>2.81</v>
      </c>
      <c r="N359" s="14">
        <v>2.2999999999999901</v>
      </c>
      <c r="O359" s="14">
        <v>1.4199999999999899</v>
      </c>
      <c r="P359" s="14">
        <v>2.83</v>
      </c>
      <c r="Q359">
        <v>406</v>
      </c>
    </row>
    <row r="360" spans="3:17" x14ac:dyDescent="0.25">
      <c r="C360" s="15" t="s">
        <v>311</v>
      </c>
      <c r="D360" s="14" t="s">
        <v>14</v>
      </c>
      <c r="E360" s="14">
        <v>12.08</v>
      </c>
      <c r="F360" s="14">
        <v>1.1299999999999899</v>
      </c>
      <c r="G360" s="14">
        <v>2.50999999999999</v>
      </c>
      <c r="H360" s="14">
        <v>24</v>
      </c>
      <c r="I360" s="14">
        <v>78</v>
      </c>
      <c r="J360" s="14">
        <v>2</v>
      </c>
      <c r="K360" s="14">
        <v>1.58</v>
      </c>
      <c r="L360" s="14">
        <v>0.4</v>
      </c>
      <c r="M360" s="14">
        <v>1.3999999999999899</v>
      </c>
      <c r="N360" s="14">
        <v>2.2000000000000002</v>
      </c>
      <c r="O360" s="14">
        <v>1.31</v>
      </c>
      <c r="P360" s="14">
        <v>2.72</v>
      </c>
      <c r="Q360">
        <v>630</v>
      </c>
    </row>
    <row r="361" spans="3:17" x14ac:dyDescent="0.25">
      <c r="C361" s="15" t="s">
        <v>276</v>
      </c>
      <c r="D361" s="14" t="s">
        <v>13</v>
      </c>
      <c r="E361" s="14">
        <v>13.9</v>
      </c>
      <c r="F361" s="14">
        <v>1.6799999999999899</v>
      </c>
      <c r="G361" s="14">
        <v>2.12</v>
      </c>
      <c r="H361" s="14">
        <v>16</v>
      </c>
      <c r="I361" s="14">
        <v>101</v>
      </c>
      <c r="J361" s="14">
        <v>3.1</v>
      </c>
      <c r="K361" s="14">
        <v>3.39</v>
      </c>
      <c r="L361" s="14">
        <v>0.20999999999999899</v>
      </c>
      <c r="M361" s="14">
        <v>2.14</v>
      </c>
      <c r="N361" s="14">
        <v>6.0999999999999899</v>
      </c>
      <c r="O361" s="14">
        <v>0.91</v>
      </c>
      <c r="P361" s="14">
        <v>3.33</v>
      </c>
      <c r="Q361">
        <v>985</v>
      </c>
    </row>
    <row r="362" spans="3:17" x14ac:dyDescent="0.25">
      <c r="C362" s="15" t="s">
        <v>379</v>
      </c>
      <c r="D362" s="14" t="s">
        <v>15</v>
      </c>
      <c r="E362" s="14">
        <v>13.5</v>
      </c>
      <c r="F362" s="14">
        <v>3.12</v>
      </c>
      <c r="G362" s="14">
        <v>2.62</v>
      </c>
      <c r="H362" s="14">
        <v>24</v>
      </c>
      <c r="I362" s="14">
        <v>123</v>
      </c>
      <c r="J362" s="14">
        <v>1.3999999999999899</v>
      </c>
      <c r="K362" s="14">
        <v>1.57</v>
      </c>
      <c r="L362" s="14">
        <v>0.22</v>
      </c>
      <c r="M362" s="14">
        <v>1.25</v>
      </c>
      <c r="N362" s="14">
        <v>8.5999999999999908</v>
      </c>
      <c r="O362" s="14">
        <v>0.58999999999999897</v>
      </c>
      <c r="P362" s="14">
        <v>1.3</v>
      </c>
      <c r="Q362">
        <v>500</v>
      </c>
    </row>
    <row r="363" spans="3:17" x14ac:dyDescent="0.25">
      <c r="C363" s="15" t="s">
        <v>369</v>
      </c>
      <c r="D363" s="14" t="s">
        <v>15</v>
      </c>
      <c r="E363" s="14">
        <v>12.93</v>
      </c>
      <c r="F363" s="14">
        <v>2.81</v>
      </c>
      <c r="G363" s="14">
        <v>2.7</v>
      </c>
      <c r="H363" s="14">
        <v>21</v>
      </c>
      <c r="I363" s="14">
        <v>96</v>
      </c>
      <c r="J363" s="14">
        <v>1.54</v>
      </c>
      <c r="K363" s="14">
        <v>0.5</v>
      </c>
      <c r="L363" s="14">
        <v>0.53</v>
      </c>
      <c r="M363" s="14">
        <v>0.75</v>
      </c>
      <c r="N363" s="14">
        <v>4.5999999999999899</v>
      </c>
      <c r="O363" s="14">
        <v>0.77</v>
      </c>
      <c r="P363" s="14">
        <v>2.31</v>
      </c>
      <c r="Q363">
        <v>600</v>
      </c>
    </row>
    <row r="364" spans="3:17" x14ac:dyDescent="0.25">
      <c r="C364" s="15" t="s">
        <v>222</v>
      </c>
      <c r="D364" s="14" t="s">
        <v>15</v>
      </c>
      <c r="E364" s="14">
        <v>13.32</v>
      </c>
      <c r="F364" s="14">
        <v>3.24</v>
      </c>
      <c r="G364" s="14">
        <v>2.3799999999999901</v>
      </c>
      <c r="H364" s="14">
        <v>21.5</v>
      </c>
      <c r="I364" s="14">
        <v>92</v>
      </c>
      <c r="J364" s="14">
        <v>1.9299999999999899</v>
      </c>
      <c r="K364" s="14">
        <v>0.76</v>
      </c>
      <c r="L364" s="14">
        <v>0.45</v>
      </c>
      <c r="M364" s="14">
        <v>1.25</v>
      </c>
      <c r="N364" s="14">
        <v>8.4199999999999893</v>
      </c>
      <c r="O364" s="14">
        <v>0.55000000000000004</v>
      </c>
      <c r="P364" s="14">
        <v>1.62</v>
      </c>
      <c r="Q364">
        <v>650</v>
      </c>
    </row>
    <row r="365" spans="3:17" x14ac:dyDescent="0.25">
      <c r="C365" s="15" t="s">
        <v>383</v>
      </c>
      <c r="D365" s="14" t="s">
        <v>15</v>
      </c>
      <c r="E365" s="14">
        <v>12.58</v>
      </c>
      <c r="F365" s="14">
        <v>1.29</v>
      </c>
      <c r="G365" s="14">
        <v>2.1</v>
      </c>
      <c r="H365" s="14">
        <v>20</v>
      </c>
      <c r="I365" s="14">
        <v>103</v>
      </c>
      <c r="J365" s="14">
        <v>1.48</v>
      </c>
      <c r="K365" s="14">
        <v>0.57999999999999896</v>
      </c>
      <c r="L365" s="14">
        <v>0.53</v>
      </c>
      <c r="M365" s="14">
        <v>1.3999999999999899</v>
      </c>
      <c r="N365" s="14">
        <v>7.5999999999999899</v>
      </c>
      <c r="O365" s="14">
        <v>0.57999999999999896</v>
      </c>
      <c r="P365" s="14">
        <v>1.55</v>
      </c>
      <c r="Q365">
        <v>640</v>
      </c>
    </row>
  </sheetData>
  <mergeCells count="27"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C18:S18"/>
    <mergeCell ref="C19:E19"/>
    <mergeCell ref="C20:E20"/>
    <mergeCell ref="F19:S19"/>
    <mergeCell ref="C22:I22"/>
    <mergeCell ref="C24:E24"/>
    <mergeCell ref="C25:E25"/>
    <mergeCell ref="C26:E26"/>
    <mergeCell ref="F23:I23"/>
    <mergeCell ref="F24:I24"/>
    <mergeCell ref="F25:I25"/>
    <mergeCell ref="F26:I26"/>
    <mergeCell ref="C23:E23"/>
    <mergeCell ref="B4:C4"/>
    <mergeCell ref="D4:E4"/>
    <mergeCell ref="F4:G4"/>
    <mergeCell ref="B3:G3"/>
    <mergeCell ref="J3:M3"/>
  </mergeCells>
  <hyperlinks>
    <hyperlink ref="B4" location="'STDPartition'!$B$10:$B$10" display="Inputs" xr:uid="{CFCAB8DB-CCAB-4E1F-A841-067F20F6DB28}"/>
    <hyperlink ref="D4" location="'STDPartition'!$B$28:$B$28" display="Partition Summary" xr:uid="{81864524-07AA-4D6F-9BC2-E17F37902D24}"/>
    <hyperlink ref="F4" location="'STDPartition'!$B$34:$B$34" display="Partitioned Data" xr:uid="{0358A22E-00FE-46F6-9452-62BCF9B23A67}"/>
  </hyperlinks>
  <pageMargins left="0.7" right="0.7" top="0.75" bottom="0.75" header="0.3" footer="0.3"/>
  <tableParts count="2">
    <tablePart r:id="rId1"/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6483-6B23-4A79-A0B2-46CA2B52E322}">
  <dimension ref="B1:CV82"/>
  <sheetViews>
    <sheetView showGridLines="0" topLeftCell="A6" workbookViewId="0">
      <selection activeCell="B4" sqref="B4:C4"/>
    </sheetView>
  </sheetViews>
  <sheetFormatPr defaultRowHeight="13.2" x14ac:dyDescent="0.25"/>
  <cols>
    <col min="3" max="3" width="18" customWidth="1"/>
    <col min="4" max="4" width="12.6640625" customWidth="1"/>
    <col min="7" max="7" width="18" customWidth="1"/>
    <col min="8" max="8" width="12.109375" customWidth="1"/>
    <col min="14" max="14" width="33.109375" bestFit="1" customWidth="1"/>
  </cols>
  <sheetData>
    <row r="1" spans="2:100" ht="18" x14ac:dyDescent="0.35">
      <c r="B1" s="12" t="s">
        <v>564</v>
      </c>
      <c r="N1" t="s">
        <v>618</v>
      </c>
      <c r="CV1" s="19" t="s">
        <v>596</v>
      </c>
    </row>
    <row r="3" spans="2:100" ht="15.6" x14ac:dyDescent="0.3">
      <c r="B3" s="21" t="s">
        <v>30</v>
      </c>
      <c r="C3" s="22"/>
      <c r="D3" s="22"/>
      <c r="E3" s="22"/>
      <c r="F3" s="22"/>
      <c r="G3" s="22"/>
      <c r="H3" s="22"/>
      <c r="I3" s="22"/>
      <c r="J3" s="22"/>
      <c r="K3" s="23"/>
      <c r="N3" s="21" t="s">
        <v>53</v>
      </c>
      <c r="O3" s="22"/>
      <c r="P3" s="22"/>
      <c r="Q3" s="23"/>
    </row>
    <row r="4" spans="2:100" ht="13.8" x14ac:dyDescent="0.3">
      <c r="B4" s="35" t="s">
        <v>543</v>
      </c>
      <c r="C4" s="36"/>
      <c r="D4" s="35" t="s">
        <v>544</v>
      </c>
      <c r="E4" s="36"/>
      <c r="F4" s="35" t="s">
        <v>545</v>
      </c>
      <c r="G4" s="36"/>
      <c r="H4" s="35" t="s">
        <v>31</v>
      </c>
      <c r="I4" s="36"/>
      <c r="J4" s="35" t="s">
        <v>546</v>
      </c>
      <c r="K4" s="36"/>
      <c r="N4" s="18" t="s">
        <v>54</v>
      </c>
      <c r="O4" s="18" t="s">
        <v>55</v>
      </c>
      <c r="P4" s="18" t="s">
        <v>56</v>
      </c>
      <c r="Q4" s="18" t="s">
        <v>57</v>
      </c>
    </row>
    <row r="5" spans="2:100" ht="13.8" x14ac:dyDescent="0.3">
      <c r="B5" s="35" t="s">
        <v>421</v>
      </c>
      <c r="C5" s="36"/>
      <c r="D5" s="35" t="s">
        <v>547</v>
      </c>
      <c r="E5" s="36"/>
      <c r="F5" s="35" t="s">
        <v>548</v>
      </c>
      <c r="G5" s="36"/>
      <c r="H5" s="30"/>
      <c r="I5" s="31"/>
      <c r="J5" s="30"/>
      <c r="K5" s="31"/>
      <c r="N5" s="16">
        <v>128</v>
      </c>
      <c r="O5" s="16">
        <v>151</v>
      </c>
      <c r="P5" s="16">
        <v>7</v>
      </c>
      <c r="Q5" s="16">
        <v>286</v>
      </c>
    </row>
    <row r="10" spans="2:100" ht="18" x14ac:dyDescent="0.35">
      <c r="B10" s="13" t="s">
        <v>31</v>
      </c>
    </row>
    <row r="12" spans="2:100" ht="15.6" x14ac:dyDescent="0.3">
      <c r="C12" s="28" t="s">
        <v>33</v>
      </c>
      <c r="D12" s="28"/>
      <c r="E12" s="28"/>
      <c r="F12" s="28"/>
      <c r="G12" s="28"/>
      <c r="H12" s="28"/>
      <c r="I12" s="28"/>
      <c r="J12" s="28"/>
      <c r="K12" s="28"/>
    </row>
    <row r="13" spans="2:100" ht="13.8" x14ac:dyDescent="0.3">
      <c r="C13" s="24" t="s">
        <v>34</v>
      </c>
      <c r="D13" s="24"/>
      <c r="E13" s="24"/>
      <c r="F13" s="25"/>
      <c r="G13" s="27" t="s">
        <v>48</v>
      </c>
      <c r="H13" s="27"/>
      <c r="I13" s="27"/>
      <c r="J13" s="27"/>
      <c r="K13" s="27"/>
    </row>
    <row r="14" spans="2:100" ht="13.8" x14ac:dyDescent="0.3">
      <c r="C14" s="24" t="s">
        <v>35</v>
      </c>
      <c r="D14" s="24"/>
      <c r="E14" s="24"/>
      <c r="F14" s="25"/>
      <c r="G14" s="27" t="s">
        <v>593</v>
      </c>
      <c r="H14" s="27"/>
      <c r="I14" s="27"/>
      <c r="J14" s="27"/>
      <c r="K14" s="27"/>
    </row>
    <row r="15" spans="2:100" ht="13.8" x14ac:dyDescent="0.3">
      <c r="C15" s="24" t="s">
        <v>577</v>
      </c>
      <c r="D15" s="24"/>
      <c r="E15" s="24"/>
      <c r="F15" s="25"/>
      <c r="G15" s="27" t="s">
        <v>594</v>
      </c>
      <c r="H15" s="27"/>
      <c r="I15" s="27"/>
      <c r="J15" s="27"/>
      <c r="K15" s="27"/>
    </row>
    <row r="16" spans="2:100" ht="13.8" x14ac:dyDescent="0.3">
      <c r="C16" s="24" t="s">
        <v>578</v>
      </c>
      <c r="D16" s="24"/>
      <c r="E16" s="24"/>
      <c r="F16" s="25"/>
      <c r="G16" s="27">
        <v>197</v>
      </c>
      <c r="H16" s="27"/>
      <c r="I16" s="27"/>
      <c r="J16" s="27"/>
      <c r="K16" s="27"/>
    </row>
    <row r="17" spans="3:17" ht="13.8" x14ac:dyDescent="0.3">
      <c r="C17" s="24" t="s">
        <v>579</v>
      </c>
      <c r="D17" s="24"/>
      <c r="E17" s="24"/>
      <c r="F17" s="25"/>
      <c r="G17" s="27" t="s">
        <v>595</v>
      </c>
      <c r="H17" s="27"/>
      <c r="I17" s="27"/>
      <c r="J17" s="27"/>
      <c r="K17" s="27"/>
    </row>
    <row r="18" spans="3:17" ht="13.8" x14ac:dyDescent="0.3">
      <c r="C18" s="24" t="s">
        <v>580</v>
      </c>
      <c r="D18" s="24"/>
      <c r="E18" s="24"/>
      <c r="F18" s="25"/>
      <c r="G18" s="27">
        <v>132</v>
      </c>
      <c r="H18" s="27"/>
      <c r="I18" s="27"/>
      <c r="J18" s="27"/>
      <c r="K18" s="27"/>
    </row>
    <row r="20" spans="3:17" ht="15.6" x14ac:dyDescent="0.3">
      <c r="C20" s="28" t="s">
        <v>38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  <row r="21" spans="3:17" ht="13.8" x14ac:dyDescent="0.3">
      <c r="C21" s="24" t="s">
        <v>581</v>
      </c>
      <c r="D21" s="25"/>
      <c r="E21" s="27">
        <v>13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2" spans="3:17" ht="13.8" x14ac:dyDescent="0.3">
      <c r="C22" s="24" t="s">
        <v>582</v>
      </c>
      <c r="D22" s="25"/>
      <c r="E22" s="16" t="s">
        <v>61</v>
      </c>
      <c r="F22" s="16" t="s">
        <v>62</v>
      </c>
      <c r="G22" s="16" t="s">
        <v>63</v>
      </c>
      <c r="H22" s="16" t="s">
        <v>64</v>
      </c>
      <c r="I22" s="16" t="s">
        <v>65</v>
      </c>
      <c r="J22" s="16" t="s">
        <v>66</v>
      </c>
      <c r="K22" s="16" t="s">
        <v>67</v>
      </c>
      <c r="L22" s="16" t="s">
        <v>68</v>
      </c>
      <c r="M22" s="16" t="s">
        <v>69</v>
      </c>
      <c r="N22" s="16" t="s">
        <v>70</v>
      </c>
      <c r="O22" s="16" t="s">
        <v>71</v>
      </c>
      <c r="P22" s="16" t="s">
        <v>72</v>
      </c>
      <c r="Q22" s="16" t="s">
        <v>73</v>
      </c>
    </row>
    <row r="23" spans="3:17" ht="13.8" x14ac:dyDescent="0.3">
      <c r="C23" s="24" t="s">
        <v>583</v>
      </c>
      <c r="D23" s="2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 spans="3:17" ht="13.8" x14ac:dyDescent="0.3">
      <c r="C24" s="24" t="s">
        <v>584</v>
      </c>
      <c r="D24" s="25"/>
      <c r="E24" s="29" t="s">
        <v>0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6" spans="3:17" ht="15.6" x14ac:dyDescent="0.3">
      <c r="C26" s="28" t="s">
        <v>585</v>
      </c>
      <c r="D26" s="28"/>
      <c r="E26" s="28"/>
      <c r="F26" s="28"/>
      <c r="G26" s="28"/>
      <c r="H26" s="28"/>
      <c r="I26" s="28"/>
    </row>
    <row r="27" spans="3:17" ht="13.8" x14ac:dyDescent="0.3">
      <c r="C27" s="24" t="s">
        <v>586</v>
      </c>
      <c r="D27" s="24"/>
      <c r="E27" s="25"/>
      <c r="F27" s="27" t="b">
        <v>1</v>
      </c>
      <c r="G27" s="27"/>
      <c r="H27" s="27"/>
      <c r="I27" s="27"/>
    </row>
    <row r="28" spans="3:17" ht="13.8" x14ac:dyDescent="0.3">
      <c r="C28" s="24" t="s">
        <v>587</v>
      </c>
      <c r="D28" s="24"/>
      <c r="E28" s="25"/>
      <c r="F28" s="39" t="s">
        <v>591</v>
      </c>
      <c r="G28" s="40"/>
      <c r="H28" s="40"/>
      <c r="I28" s="41"/>
    </row>
    <row r="29" spans="3:17" ht="13.8" x14ac:dyDescent="0.3">
      <c r="C29" s="24" t="s">
        <v>588</v>
      </c>
      <c r="D29" s="24"/>
      <c r="E29" s="25"/>
      <c r="F29" s="39">
        <v>0.01</v>
      </c>
      <c r="G29" s="40"/>
      <c r="H29" s="40"/>
      <c r="I29" s="41"/>
    </row>
    <row r="31" spans="3:17" ht="15.6" x14ac:dyDescent="0.3">
      <c r="C31" s="21" t="s">
        <v>589</v>
      </c>
      <c r="D31" s="22"/>
      <c r="E31" s="22"/>
      <c r="F31" s="22"/>
      <c r="G31" s="22"/>
      <c r="H31" s="22"/>
      <c r="I31" s="23"/>
    </row>
    <row r="32" spans="3:17" ht="13.8" x14ac:dyDescent="0.3">
      <c r="C32" s="25" t="s">
        <v>590</v>
      </c>
      <c r="D32" s="37"/>
      <c r="E32" s="38"/>
      <c r="F32" s="39" t="s">
        <v>592</v>
      </c>
      <c r="G32" s="40"/>
      <c r="H32" s="40"/>
      <c r="I32" s="41"/>
    </row>
    <row r="34" spans="3:9" ht="15.6" x14ac:dyDescent="0.3">
      <c r="C34" s="21" t="s">
        <v>598</v>
      </c>
      <c r="D34" s="22"/>
      <c r="E34" s="22"/>
      <c r="F34" s="22"/>
      <c r="G34" s="22"/>
      <c r="H34" s="22"/>
      <c r="I34" s="23"/>
    </row>
    <row r="35" spans="3:9" ht="13.8" x14ac:dyDescent="0.3">
      <c r="C35" s="25" t="s">
        <v>599</v>
      </c>
      <c r="D35" s="37"/>
      <c r="E35" s="38"/>
      <c r="F35" s="39" t="b">
        <v>1</v>
      </c>
      <c r="G35" s="40"/>
      <c r="H35" s="40"/>
      <c r="I35" s="41"/>
    </row>
    <row r="36" spans="3:9" ht="13.8" x14ac:dyDescent="0.3">
      <c r="C36" s="25" t="s">
        <v>600</v>
      </c>
      <c r="D36" s="37"/>
      <c r="E36" s="38"/>
      <c r="F36" s="39" t="s">
        <v>610</v>
      </c>
      <c r="G36" s="40"/>
      <c r="H36" s="40"/>
      <c r="I36" s="41"/>
    </row>
    <row r="38" spans="3:9" ht="15.6" x14ac:dyDescent="0.3">
      <c r="C38" s="21" t="s">
        <v>601</v>
      </c>
      <c r="D38" s="22"/>
      <c r="E38" s="22"/>
      <c r="F38" s="22"/>
      <c r="G38" s="22"/>
      <c r="H38" s="22"/>
      <c r="I38" s="23"/>
    </row>
    <row r="39" spans="3:9" ht="13.8" x14ac:dyDescent="0.3">
      <c r="C39" s="25" t="s">
        <v>602</v>
      </c>
      <c r="D39" s="37"/>
      <c r="E39" s="38"/>
      <c r="F39" s="39">
        <v>3</v>
      </c>
      <c r="G39" s="40"/>
      <c r="H39" s="40"/>
      <c r="I39" s="41"/>
    </row>
    <row r="41" spans="3:9" ht="15.6" x14ac:dyDescent="0.3">
      <c r="C41" s="21" t="s">
        <v>603</v>
      </c>
      <c r="D41" s="22"/>
      <c r="E41" s="22"/>
      <c r="F41" s="22"/>
      <c r="G41" s="22"/>
      <c r="H41" s="22"/>
      <c r="I41" s="23"/>
    </row>
    <row r="42" spans="3:9" ht="13.8" x14ac:dyDescent="0.3">
      <c r="C42" s="25" t="s">
        <v>604</v>
      </c>
      <c r="D42" s="37"/>
      <c r="E42" s="38"/>
      <c r="F42" s="39" t="s">
        <v>611</v>
      </c>
      <c r="G42" s="40"/>
      <c r="H42" s="40"/>
      <c r="I42" s="41"/>
    </row>
    <row r="43" spans="3:9" ht="13.8" x14ac:dyDescent="0.3">
      <c r="C43" s="25" t="s">
        <v>605</v>
      </c>
      <c r="D43" s="37"/>
      <c r="E43" s="38"/>
      <c r="F43" s="39">
        <v>7</v>
      </c>
      <c r="G43" s="40"/>
      <c r="H43" s="40"/>
      <c r="I43" s="41"/>
    </row>
    <row r="44" spans="3:9" ht="13.8" x14ac:dyDescent="0.3">
      <c r="C44" s="25" t="s">
        <v>606</v>
      </c>
      <c r="D44" s="37"/>
      <c r="E44" s="38"/>
      <c r="F44" s="39" t="b">
        <v>1</v>
      </c>
      <c r="G44" s="40"/>
      <c r="H44" s="40"/>
      <c r="I44" s="41"/>
    </row>
    <row r="46" spans="3:9" ht="15.6" x14ac:dyDescent="0.3">
      <c r="C46" s="21" t="s">
        <v>607</v>
      </c>
      <c r="D46" s="22"/>
      <c r="E46" s="22"/>
      <c r="F46" s="22"/>
      <c r="G46" s="23"/>
    </row>
    <row r="47" spans="3:9" ht="13.8" x14ac:dyDescent="0.3">
      <c r="C47" s="32" t="s">
        <v>608</v>
      </c>
      <c r="D47" s="33"/>
      <c r="E47" s="33"/>
      <c r="F47" s="33"/>
      <c r="G47" s="34"/>
    </row>
    <row r="48" spans="3:9" ht="13.8" x14ac:dyDescent="0.3">
      <c r="C48" s="32" t="s">
        <v>609</v>
      </c>
      <c r="D48" s="33"/>
      <c r="E48" s="33"/>
      <c r="F48" s="33"/>
      <c r="G48" s="34"/>
    </row>
    <row r="51" spans="2:8" ht="18" x14ac:dyDescent="0.35">
      <c r="B51" s="13" t="s">
        <v>597</v>
      </c>
      <c r="F51" s="13" t="s">
        <v>612</v>
      </c>
    </row>
    <row r="53" spans="2:8" x14ac:dyDescent="0.25">
      <c r="C53" s="15" t="s">
        <v>613</v>
      </c>
      <c r="D53" t="s">
        <v>614</v>
      </c>
      <c r="G53" s="15" t="s">
        <v>613</v>
      </c>
      <c r="H53" t="s">
        <v>614</v>
      </c>
    </row>
    <row r="54" spans="2:8" x14ac:dyDescent="0.25">
      <c r="C54" s="15">
        <v>0</v>
      </c>
      <c r="D54">
        <v>0.55837563451776628</v>
      </c>
      <c r="G54" s="15">
        <v>0</v>
      </c>
      <c r="H54">
        <v>0.58333333333333337</v>
      </c>
    </row>
    <row r="55" spans="2:8" x14ac:dyDescent="0.25">
      <c r="C55" s="15">
        <v>1</v>
      </c>
      <c r="D55">
        <v>0.27411167512690349</v>
      </c>
      <c r="G55" s="15">
        <v>1</v>
      </c>
      <c r="H55">
        <v>0.37121212121212122</v>
      </c>
    </row>
    <row r="56" spans="2:8" x14ac:dyDescent="0.25">
      <c r="C56" s="15">
        <v>2</v>
      </c>
      <c r="D56">
        <v>0.10152284263959388</v>
      </c>
      <c r="G56" s="15">
        <v>2</v>
      </c>
      <c r="H56">
        <v>0.37121212121212122</v>
      </c>
    </row>
    <row r="57" spans="2:8" x14ac:dyDescent="0.25">
      <c r="C57" s="15">
        <v>3</v>
      </c>
      <c r="D57">
        <v>7.1065989847715769E-2</v>
      </c>
      <c r="G57" s="15">
        <v>3</v>
      </c>
      <c r="H57">
        <v>0.12878787878787878</v>
      </c>
    </row>
    <row r="58" spans="2:8" x14ac:dyDescent="0.25">
      <c r="C58" s="15">
        <v>4</v>
      </c>
      <c r="D58">
        <v>4.0609137055837609E-2</v>
      </c>
      <c r="G58" s="15">
        <v>4</v>
      </c>
      <c r="H58">
        <v>0.12878787878787878</v>
      </c>
    </row>
    <row r="59" spans="2:8" x14ac:dyDescent="0.25">
      <c r="C59" s="15">
        <v>5</v>
      </c>
      <c r="D59">
        <v>3.0456852791878229E-2</v>
      </c>
      <c r="G59" s="15">
        <v>5</v>
      </c>
      <c r="H59">
        <v>0.12878787878787878</v>
      </c>
    </row>
    <row r="60" spans="2:8" x14ac:dyDescent="0.25">
      <c r="C60" s="15">
        <v>6</v>
      </c>
      <c r="D60">
        <v>2.0304568527918839E-2</v>
      </c>
      <c r="G60" s="15">
        <v>6</v>
      </c>
      <c r="H60">
        <v>9.8484848484848481E-2</v>
      </c>
    </row>
    <row r="61" spans="2:8" x14ac:dyDescent="0.25">
      <c r="C61" s="15">
        <v>7</v>
      </c>
      <c r="D61">
        <v>1.5228426395939128E-2</v>
      </c>
      <c r="G61" s="15">
        <v>7</v>
      </c>
      <c r="H61">
        <v>6.8181818181818177E-2</v>
      </c>
    </row>
    <row r="62" spans="2:8" x14ac:dyDescent="0.25">
      <c r="C62" s="15">
        <v>8</v>
      </c>
      <c r="D62">
        <v>5.0761421319797211E-3</v>
      </c>
      <c r="G62" s="15">
        <v>8</v>
      </c>
      <c r="H62">
        <v>6.0606060606060608E-2</v>
      </c>
    </row>
    <row r="63" spans="2:8" x14ac:dyDescent="0.25">
      <c r="C63" s="15">
        <v>9</v>
      </c>
      <c r="D63">
        <v>5.0761421319797185E-3</v>
      </c>
      <c r="G63" s="15">
        <v>9</v>
      </c>
      <c r="H63">
        <v>6.0606060606060608E-2</v>
      </c>
    </row>
    <row r="64" spans="2:8" x14ac:dyDescent="0.25">
      <c r="C64" s="15">
        <v>10</v>
      </c>
      <c r="D64">
        <v>2.4286128663675302E-17</v>
      </c>
      <c r="G64" s="15">
        <v>10</v>
      </c>
      <c r="H64">
        <v>6.0606060606060608E-2</v>
      </c>
    </row>
    <row r="67" spans="2:4" ht="18" x14ac:dyDescent="0.35">
      <c r="B67" s="13" t="s">
        <v>546</v>
      </c>
    </row>
    <row r="69" spans="2:4" x14ac:dyDescent="0.25">
      <c r="C69" s="15" t="s">
        <v>615</v>
      </c>
      <c r="D69" t="s">
        <v>616</v>
      </c>
    </row>
    <row r="70" spans="2:4" x14ac:dyDescent="0.25">
      <c r="C70" s="15" t="s">
        <v>61</v>
      </c>
      <c r="D70">
        <v>0</v>
      </c>
    </row>
    <row r="71" spans="2:4" x14ac:dyDescent="0.25">
      <c r="C71" s="15" t="s">
        <v>62</v>
      </c>
      <c r="D71">
        <v>3.0456852791878229E-2</v>
      </c>
    </row>
    <row r="72" spans="2:4" x14ac:dyDescent="0.25">
      <c r="C72" s="15" t="s">
        <v>63</v>
      </c>
      <c r="D72">
        <v>5.0761421319797185E-3</v>
      </c>
    </row>
    <row r="73" spans="2:4" x14ac:dyDescent="0.25">
      <c r="C73" s="15" t="s">
        <v>64</v>
      </c>
      <c r="D73">
        <v>2.0304568527918839E-2</v>
      </c>
    </row>
    <row r="74" spans="2:4" x14ac:dyDescent="0.25">
      <c r="C74" s="15" t="s">
        <v>65</v>
      </c>
      <c r="D74">
        <v>0</v>
      </c>
    </row>
    <row r="75" spans="2:4" x14ac:dyDescent="0.25">
      <c r="C75" s="15" t="s">
        <v>66</v>
      </c>
      <c r="D75">
        <v>0</v>
      </c>
    </row>
    <row r="76" spans="2:4" x14ac:dyDescent="0.25">
      <c r="C76" s="15" t="s">
        <v>67</v>
      </c>
      <c r="D76">
        <v>0.15736040609137061</v>
      </c>
    </row>
    <row r="77" spans="2:4" x14ac:dyDescent="0.25">
      <c r="C77" s="15" t="s">
        <v>68</v>
      </c>
      <c r="D77">
        <v>0</v>
      </c>
    </row>
    <row r="78" spans="2:4" x14ac:dyDescent="0.25">
      <c r="C78" s="15" t="s">
        <v>69</v>
      </c>
      <c r="D78">
        <v>0</v>
      </c>
    </row>
    <row r="79" spans="2:4" x14ac:dyDescent="0.25">
      <c r="C79" s="15" t="s">
        <v>70</v>
      </c>
      <c r="D79">
        <v>0</v>
      </c>
    </row>
    <row r="80" spans="2:4" x14ac:dyDescent="0.25">
      <c r="C80" s="15" t="s">
        <v>71</v>
      </c>
      <c r="D80">
        <v>7.1065989847715769E-2</v>
      </c>
    </row>
    <row r="81" spans="3:4" x14ac:dyDescent="0.25">
      <c r="C81" s="15" t="s">
        <v>72</v>
      </c>
      <c r="D81">
        <v>0.27411167512690349</v>
      </c>
    </row>
    <row r="82" spans="3:4" x14ac:dyDescent="0.25">
      <c r="C82" s="15" t="s">
        <v>73</v>
      </c>
      <c r="D82">
        <v>0.56345177664974599</v>
      </c>
    </row>
  </sheetData>
  <mergeCells count="60">
    <mergeCell ref="C12:K12"/>
    <mergeCell ref="C13:F13"/>
    <mergeCell ref="C14:F14"/>
    <mergeCell ref="C15:F15"/>
    <mergeCell ref="C16:F16"/>
    <mergeCell ref="C18:F18"/>
    <mergeCell ref="G13:K13"/>
    <mergeCell ref="G14:K14"/>
    <mergeCell ref="G15:K15"/>
    <mergeCell ref="G16:K16"/>
    <mergeCell ref="G17:K17"/>
    <mergeCell ref="G18:K18"/>
    <mergeCell ref="C17:F17"/>
    <mergeCell ref="C20:Q20"/>
    <mergeCell ref="C21:D21"/>
    <mergeCell ref="C22:D22"/>
    <mergeCell ref="C23:D23"/>
    <mergeCell ref="C24:D24"/>
    <mergeCell ref="E21:Q21"/>
    <mergeCell ref="E24:Q24"/>
    <mergeCell ref="C36:E36"/>
    <mergeCell ref="F35:I35"/>
    <mergeCell ref="F36:I36"/>
    <mergeCell ref="C26:I26"/>
    <mergeCell ref="C27:E27"/>
    <mergeCell ref="C28:E28"/>
    <mergeCell ref="C29:E29"/>
    <mergeCell ref="F27:I27"/>
    <mergeCell ref="F28:I28"/>
    <mergeCell ref="F29:I29"/>
    <mergeCell ref="C31:I31"/>
    <mergeCell ref="C32:E32"/>
    <mergeCell ref="F32:I32"/>
    <mergeCell ref="C34:I34"/>
    <mergeCell ref="C35:E35"/>
    <mergeCell ref="F44:I44"/>
    <mergeCell ref="C46:G46"/>
    <mergeCell ref="C47:G47"/>
    <mergeCell ref="C38:I38"/>
    <mergeCell ref="C39:E39"/>
    <mergeCell ref="F39:I39"/>
    <mergeCell ref="C41:I41"/>
    <mergeCell ref="C42:E42"/>
    <mergeCell ref="C43:E43"/>
    <mergeCell ref="J5:K5"/>
    <mergeCell ref="B3:K3"/>
    <mergeCell ref="N3:Q3"/>
    <mergeCell ref="C48:G48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C44:E44"/>
    <mergeCell ref="F42:I42"/>
    <mergeCell ref="F43:I43"/>
  </mergeCells>
  <hyperlinks>
    <hyperlink ref="B4" location="'CT_BestTree'!$B$10:$B$10" display="Best Pruned Tree Rules (Using Validation Data)" xr:uid="{553F3760-43A8-4339-9E8B-D2AB64CB980C}"/>
    <hyperlink ref="D4" location="'CT_FullTree'!$B$10:$B$10" display="Fully Grown Tree Rules (Using Training Data)" xr:uid="{997C3B38-B101-405C-9DE4-E0D9BAE096AC}"/>
    <hyperlink ref="F4" location="'CT_MinErrorTree'!$B$10:$B$10" display="Min Error Tree Rules (Using Validation Data)" xr:uid="{D1CE6CFB-21B7-4F7D-ADC5-6A9E09D97AF8}"/>
    <hyperlink ref="H4" location="'CT_Output'!$B$10:$B$10" display="Inputs" xr:uid="{943AA874-BEF4-403E-999A-57B4A10064F2}"/>
    <hyperlink ref="J4" location="'CT_Output'!$B$67:$B$67" display="Feature Importance" xr:uid="{69CFC9B3-E11A-4A30-BAC3-C835152AB709}"/>
    <hyperlink ref="B5" location="'CT_Stored'!$B$10:$B$10" display="PMML Model" xr:uid="{6AF29BA0-8929-45BC-BCB1-41828D126D0E}"/>
    <hyperlink ref="D5" location="'CT_TrainingScore'!$B$10:$B$10" display="Training: Classification Summary" xr:uid="{C5258E52-6B59-4B5B-9AD8-8746C3178048}"/>
    <hyperlink ref="F5" location="'CT_ValidationScore'!$B$10:$B$10" display="Validation: Classification Summary" xr:uid="{B5C67BFD-B40C-4284-BB5F-1D9FDBEE857A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D3EF-8876-4232-A5D2-2E9810554E80}">
  <dimension ref="B1:Q33"/>
  <sheetViews>
    <sheetView showGridLines="0" topLeftCell="A9" workbookViewId="0"/>
  </sheetViews>
  <sheetFormatPr defaultRowHeight="13.2" x14ac:dyDescent="0.25"/>
  <cols>
    <col min="3" max="3" width="9.77734375" customWidth="1"/>
    <col min="4" max="4" width="11" customWidth="1"/>
    <col min="5" max="5" width="13.5546875" customWidth="1"/>
    <col min="6" max="6" width="14.88671875" customWidth="1"/>
    <col min="7" max="7" width="10.33203125" customWidth="1"/>
    <col min="8" max="8" width="15.5546875" customWidth="1"/>
    <col min="9" max="9" width="15.88671875" customWidth="1"/>
    <col min="10" max="10" width="17.33203125" customWidth="1"/>
    <col min="11" max="11" width="11.5546875" customWidth="1"/>
    <col min="12" max="12" width="12.21875" customWidth="1"/>
    <col min="14" max="14" width="24.33203125" bestFit="1" customWidth="1"/>
  </cols>
  <sheetData>
    <row r="1" spans="2:17" ht="18" x14ac:dyDescent="0.35">
      <c r="B1" s="12" t="s">
        <v>564</v>
      </c>
      <c r="N1" t="s">
        <v>618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128</v>
      </c>
      <c r="O5" s="16">
        <v>151</v>
      </c>
      <c r="P5" s="16">
        <v>7</v>
      </c>
      <c r="Q5" s="16">
        <v>286</v>
      </c>
    </row>
    <row r="10" spans="2:17" ht="18" x14ac:dyDescent="0.35">
      <c r="B10" s="13" t="s">
        <v>544</v>
      </c>
    </row>
    <row r="12" spans="2:17" x14ac:dyDescent="0.25">
      <c r="C12" s="15" t="s">
        <v>565</v>
      </c>
      <c r="D12" t="s">
        <v>566</v>
      </c>
      <c r="E12" t="s">
        <v>567</v>
      </c>
      <c r="F12" t="s">
        <v>568</v>
      </c>
      <c r="G12" t="s">
        <v>569</v>
      </c>
      <c r="H12" t="s">
        <v>570</v>
      </c>
      <c r="I12" t="s">
        <v>571</v>
      </c>
      <c r="J12" t="s">
        <v>572</v>
      </c>
      <c r="K12" t="s">
        <v>573</v>
      </c>
      <c r="L12" t="s">
        <v>574</v>
      </c>
    </row>
    <row r="13" spans="2:17" x14ac:dyDescent="0.25">
      <c r="C13" s="15">
        <v>1</v>
      </c>
      <c r="D13" s="14" t="e">
        <f>NA()</f>
        <v>#N/A</v>
      </c>
      <c r="E13" s="14">
        <v>2</v>
      </c>
      <c r="F13" s="14">
        <v>3</v>
      </c>
      <c r="G13" s="14" t="s">
        <v>73</v>
      </c>
      <c r="H13" s="14">
        <v>0.37589</v>
      </c>
      <c r="I13" s="14">
        <v>197</v>
      </c>
      <c r="J13" s="14">
        <v>132</v>
      </c>
      <c r="K13" s="14" t="s">
        <v>14</v>
      </c>
      <c r="L13" t="s">
        <v>575</v>
      </c>
    </row>
    <row r="14" spans="2:17" x14ac:dyDescent="0.25">
      <c r="C14" s="15">
        <v>2</v>
      </c>
      <c r="D14" s="14">
        <v>1</v>
      </c>
      <c r="E14" s="14">
        <v>4</v>
      </c>
      <c r="F14" s="14">
        <v>5</v>
      </c>
      <c r="G14" s="14" t="s">
        <v>72</v>
      </c>
      <c r="H14" s="14">
        <v>0.30181999999999998</v>
      </c>
      <c r="I14" s="14">
        <v>129</v>
      </c>
      <c r="J14" s="14">
        <v>90</v>
      </c>
      <c r="K14" s="14" t="s">
        <v>14</v>
      </c>
      <c r="L14" t="s">
        <v>575</v>
      </c>
    </row>
    <row r="15" spans="2:17" x14ac:dyDescent="0.25">
      <c r="C15" s="15">
        <v>3</v>
      </c>
      <c r="D15" s="14">
        <v>1</v>
      </c>
      <c r="E15" s="14">
        <v>6</v>
      </c>
      <c r="F15" s="14">
        <v>7</v>
      </c>
      <c r="G15" s="14" t="s">
        <v>67</v>
      </c>
      <c r="H15" s="14">
        <v>0.38550000000000001</v>
      </c>
      <c r="I15" s="14">
        <v>68</v>
      </c>
      <c r="J15" s="14">
        <v>42</v>
      </c>
      <c r="K15" s="14" t="s">
        <v>13</v>
      </c>
      <c r="L15" t="s">
        <v>575</v>
      </c>
    </row>
    <row r="16" spans="2:17" x14ac:dyDescent="0.25">
      <c r="C16" s="15">
        <v>4</v>
      </c>
      <c r="D16" s="14">
        <v>2</v>
      </c>
      <c r="E16" s="14">
        <v>8</v>
      </c>
      <c r="F16" s="14">
        <v>9</v>
      </c>
      <c r="G16" s="14" t="s">
        <v>71</v>
      </c>
      <c r="H16" s="14">
        <v>0.47311999999999999</v>
      </c>
      <c r="I16" s="14">
        <v>50</v>
      </c>
      <c r="J16" s="14">
        <v>38</v>
      </c>
      <c r="K16" s="14" t="s">
        <v>15</v>
      </c>
      <c r="L16" t="s">
        <v>575</v>
      </c>
    </row>
    <row r="17" spans="3:12" x14ac:dyDescent="0.25">
      <c r="C17" s="15">
        <v>5</v>
      </c>
      <c r="D17" s="14">
        <v>2</v>
      </c>
      <c r="E17" s="14">
        <v>10</v>
      </c>
      <c r="F17" s="14">
        <v>11</v>
      </c>
      <c r="G17" s="14" t="s">
        <v>67</v>
      </c>
      <c r="H17" s="14">
        <v>9.7688999999999998E-2</v>
      </c>
      <c r="I17" s="14">
        <v>79</v>
      </c>
      <c r="J17" s="14">
        <v>52</v>
      </c>
      <c r="K17" s="14" t="s">
        <v>14</v>
      </c>
      <c r="L17" t="s">
        <v>575</v>
      </c>
    </row>
    <row r="18" spans="3:12" x14ac:dyDescent="0.25">
      <c r="C18" s="15">
        <v>6</v>
      </c>
      <c r="D18" s="14">
        <v>3</v>
      </c>
      <c r="E18" s="14">
        <v>12</v>
      </c>
      <c r="F18" s="14">
        <v>13</v>
      </c>
      <c r="G18" s="14" t="s">
        <v>62</v>
      </c>
      <c r="H18" s="14">
        <v>0.27484999999999998</v>
      </c>
      <c r="I18" s="14">
        <v>8</v>
      </c>
      <c r="J18" s="14">
        <v>6</v>
      </c>
      <c r="K18" s="14" t="s">
        <v>15</v>
      </c>
      <c r="L18" t="s">
        <v>575</v>
      </c>
    </row>
    <row r="19" spans="3:12" x14ac:dyDescent="0.25">
      <c r="C19" s="15">
        <v>7</v>
      </c>
      <c r="D19" s="14">
        <v>3</v>
      </c>
      <c r="E19" s="14">
        <v>14</v>
      </c>
      <c r="F19" s="14">
        <v>15</v>
      </c>
      <c r="G19" s="14" t="s">
        <v>64</v>
      </c>
      <c r="H19" s="14">
        <v>0.87075000000000002</v>
      </c>
      <c r="I19" s="14">
        <v>60</v>
      </c>
      <c r="J19" s="14">
        <v>36</v>
      </c>
      <c r="K19" s="14" t="s">
        <v>13</v>
      </c>
      <c r="L19" t="s">
        <v>575</v>
      </c>
    </row>
    <row r="20" spans="3:12" x14ac:dyDescent="0.25">
      <c r="C20" s="15">
        <v>8</v>
      </c>
      <c r="D20" s="14">
        <v>4</v>
      </c>
      <c r="E20" s="14">
        <v>16</v>
      </c>
      <c r="F20" s="14">
        <v>17</v>
      </c>
      <c r="G20" s="14" t="s">
        <v>67</v>
      </c>
      <c r="H20" s="14">
        <v>0.2437</v>
      </c>
      <c r="I20" s="14">
        <v>44</v>
      </c>
      <c r="J20" s="14">
        <v>36</v>
      </c>
      <c r="K20" s="14" t="s">
        <v>15</v>
      </c>
      <c r="L20" t="s">
        <v>575</v>
      </c>
    </row>
    <row r="21" spans="3:12" x14ac:dyDescent="0.25">
      <c r="C21" s="15">
        <v>9</v>
      </c>
      <c r="D21" s="14">
        <v>4</v>
      </c>
      <c r="E21" s="14" t="e">
        <f>NA()</f>
        <v>#N/A</v>
      </c>
      <c r="F21" s="14" t="e">
        <f>NA()</f>
        <v>#N/A</v>
      </c>
      <c r="G21" s="14" t="e">
        <f>NA()</f>
        <v>#N/A</v>
      </c>
      <c r="H21" s="14" t="e">
        <f>NA()</f>
        <v>#N/A</v>
      </c>
      <c r="I21" s="14">
        <v>6</v>
      </c>
      <c r="J21" s="14">
        <v>2</v>
      </c>
      <c r="K21" s="14" t="s">
        <v>14</v>
      </c>
      <c r="L21" t="s">
        <v>576</v>
      </c>
    </row>
    <row r="22" spans="3:12" x14ac:dyDescent="0.25">
      <c r="C22" s="15">
        <v>10</v>
      </c>
      <c r="D22" s="14">
        <v>5</v>
      </c>
      <c r="E22" s="14" t="e">
        <f>NA()</f>
        <v>#N/A</v>
      </c>
      <c r="F22" s="14" t="e">
        <f>NA()</f>
        <v>#N/A</v>
      </c>
      <c r="G22" s="14" t="e">
        <f>NA()</f>
        <v>#N/A</v>
      </c>
      <c r="H22" s="14" t="e">
        <f>NA()</f>
        <v>#N/A</v>
      </c>
      <c r="I22" s="14">
        <v>2</v>
      </c>
      <c r="J22" s="14">
        <v>4</v>
      </c>
      <c r="K22" s="14" t="s">
        <v>15</v>
      </c>
      <c r="L22" t="s">
        <v>576</v>
      </c>
    </row>
    <row r="23" spans="3:12" x14ac:dyDescent="0.25">
      <c r="C23" s="15">
        <v>11</v>
      </c>
      <c r="D23" s="14">
        <v>5</v>
      </c>
      <c r="E23" s="14">
        <v>18</v>
      </c>
      <c r="F23" s="14">
        <v>19</v>
      </c>
      <c r="G23" s="14" t="s">
        <v>73</v>
      </c>
      <c r="H23" s="14">
        <v>0.35343000000000002</v>
      </c>
      <c r="I23" s="14">
        <v>77</v>
      </c>
      <c r="J23" s="14">
        <v>48</v>
      </c>
      <c r="K23" s="14" t="s">
        <v>14</v>
      </c>
      <c r="L23" t="s">
        <v>575</v>
      </c>
    </row>
    <row r="24" spans="3:12" x14ac:dyDescent="0.25">
      <c r="C24" s="15">
        <v>12</v>
      </c>
      <c r="D24" s="14">
        <v>6</v>
      </c>
      <c r="E24" s="14" t="e">
        <f>NA()</f>
        <v>#N/A</v>
      </c>
      <c r="F24" s="14" t="e">
        <f>NA()</f>
        <v>#N/A</v>
      </c>
      <c r="G24" s="14" t="e">
        <f>NA()</f>
        <v>#N/A</v>
      </c>
      <c r="H24" s="14" t="e">
        <f>NA()</f>
        <v>#N/A</v>
      </c>
      <c r="I24" s="14">
        <v>2</v>
      </c>
      <c r="J24" s="14">
        <v>2</v>
      </c>
      <c r="K24" s="14" t="s">
        <v>14</v>
      </c>
      <c r="L24" t="s">
        <v>576</v>
      </c>
    </row>
    <row r="25" spans="3:12" x14ac:dyDescent="0.25">
      <c r="C25" s="15">
        <v>13</v>
      </c>
      <c r="D25" s="14">
        <v>6</v>
      </c>
      <c r="E25" s="14" t="e">
        <f>NA()</f>
        <v>#N/A</v>
      </c>
      <c r="F25" s="14" t="e">
        <f>NA()</f>
        <v>#N/A</v>
      </c>
      <c r="G25" s="14" t="e">
        <f>NA()</f>
        <v>#N/A</v>
      </c>
      <c r="H25" s="14" t="e">
        <f>NA()</f>
        <v>#N/A</v>
      </c>
      <c r="I25" s="14">
        <v>6</v>
      </c>
      <c r="J25" s="14">
        <v>4</v>
      </c>
      <c r="K25" s="14" t="s">
        <v>15</v>
      </c>
      <c r="L25" t="s">
        <v>576</v>
      </c>
    </row>
    <row r="26" spans="3:12" x14ac:dyDescent="0.25">
      <c r="C26" s="15">
        <v>14</v>
      </c>
      <c r="D26" s="14">
        <v>7</v>
      </c>
      <c r="E26" s="14" t="e">
        <f>NA()</f>
        <v>#N/A</v>
      </c>
      <c r="F26" s="14" t="e">
        <f>NA()</f>
        <v>#N/A</v>
      </c>
      <c r="G26" s="14" t="e">
        <f>NA()</f>
        <v>#N/A</v>
      </c>
      <c r="H26" s="14" t="e">
        <f>NA()</f>
        <v>#N/A</v>
      </c>
      <c r="I26" s="14">
        <v>59</v>
      </c>
      <c r="J26" s="14">
        <v>35</v>
      </c>
      <c r="K26" s="14" t="s">
        <v>13</v>
      </c>
      <c r="L26" t="s">
        <v>576</v>
      </c>
    </row>
    <row r="27" spans="3:12" x14ac:dyDescent="0.25">
      <c r="C27" s="15">
        <v>15</v>
      </c>
      <c r="D27" s="14">
        <v>7</v>
      </c>
      <c r="E27" s="14" t="e">
        <f>NA()</f>
        <v>#N/A</v>
      </c>
      <c r="F27" s="14" t="e">
        <f>NA()</f>
        <v>#N/A</v>
      </c>
      <c r="G27" s="14" t="e">
        <f>NA()</f>
        <v>#N/A</v>
      </c>
      <c r="H27" s="14" t="e">
        <f>NA()</f>
        <v>#N/A</v>
      </c>
      <c r="I27" s="14">
        <v>1</v>
      </c>
      <c r="J27" s="14">
        <v>1</v>
      </c>
      <c r="K27" s="14" t="s">
        <v>14</v>
      </c>
      <c r="L27" t="s">
        <v>576</v>
      </c>
    </row>
    <row r="28" spans="3:12" x14ac:dyDescent="0.25">
      <c r="C28" s="15">
        <v>16</v>
      </c>
      <c r="D28" s="14">
        <v>8</v>
      </c>
      <c r="E28" s="14" t="e">
        <f>NA()</f>
        <v>#N/A</v>
      </c>
      <c r="F28" s="14" t="e">
        <f>NA()</f>
        <v>#N/A</v>
      </c>
      <c r="G28" s="14" t="e">
        <f>NA()</f>
        <v>#N/A</v>
      </c>
      <c r="H28" s="14" t="e">
        <f>NA()</f>
        <v>#N/A</v>
      </c>
      <c r="I28" s="14">
        <v>42</v>
      </c>
      <c r="J28" s="14">
        <v>34</v>
      </c>
      <c r="K28" s="14" t="s">
        <v>15</v>
      </c>
      <c r="L28" t="s">
        <v>576</v>
      </c>
    </row>
    <row r="29" spans="3:12" x14ac:dyDescent="0.25">
      <c r="C29" s="15">
        <v>17</v>
      </c>
      <c r="D29" s="14">
        <v>8</v>
      </c>
      <c r="E29" s="14" t="e">
        <f>NA()</f>
        <v>#N/A</v>
      </c>
      <c r="F29" s="14" t="e">
        <f>NA()</f>
        <v>#N/A</v>
      </c>
      <c r="G29" s="14" t="e">
        <f>NA()</f>
        <v>#N/A</v>
      </c>
      <c r="H29" s="14" t="e">
        <f>NA()</f>
        <v>#N/A</v>
      </c>
      <c r="I29" s="14">
        <v>2</v>
      </c>
      <c r="J29" s="14">
        <v>2</v>
      </c>
      <c r="K29" s="14" t="s">
        <v>14</v>
      </c>
      <c r="L29" t="s">
        <v>576</v>
      </c>
    </row>
    <row r="30" spans="3:12" x14ac:dyDescent="0.25">
      <c r="C30" s="15">
        <v>18</v>
      </c>
      <c r="D30" s="14">
        <v>11</v>
      </c>
      <c r="E30" s="14" t="e">
        <f>NA()</f>
        <v>#N/A</v>
      </c>
      <c r="F30" s="14" t="e">
        <f>NA()</f>
        <v>#N/A</v>
      </c>
      <c r="G30" s="14" t="e">
        <f>NA()</f>
        <v>#N/A</v>
      </c>
      <c r="H30" s="14" t="e">
        <f>NA()</f>
        <v>#N/A</v>
      </c>
      <c r="I30" s="14">
        <v>75</v>
      </c>
      <c r="J30" s="14">
        <v>47</v>
      </c>
      <c r="K30" s="14" t="s">
        <v>14</v>
      </c>
      <c r="L30" t="s">
        <v>576</v>
      </c>
    </row>
    <row r="31" spans="3:12" x14ac:dyDescent="0.25">
      <c r="C31" s="15">
        <v>19</v>
      </c>
      <c r="D31" s="14">
        <v>11</v>
      </c>
      <c r="E31" s="14">
        <v>20</v>
      </c>
      <c r="F31" s="14">
        <v>21</v>
      </c>
      <c r="G31" s="14" t="s">
        <v>63</v>
      </c>
      <c r="H31" s="14">
        <v>0.56084999999999996</v>
      </c>
      <c r="I31" s="14">
        <v>2</v>
      </c>
      <c r="J31" s="14">
        <v>1</v>
      </c>
      <c r="K31" s="14" t="s">
        <v>13</v>
      </c>
      <c r="L31" t="s">
        <v>575</v>
      </c>
    </row>
    <row r="32" spans="3:12" x14ac:dyDescent="0.25">
      <c r="C32" s="15">
        <v>20</v>
      </c>
      <c r="D32" s="14">
        <v>19</v>
      </c>
      <c r="E32" s="14" t="e">
        <f>NA()</f>
        <v>#N/A</v>
      </c>
      <c r="F32" s="14" t="e">
        <f>NA()</f>
        <v>#N/A</v>
      </c>
      <c r="G32" s="14" t="e">
        <f>NA()</f>
        <v>#N/A</v>
      </c>
      <c r="H32" s="14" t="e">
        <f>NA()</f>
        <v>#N/A</v>
      </c>
      <c r="I32" s="14">
        <v>1</v>
      </c>
      <c r="J32" s="14">
        <v>1</v>
      </c>
      <c r="K32" s="14" t="s">
        <v>14</v>
      </c>
      <c r="L32" t="s">
        <v>576</v>
      </c>
    </row>
    <row r="33" spans="3:12" x14ac:dyDescent="0.25">
      <c r="C33" s="15">
        <v>21</v>
      </c>
      <c r="D33" s="14">
        <v>19</v>
      </c>
      <c r="E33" s="14" t="e">
        <f>NA()</f>
        <v>#N/A</v>
      </c>
      <c r="F33" s="14" t="e">
        <f>NA()</f>
        <v>#N/A</v>
      </c>
      <c r="G33" s="14" t="e">
        <f>NA()</f>
        <v>#N/A</v>
      </c>
      <c r="H33" s="14" t="e">
        <f>NA()</f>
        <v>#N/A</v>
      </c>
      <c r="I33" s="14">
        <v>1</v>
      </c>
      <c r="J33" s="14">
        <v>0</v>
      </c>
      <c r="K33" s="14" t="s">
        <v>13</v>
      </c>
      <c r="L33" t="s">
        <v>576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'!$B$10:$B$10" display="Best Pruned Tree Rules (Using Validation Data)" xr:uid="{574899B6-6FE0-449F-A749-A3F5AF8FC37B}"/>
    <hyperlink ref="D4" location="'CT_FullTree'!$B$10:$B$10" display="Fully Grown Tree Rules (Using Training Data)" xr:uid="{99808F0F-9B7A-4504-A8CA-7CCC81D5FF28}"/>
    <hyperlink ref="F4" location="'CT_MinErrorTree'!$B$10:$B$10" display="Min Error Tree Rules (Using Validation Data)" xr:uid="{AA1D81B1-0F70-4D1A-B5FB-88461397A553}"/>
    <hyperlink ref="H4" location="'CT_Output'!$B$10:$B$10" display="Inputs" xr:uid="{9B0B0FE9-C5F0-4DD1-8D21-C1F027C38324}"/>
    <hyperlink ref="J4" location="'CT_Output'!$B$67:$B$67" display="Feature Importance" xr:uid="{80F73142-8FA1-4553-997A-084F13DDAF75}"/>
    <hyperlink ref="B5" location="'CT_Stored'!$B$10:$B$10" display="PMML Model" xr:uid="{EF61E42B-A31B-4AF5-B642-7939CE52EC33}"/>
    <hyperlink ref="D5" location="'CT_TrainingScore'!$B$10:$B$10" display="Training: Classification Summary" xr:uid="{1A09596A-44EF-47D4-B006-FCCB614FD378}"/>
    <hyperlink ref="F5" location="'CT_ValidationScore'!$B$10:$B$10" display="Validation: Classification Summary" xr:uid="{0D3AF340-DC73-4AB9-AF01-D1087C701216}"/>
  </hyperlinks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A52DD-A402-4E51-9C6E-2B7ADCE879C2}">
  <dimension ref="B1:Q27"/>
  <sheetViews>
    <sheetView showGridLines="0" workbookViewId="0">
      <selection activeCell="A9" sqref="A9"/>
    </sheetView>
  </sheetViews>
  <sheetFormatPr defaultRowHeight="13.2" x14ac:dyDescent="0.25"/>
  <cols>
    <col min="3" max="3" width="9.77734375" customWidth="1"/>
    <col min="4" max="4" width="11" customWidth="1"/>
    <col min="5" max="5" width="13.5546875" customWidth="1"/>
    <col min="6" max="6" width="14.88671875" customWidth="1"/>
    <col min="7" max="7" width="10.33203125" customWidth="1"/>
    <col min="8" max="8" width="15.5546875" customWidth="1"/>
    <col min="9" max="9" width="15.88671875" customWidth="1"/>
    <col min="10" max="10" width="17.33203125" customWidth="1"/>
    <col min="11" max="11" width="11.5546875" customWidth="1"/>
    <col min="12" max="12" width="12.21875" customWidth="1"/>
    <col min="14" max="14" width="24.33203125" bestFit="1" customWidth="1"/>
  </cols>
  <sheetData>
    <row r="1" spans="2:17" ht="18" x14ac:dyDescent="0.35">
      <c r="B1" s="12" t="s">
        <v>564</v>
      </c>
      <c r="N1" t="s">
        <v>618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128</v>
      </c>
      <c r="O5" s="16">
        <v>151</v>
      </c>
      <c r="P5" s="16">
        <v>7</v>
      </c>
      <c r="Q5" s="16">
        <v>286</v>
      </c>
    </row>
    <row r="10" spans="2:17" ht="18" x14ac:dyDescent="0.35">
      <c r="B10" s="13" t="s">
        <v>543</v>
      </c>
    </row>
    <row r="12" spans="2:17" x14ac:dyDescent="0.25">
      <c r="C12" s="15" t="s">
        <v>565</v>
      </c>
      <c r="D12" t="s">
        <v>566</v>
      </c>
      <c r="E12" t="s">
        <v>567</v>
      </c>
      <c r="F12" t="s">
        <v>568</v>
      </c>
      <c r="G12" t="s">
        <v>569</v>
      </c>
      <c r="H12" t="s">
        <v>570</v>
      </c>
      <c r="I12" t="s">
        <v>571</v>
      </c>
      <c r="J12" t="s">
        <v>572</v>
      </c>
      <c r="K12" t="s">
        <v>573</v>
      </c>
      <c r="L12" t="s">
        <v>574</v>
      </c>
    </row>
    <row r="13" spans="2:17" x14ac:dyDescent="0.25">
      <c r="C13" s="15">
        <v>1</v>
      </c>
      <c r="D13" s="14" t="e">
        <f>NA()</f>
        <v>#N/A</v>
      </c>
      <c r="E13" s="14">
        <v>2</v>
      </c>
      <c r="F13" s="14">
        <v>3</v>
      </c>
      <c r="G13" s="14" t="s">
        <v>73</v>
      </c>
      <c r="H13" s="14">
        <v>0.37589</v>
      </c>
      <c r="I13" s="14">
        <v>197</v>
      </c>
      <c r="J13" s="14">
        <v>132</v>
      </c>
      <c r="K13" s="14" t="s">
        <v>14</v>
      </c>
      <c r="L13" t="s">
        <v>575</v>
      </c>
    </row>
    <row r="14" spans="2:17" x14ac:dyDescent="0.25">
      <c r="C14" s="15">
        <v>2</v>
      </c>
      <c r="D14" s="14">
        <v>1</v>
      </c>
      <c r="E14" s="14">
        <v>4</v>
      </c>
      <c r="F14" s="14">
        <v>5</v>
      </c>
      <c r="G14" s="14" t="s">
        <v>72</v>
      </c>
      <c r="H14" s="14">
        <v>0.30181999999999998</v>
      </c>
      <c r="I14" s="14">
        <v>129</v>
      </c>
      <c r="J14" s="14">
        <v>90</v>
      </c>
      <c r="K14" s="14" t="s">
        <v>14</v>
      </c>
      <c r="L14" t="s">
        <v>575</v>
      </c>
    </row>
    <row r="15" spans="2:17" x14ac:dyDescent="0.25">
      <c r="C15" s="15">
        <v>3</v>
      </c>
      <c r="D15" s="14">
        <v>1</v>
      </c>
      <c r="E15" s="14">
        <v>6</v>
      </c>
      <c r="F15" s="14">
        <v>7</v>
      </c>
      <c r="G15" s="14" t="s">
        <v>67</v>
      </c>
      <c r="H15" s="14">
        <v>0.38550000000000001</v>
      </c>
      <c r="I15" s="14">
        <v>68</v>
      </c>
      <c r="J15" s="14">
        <v>42</v>
      </c>
      <c r="K15" s="14" t="s">
        <v>13</v>
      </c>
      <c r="L15" t="s">
        <v>575</v>
      </c>
    </row>
    <row r="16" spans="2:17" x14ac:dyDescent="0.25">
      <c r="C16" s="15">
        <v>4</v>
      </c>
      <c r="D16" s="14">
        <v>2</v>
      </c>
      <c r="E16" s="14">
        <v>8</v>
      </c>
      <c r="F16" s="14">
        <v>9</v>
      </c>
      <c r="G16" s="14" t="s">
        <v>71</v>
      </c>
      <c r="H16" s="14">
        <v>0.47311999999999999</v>
      </c>
      <c r="I16" s="14">
        <v>50</v>
      </c>
      <c r="J16" s="14">
        <v>38</v>
      </c>
      <c r="K16" s="14" t="s">
        <v>15</v>
      </c>
      <c r="L16" t="s">
        <v>575</v>
      </c>
    </row>
    <row r="17" spans="3:12" x14ac:dyDescent="0.25">
      <c r="C17" s="15">
        <v>5</v>
      </c>
      <c r="D17" s="14">
        <v>2</v>
      </c>
      <c r="E17" s="14">
        <v>10</v>
      </c>
      <c r="F17" s="14">
        <v>11</v>
      </c>
      <c r="G17" s="14" t="s">
        <v>67</v>
      </c>
      <c r="H17" s="14">
        <v>9.7688999999999998E-2</v>
      </c>
      <c r="I17" s="14">
        <v>79</v>
      </c>
      <c r="J17" s="14">
        <v>52</v>
      </c>
      <c r="K17" s="14" t="s">
        <v>14</v>
      </c>
      <c r="L17" t="s">
        <v>575</v>
      </c>
    </row>
    <row r="18" spans="3:12" x14ac:dyDescent="0.25">
      <c r="C18" s="15">
        <v>6</v>
      </c>
      <c r="D18" s="14">
        <v>3</v>
      </c>
      <c r="E18" s="14">
        <v>12</v>
      </c>
      <c r="F18" s="14">
        <v>13</v>
      </c>
      <c r="G18" s="14" t="s">
        <v>62</v>
      </c>
      <c r="H18" s="14">
        <v>0.27484999999999998</v>
      </c>
      <c r="I18" s="14">
        <v>8</v>
      </c>
      <c r="J18" s="14">
        <v>6</v>
      </c>
      <c r="K18" s="14" t="s">
        <v>15</v>
      </c>
      <c r="L18" t="s">
        <v>575</v>
      </c>
    </row>
    <row r="19" spans="3:12" x14ac:dyDescent="0.25">
      <c r="C19" s="15">
        <v>7</v>
      </c>
      <c r="D19" s="14">
        <v>3</v>
      </c>
      <c r="E19" s="14" t="e">
        <f>NA()</f>
        <v>#N/A</v>
      </c>
      <c r="F19" s="14" t="e">
        <f>NA()</f>
        <v>#N/A</v>
      </c>
      <c r="G19" s="14" t="e">
        <f>NA()</f>
        <v>#N/A</v>
      </c>
      <c r="H19" s="14" t="e">
        <f>NA()</f>
        <v>#N/A</v>
      </c>
      <c r="I19" s="14">
        <v>60</v>
      </c>
      <c r="J19" s="14">
        <v>36</v>
      </c>
      <c r="K19" s="14" t="s">
        <v>13</v>
      </c>
      <c r="L19" t="s">
        <v>576</v>
      </c>
    </row>
    <row r="20" spans="3:12" x14ac:dyDescent="0.25">
      <c r="C20" s="15">
        <v>8</v>
      </c>
      <c r="D20" s="14">
        <v>4</v>
      </c>
      <c r="E20" s="14">
        <v>14</v>
      </c>
      <c r="F20" s="14">
        <v>15</v>
      </c>
      <c r="G20" s="14" t="s">
        <v>67</v>
      </c>
      <c r="H20" s="14">
        <v>0.2437</v>
      </c>
      <c r="I20" s="14">
        <v>44</v>
      </c>
      <c r="J20" s="14">
        <v>36</v>
      </c>
      <c r="K20" s="14" t="s">
        <v>15</v>
      </c>
      <c r="L20" t="s">
        <v>575</v>
      </c>
    </row>
    <row r="21" spans="3:12" x14ac:dyDescent="0.25">
      <c r="C21" s="15">
        <v>9</v>
      </c>
      <c r="D21" s="14">
        <v>4</v>
      </c>
      <c r="E21" s="14" t="e">
        <f>NA()</f>
        <v>#N/A</v>
      </c>
      <c r="F21" s="14" t="e">
        <f>NA()</f>
        <v>#N/A</v>
      </c>
      <c r="G21" s="14" t="e">
        <f>NA()</f>
        <v>#N/A</v>
      </c>
      <c r="H21" s="14" t="e">
        <f>NA()</f>
        <v>#N/A</v>
      </c>
      <c r="I21" s="14">
        <v>6</v>
      </c>
      <c r="J21" s="14">
        <v>2</v>
      </c>
      <c r="K21" s="14" t="s">
        <v>14</v>
      </c>
      <c r="L21" t="s">
        <v>576</v>
      </c>
    </row>
    <row r="22" spans="3:12" x14ac:dyDescent="0.25">
      <c r="C22" s="15">
        <v>10</v>
      </c>
      <c r="D22" s="14">
        <v>5</v>
      </c>
      <c r="E22" s="14" t="e">
        <f>NA()</f>
        <v>#N/A</v>
      </c>
      <c r="F22" s="14" t="e">
        <f>NA()</f>
        <v>#N/A</v>
      </c>
      <c r="G22" s="14" t="e">
        <f>NA()</f>
        <v>#N/A</v>
      </c>
      <c r="H22" s="14" t="e">
        <f>NA()</f>
        <v>#N/A</v>
      </c>
      <c r="I22" s="14">
        <v>2</v>
      </c>
      <c r="J22" s="14">
        <v>4</v>
      </c>
      <c r="K22" s="14" t="s">
        <v>15</v>
      </c>
      <c r="L22" t="s">
        <v>576</v>
      </c>
    </row>
    <row r="23" spans="3:12" x14ac:dyDescent="0.25">
      <c r="C23" s="15">
        <v>11</v>
      </c>
      <c r="D23" s="14">
        <v>5</v>
      </c>
      <c r="E23" s="14" t="e">
        <f>NA()</f>
        <v>#N/A</v>
      </c>
      <c r="F23" s="14" t="e">
        <f>NA()</f>
        <v>#N/A</v>
      </c>
      <c r="G23" s="14" t="e">
        <f>NA()</f>
        <v>#N/A</v>
      </c>
      <c r="H23" s="14" t="e">
        <f>NA()</f>
        <v>#N/A</v>
      </c>
      <c r="I23" s="14">
        <v>77</v>
      </c>
      <c r="J23" s="14">
        <v>48</v>
      </c>
      <c r="K23" s="14" t="s">
        <v>14</v>
      </c>
      <c r="L23" t="s">
        <v>576</v>
      </c>
    </row>
    <row r="24" spans="3:12" x14ac:dyDescent="0.25">
      <c r="C24" s="15">
        <v>12</v>
      </c>
      <c r="D24" s="14">
        <v>6</v>
      </c>
      <c r="E24" s="14" t="e">
        <f>NA()</f>
        <v>#N/A</v>
      </c>
      <c r="F24" s="14" t="e">
        <f>NA()</f>
        <v>#N/A</v>
      </c>
      <c r="G24" s="14" t="e">
        <f>NA()</f>
        <v>#N/A</v>
      </c>
      <c r="H24" s="14" t="e">
        <f>NA()</f>
        <v>#N/A</v>
      </c>
      <c r="I24" s="14">
        <v>2</v>
      </c>
      <c r="J24" s="14">
        <v>2</v>
      </c>
      <c r="K24" s="14" t="s">
        <v>14</v>
      </c>
      <c r="L24" t="s">
        <v>576</v>
      </c>
    </row>
    <row r="25" spans="3:12" x14ac:dyDescent="0.25">
      <c r="C25" s="15">
        <v>13</v>
      </c>
      <c r="D25" s="14">
        <v>6</v>
      </c>
      <c r="E25" s="14" t="e">
        <f>NA()</f>
        <v>#N/A</v>
      </c>
      <c r="F25" s="14" t="e">
        <f>NA()</f>
        <v>#N/A</v>
      </c>
      <c r="G25" s="14" t="e">
        <f>NA()</f>
        <v>#N/A</v>
      </c>
      <c r="H25" s="14" t="e">
        <f>NA()</f>
        <v>#N/A</v>
      </c>
      <c r="I25" s="14">
        <v>6</v>
      </c>
      <c r="J25" s="14">
        <v>4</v>
      </c>
      <c r="K25" s="14" t="s">
        <v>15</v>
      </c>
      <c r="L25" t="s">
        <v>576</v>
      </c>
    </row>
    <row r="26" spans="3:12" x14ac:dyDescent="0.25">
      <c r="C26" s="15">
        <v>14</v>
      </c>
      <c r="D26" s="14">
        <v>8</v>
      </c>
      <c r="E26" s="14" t="e">
        <f>NA()</f>
        <v>#N/A</v>
      </c>
      <c r="F26" s="14" t="e">
        <f>NA()</f>
        <v>#N/A</v>
      </c>
      <c r="G26" s="14" t="e">
        <f>NA()</f>
        <v>#N/A</v>
      </c>
      <c r="H26" s="14" t="e">
        <f>NA()</f>
        <v>#N/A</v>
      </c>
      <c r="I26" s="14">
        <v>42</v>
      </c>
      <c r="J26" s="14">
        <v>34</v>
      </c>
      <c r="K26" s="14" t="s">
        <v>15</v>
      </c>
      <c r="L26" t="s">
        <v>576</v>
      </c>
    </row>
    <row r="27" spans="3:12" x14ac:dyDescent="0.25">
      <c r="C27" s="15">
        <v>15</v>
      </c>
      <c r="D27" s="14">
        <v>8</v>
      </c>
      <c r="E27" s="14" t="e">
        <f>NA()</f>
        <v>#N/A</v>
      </c>
      <c r="F27" s="14" t="e">
        <f>NA()</f>
        <v>#N/A</v>
      </c>
      <c r="G27" s="14" t="e">
        <f>NA()</f>
        <v>#N/A</v>
      </c>
      <c r="H27" s="14" t="e">
        <f>NA()</f>
        <v>#N/A</v>
      </c>
      <c r="I27" s="14">
        <v>2</v>
      </c>
      <c r="J27" s="14">
        <v>2</v>
      </c>
      <c r="K27" s="14" t="s">
        <v>14</v>
      </c>
      <c r="L27" t="s">
        <v>576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'!$B$10:$B$10" display="Best Pruned Tree Rules (Using Validation Data)" xr:uid="{A01F821B-39A1-4C1D-8977-645847779FFD}"/>
    <hyperlink ref="D4" location="'CT_FullTree'!$B$10:$B$10" display="Fully Grown Tree Rules (Using Training Data)" xr:uid="{863ED2EB-4CF2-499D-A1EC-8736B5C96667}"/>
    <hyperlink ref="F4" location="'CT_MinErrorTree'!$B$10:$B$10" display="Min Error Tree Rules (Using Validation Data)" xr:uid="{13650613-43D4-4153-8135-E221DA9E1A8C}"/>
    <hyperlink ref="H4" location="'CT_Output'!$B$10:$B$10" display="Inputs" xr:uid="{4602DEB0-903A-4C2E-924E-045C7AD8BD5C}"/>
    <hyperlink ref="J4" location="'CT_Output'!$B$67:$B$67" display="Feature Importance" xr:uid="{F8616D48-F6A2-4B37-A545-AB8EA6FDB16A}"/>
    <hyperlink ref="B5" location="'CT_Stored'!$B$10:$B$10" display="PMML Model" xr:uid="{9E152C63-0D45-4BBA-8976-ED52B2433005}"/>
    <hyperlink ref="D5" location="'CT_TrainingScore'!$B$10:$B$10" display="Training: Classification Summary" xr:uid="{1E856F97-2218-4403-865F-1AEB5A53EBBB}"/>
    <hyperlink ref="F5" location="'CT_ValidationScore'!$B$10:$B$10" display="Validation: Classification Summary" xr:uid="{1197EB7D-4A95-4C95-ADAC-A275C27F11C2}"/>
  </hyperlinks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D481-9771-4C84-BD86-B0DB87AA603E}">
  <dimension ref="B1:Q29"/>
  <sheetViews>
    <sheetView showGridLines="0" workbookViewId="0"/>
  </sheetViews>
  <sheetFormatPr defaultRowHeight="13.2" x14ac:dyDescent="0.25"/>
  <cols>
    <col min="3" max="3" width="9.77734375" customWidth="1"/>
    <col min="4" max="4" width="11" customWidth="1"/>
    <col min="5" max="5" width="13.5546875" customWidth="1"/>
    <col min="6" max="6" width="14.88671875" customWidth="1"/>
    <col min="7" max="7" width="10.33203125" customWidth="1"/>
    <col min="8" max="8" width="15.5546875" customWidth="1"/>
    <col min="9" max="9" width="15.88671875" customWidth="1"/>
    <col min="10" max="10" width="17.33203125" customWidth="1"/>
    <col min="11" max="11" width="11.5546875" customWidth="1"/>
    <col min="12" max="12" width="12.21875" customWidth="1"/>
    <col min="14" max="14" width="24.33203125" bestFit="1" customWidth="1"/>
  </cols>
  <sheetData>
    <row r="1" spans="2:17" ht="18" x14ac:dyDescent="0.35">
      <c r="B1" s="12" t="s">
        <v>564</v>
      </c>
      <c r="N1" t="s">
        <v>618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128</v>
      </c>
      <c r="O5" s="16">
        <v>151</v>
      </c>
      <c r="P5" s="16">
        <v>7</v>
      </c>
      <c r="Q5" s="16">
        <v>286</v>
      </c>
    </row>
    <row r="10" spans="2:17" ht="18" x14ac:dyDescent="0.35">
      <c r="B10" s="13" t="s">
        <v>545</v>
      </c>
    </row>
    <row r="12" spans="2:17" x14ac:dyDescent="0.25">
      <c r="C12" s="15" t="s">
        <v>565</v>
      </c>
      <c r="D12" t="s">
        <v>566</v>
      </c>
      <c r="E12" t="s">
        <v>567</v>
      </c>
      <c r="F12" t="s">
        <v>568</v>
      </c>
      <c r="G12" t="s">
        <v>569</v>
      </c>
      <c r="H12" t="s">
        <v>570</v>
      </c>
      <c r="I12" t="s">
        <v>571</v>
      </c>
      <c r="J12" t="s">
        <v>572</v>
      </c>
      <c r="K12" t="s">
        <v>573</v>
      </c>
      <c r="L12" t="s">
        <v>574</v>
      </c>
    </row>
    <row r="13" spans="2:17" x14ac:dyDescent="0.25">
      <c r="C13" s="15">
        <v>1</v>
      </c>
      <c r="D13" s="14" t="e">
        <f>NA()</f>
        <v>#N/A</v>
      </c>
      <c r="E13" s="14">
        <v>2</v>
      </c>
      <c r="F13" s="14">
        <v>3</v>
      </c>
      <c r="G13" s="14" t="s">
        <v>73</v>
      </c>
      <c r="H13" s="14">
        <v>0.37589</v>
      </c>
      <c r="I13" s="14">
        <v>197</v>
      </c>
      <c r="J13" s="14">
        <v>132</v>
      </c>
      <c r="K13" s="14" t="s">
        <v>14</v>
      </c>
      <c r="L13" t="s">
        <v>575</v>
      </c>
    </row>
    <row r="14" spans="2:17" x14ac:dyDescent="0.25">
      <c r="C14" s="15">
        <v>2</v>
      </c>
      <c r="D14" s="14">
        <v>1</v>
      </c>
      <c r="E14" s="14">
        <v>4</v>
      </c>
      <c r="F14" s="14">
        <v>5</v>
      </c>
      <c r="G14" s="14" t="s">
        <v>72</v>
      </c>
      <c r="H14" s="14">
        <v>0.30181999999999998</v>
      </c>
      <c r="I14" s="14">
        <v>129</v>
      </c>
      <c r="J14" s="14">
        <v>90</v>
      </c>
      <c r="K14" s="14" t="s">
        <v>14</v>
      </c>
      <c r="L14" t="s">
        <v>575</v>
      </c>
    </row>
    <row r="15" spans="2:17" x14ac:dyDescent="0.25">
      <c r="C15" s="15">
        <v>3</v>
      </c>
      <c r="D15" s="14">
        <v>1</v>
      </c>
      <c r="E15" s="14">
        <v>6</v>
      </c>
      <c r="F15" s="14">
        <v>7</v>
      </c>
      <c r="G15" s="14" t="s">
        <v>67</v>
      </c>
      <c r="H15" s="14">
        <v>0.38550000000000001</v>
      </c>
      <c r="I15" s="14">
        <v>68</v>
      </c>
      <c r="J15" s="14">
        <v>42</v>
      </c>
      <c r="K15" s="14" t="s">
        <v>13</v>
      </c>
      <c r="L15" t="s">
        <v>575</v>
      </c>
    </row>
    <row r="16" spans="2:17" x14ac:dyDescent="0.25">
      <c r="C16" s="15">
        <v>4</v>
      </c>
      <c r="D16" s="14">
        <v>2</v>
      </c>
      <c r="E16" s="14">
        <v>8</v>
      </c>
      <c r="F16" s="14">
        <v>9</v>
      </c>
      <c r="G16" s="14" t="s">
        <v>71</v>
      </c>
      <c r="H16" s="14">
        <v>0.47311999999999999</v>
      </c>
      <c r="I16" s="14">
        <v>50</v>
      </c>
      <c r="J16" s="14">
        <v>38</v>
      </c>
      <c r="K16" s="14" t="s">
        <v>15</v>
      </c>
      <c r="L16" t="s">
        <v>575</v>
      </c>
    </row>
    <row r="17" spans="3:12" x14ac:dyDescent="0.25">
      <c r="C17" s="15">
        <v>5</v>
      </c>
      <c r="D17" s="14">
        <v>2</v>
      </c>
      <c r="E17" s="14">
        <v>10</v>
      </c>
      <c r="F17" s="14">
        <v>11</v>
      </c>
      <c r="G17" s="14" t="s">
        <v>67</v>
      </c>
      <c r="H17" s="14">
        <v>9.7688999999999998E-2</v>
      </c>
      <c r="I17" s="14">
        <v>79</v>
      </c>
      <c r="J17" s="14">
        <v>52</v>
      </c>
      <c r="K17" s="14" t="s">
        <v>14</v>
      </c>
      <c r="L17" t="s">
        <v>575</v>
      </c>
    </row>
    <row r="18" spans="3:12" x14ac:dyDescent="0.25">
      <c r="C18" s="15">
        <v>6</v>
      </c>
      <c r="D18" s="14">
        <v>3</v>
      </c>
      <c r="E18" s="14">
        <v>12</v>
      </c>
      <c r="F18" s="14">
        <v>13</v>
      </c>
      <c r="G18" s="14" t="s">
        <v>62</v>
      </c>
      <c r="H18" s="14">
        <v>0.27484999999999998</v>
      </c>
      <c r="I18" s="14">
        <v>8</v>
      </c>
      <c r="J18" s="14">
        <v>6</v>
      </c>
      <c r="K18" s="14" t="s">
        <v>15</v>
      </c>
      <c r="L18" t="s">
        <v>575</v>
      </c>
    </row>
    <row r="19" spans="3:12" x14ac:dyDescent="0.25">
      <c r="C19" s="15">
        <v>7</v>
      </c>
      <c r="D19" s="14">
        <v>3</v>
      </c>
      <c r="E19" s="14">
        <v>14</v>
      </c>
      <c r="F19" s="14">
        <v>15</v>
      </c>
      <c r="G19" s="14" t="s">
        <v>64</v>
      </c>
      <c r="H19" s="14">
        <v>0.87075000000000002</v>
      </c>
      <c r="I19" s="14">
        <v>60</v>
      </c>
      <c r="J19" s="14">
        <v>36</v>
      </c>
      <c r="K19" s="14" t="s">
        <v>13</v>
      </c>
      <c r="L19" t="s">
        <v>575</v>
      </c>
    </row>
    <row r="20" spans="3:12" x14ac:dyDescent="0.25">
      <c r="C20" s="15">
        <v>8</v>
      </c>
      <c r="D20" s="14">
        <v>4</v>
      </c>
      <c r="E20" s="14">
        <v>16</v>
      </c>
      <c r="F20" s="14">
        <v>17</v>
      </c>
      <c r="G20" s="14" t="s">
        <v>67</v>
      </c>
      <c r="H20" s="14">
        <v>0.2437</v>
      </c>
      <c r="I20" s="14">
        <v>44</v>
      </c>
      <c r="J20" s="14">
        <v>36</v>
      </c>
      <c r="K20" s="14" t="s">
        <v>15</v>
      </c>
      <c r="L20" t="s">
        <v>575</v>
      </c>
    </row>
    <row r="21" spans="3:12" x14ac:dyDescent="0.25">
      <c r="C21" s="15">
        <v>9</v>
      </c>
      <c r="D21" s="14">
        <v>4</v>
      </c>
      <c r="E21" s="14" t="e">
        <f>NA()</f>
        <v>#N/A</v>
      </c>
      <c r="F21" s="14" t="e">
        <f>NA()</f>
        <v>#N/A</v>
      </c>
      <c r="G21" s="14" t="e">
        <f>NA()</f>
        <v>#N/A</v>
      </c>
      <c r="H21" s="14" t="e">
        <f>NA()</f>
        <v>#N/A</v>
      </c>
      <c r="I21" s="14">
        <v>6</v>
      </c>
      <c r="J21" s="14">
        <v>2</v>
      </c>
      <c r="K21" s="14" t="s">
        <v>14</v>
      </c>
      <c r="L21" t="s">
        <v>576</v>
      </c>
    </row>
    <row r="22" spans="3:12" x14ac:dyDescent="0.25">
      <c r="C22" s="15">
        <v>10</v>
      </c>
      <c r="D22" s="14">
        <v>5</v>
      </c>
      <c r="E22" s="14" t="e">
        <f>NA()</f>
        <v>#N/A</v>
      </c>
      <c r="F22" s="14" t="e">
        <f>NA()</f>
        <v>#N/A</v>
      </c>
      <c r="G22" s="14" t="e">
        <f>NA()</f>
        <v>#N/A</v>
      </c>
      <c r="H22" s="14" t="e">
        <f>NA()</f>
        <v>#N/A</v>
      </c>
      <c r="I22" s="14">
        <v>2</v>
      </c>
      <c r="J22" s="14">
        <v>4</v>
      </c>
      <c r="K22" s="14" t="s">
        <v>15</v>
      </c>
      <c r="L22" t="s">
        <v>576</v>
      </c>
    </row>
    <row r="23" spans="3:12" x14ac:dyDescent="0.25">
      <c r="C23" s="15">
        <v>11</v>
      </c>
      <c r="D23" s="14">
        <v>5</v>
      </c>
      <c r="E23" s="14" t="e">
        <f>NA()</f>
        <v>#N/A</v>
      </c>
      <c r="F23" s="14" t="e">
        <f>NA()</f>
        <v>#N/A</v>
      </c>
      <c r="G23" s="14" t="e">
        <f>NA()</f>
        <v>#N/A</v>
      </c>
      <c r="H23" s="14" t="e">
        <f>NA()</f>
        <v>#N/A</v>
      </c>
      <c r="I23" s="14">
        <v>77</v>
      </c>
      <c r="J23" s="14">
        <v>48</v>
      </c>
      <c r="K23" s="14" t="s">
        <v>14</v>
      </c>
      <c r="L23" t="s">
        <v>576</v>
      </c>
    </row>
    <row r="24" spans="3:12" x14ac:dyDescent="0.25">
      <c r="C24" s="15">
        <v>12</v>
      </c>
      <c r="D24" s="14">
        <v>6</v>
      </c>
      <c r="E24" s="14" t="e">
        <f>NA()</f>
        <v>#N/A</v>
      </c>
      <c r="F24" s="14" t="e">
        <f>NA()</f>
        <v>#N/A</v>
      </c>
      <c r="G24" s="14" t="e">
        <f>NA()</f>
        <v>#N/A</v>
      </c>
      <c r="H24" s="14" t="e">
        <f>NA()</f>
        <v>#N/A</v>
      </c>
      <c r="I24" s="14">
        <v>2</v>
      </c>
      <c r="J24" s="14">
        <v>2</v>
      </c>
      <c r="K24" s="14" t="s">
        <v>14</v>
      </c>
      <c r="L24" t="s">
        <v>576</v>
      </c>
    </row>
    <row r="25" spans="3:12" x14ac:dyDescent="0.25">
      <c r="C25" s="15">
        <v>13</v>
      </c>
      <c r="D25" s="14">
        <v>6</v>
      </c>
      <c r="E25" s="14" t="e">
        <f>NA()</f>
        <v>#N/A</v>
      </c>
      <c r="F25" s="14" t="e">
        <f>NA()</f>
        <v>#N/A</v>
      </c>
      <c r="G25" s="14" t="e">
        <f>NA()</f>
        <v>#N/A</v>
      </c>
      <c r="H25" s="14" t="e">
        <f>NA()</f>
        <v>#N/A</v>
      </c>
      <c r="I25" s="14">
        <v>6</v>
      </c>
      <c r="J25" s="14">
        <v>4</v>
      </c>
      <c r="K25" s="14" t="s">
        <v>15</v>
      </c>
      <c r="L25" t="s">
        <v>576</v>
      </c>
    </row>
    <row r="26" spans="3:12" x14ac:dyDescent="0.25">
      <c r="C26" s="15">
        <v>14</v>
      </c>
      <c r="D26" s="14">
        <v>7</v>
      </c>
      <c r="E26" s="14" t="e">
        <f>NA()</f>
        <v>#N/A</v>
      </c>
      <c r="F26" s="14" t="e">
        <f>NA()</f>
        <v>#N/A</v>
      </c>
      <c r="G26" s="14" t="e">
        <f>NA()</f>
        <v>#N/A</v>
      </c>
      <c r="H26" s="14" t="e">
        <f>NA()</f>
        <v>#N/A</v>
      </c>
      <c r="I26" s="14">
        <v>59</v>
      </c>
      <c r="J26" s="14">
        <v>35</v>
      </c>
      <c r="K26" s="14" t="s">
        <v>13</v>
      </c>
      <c r="L26" t="s">
        <v>576</v>
      </c>
    </row>
    <row r="27" spans="3:12" x14ac:dyDescent="0.25">
      <c r="C27" s="15">
        <v>15</v>
      </c>
      <c r="D27" s="14">
        <v>7</v>
      </c>
      <c r="E27" s="14" t="e">
        <f>NA()</f>
        <v>#N/A</v>
      </c>
      <c r="F27" s="14" t="e">
        <f>NA()</f>
        <v>#N/A</v>
      </c>
      <c r="G27" s="14" t="e">
        <f>NA()</f>
        <v>#N/A</v>
      </c>
      <c r="H27" s="14" t="e">
        <f>NA()</f>
        <v>#N/A</v>
      </c>
      <c r="I27" s="14">
        <v>1</v>
      </c>
      <c r="J27" s="14">
        <v>1</v>
      </c>
      <c r="K27" s="14" t="s">
        <v>14</v>
      </c>
      <c r="L27" t="s">
        <v>576</v>
      </c>
    </row>
    <row r="28" spans="3:12" x14ac:dyDescent="0.25">
      <c r="C28" s="15">
        <v>16</v>
      </c>
      <c r="D28" s="14">
        <v>8</v>
      </c>
      <c r="E28" s="14" t="e">
        <f>NA()</f>
        <v>#N/A</v>
      </c>
      <c r="F28" s="14" t="e">
        <f>NA()</f>
        <v>#N/A</v>
      </c>
      <c r="G28" s="14" t="e">
        <f>NA()</f>
        <v>#N/A</v>
      </c>
      <c r="H28" s="14" t="e">
        <f>NA()</f>
        <v>#N/A</v>
      </c>
      <c r="I28" s="14">
        <v>42</v>
      </c>
      <c r="J28" s="14">
        <v>34</v>
      </c>
      <c r="K28" s="14" t="s">
        <v>15</v>
      </c>
      <c r="L28" t="s">
        <v>576</v>
      </c>
    </row>
    <row r="29" spans="3:12" x14ac:dyDescent="0.25">
      <c r="C29" s="15">
        <v>17</v>
      </c>
      <c r="D29" s="14">
        <v>8</v>
      </c>
      <c r="E29" s="14" t="e">
        <f>NA()</f>
        <v>#N/A</v>
      </c>
      <c r="F29" s="14" t="e">
        <f>NA()</f>
        <v>#N/A</v>
      </c>
      <c r="G29" s="14" t="e">
        <f>NA()</f>
        <v>#N/A</v>
      </c>
      <c r="H29" s="14" t="e">
        <f>NA()</f>
        <v>#N/A</v>
      </c>
      <c r="I29" s="14">
        <v>2</v>
      </c>
      <c r="J29" s="14">
        <v>2</v>
      </c>
      <c r="K29" s="14" t="s">
        <v>14</v>
      </c>
      <c r="L29" t="s">
        <v>576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'!$B$10:$B$10" display="Best Pruned Tree Rules (Using Validation Data)" xr:uid="{7ABAA264-2FC6-4468-8146-99CE36EC525B}"/>
    <hyperlink ref="D4" location="'CT_FullTree'!$B$10:$B$10" display="Fully Grown Tree Rules (Using Training Data)" xr:uid="{C3FBCABE-6C0D-487A-BE97-CCAB0753D066}"/>
    <hyperlink ref="F4" location="'CT_MinErrorTree'!$B$10:$B$10" display="Min Error Tree Rules (Using Validation Data)" xr:uid="{954112DF-F9D0-4360-9FCF-4309BD718E71}"/>
    <hyperlink ref="H4" location="'CT_Output'!$B$10:$B$10" display="Inputs" xr:uid="{22ED7477-9260-474A-A297-8A5C16751214}"/>
    <hyperlink ref="J4" location="'CT_Output'!$B$67:$B$67" display="Feature Importance" xr:uid="{A45F3C26-AD82-4EC0-A439-85EDD45E1656}"/>
    <hyperlink ref="B5" location="'CT_Stored'!$B$10:$B$10" display="PMML Model" xr:uid="{F9779F62-C807-4B14-80D9-73D77DD0CE30}"/>
    <hyperlink ref="D5" location="'CT_TrainingScore'!$B$10:$B$10" display="Training: Classification Summary" xr:uid="{ED6FEC27-682D-4D9F-9D3C-0A37E3A14D72}"/>
    <hyperlink ref="F5" location="'CT_ValidationScore'!$B$10:$B$10" display="Validation: Classification Summary" xr:uid="{3E302109-9AE2-4C09-B260-8CCC3DF82D43}"/>
  </hyperlinks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8092-6B76-49CE-B19C-FBFE18EF721E}">
  <dimension ref="B1:Q28"/>
  <sheetViews>
    <sheetView showGridLines="0" topLeftCell="A6" workbookViewId="0">
      <selection activeCell="F23" sqref="F23"/>
    </sheetView>
  </sheetViews>
  <sheetFormatPr defaultRowHeight="13.2" x14ac:dyDescent="0.25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4" max="14" width="24.33203125" bestFit="1" customWidth="1"/>
  </cols>
  <sheetData>
    <row r="1" spans="2:17" ht="18" x14ac:dyDescent="0.35">
      <c r="B1" s="12" t="s">
        <v>563</v>
      </c>
      <c r="N1" t="s">
        <v>618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128</v>
      </c>
      <c r="O5" s="16">
        <v>151</v>
      </c>
      <c r="P5" s="16">
        <v>7</v>
      </c>
      <c r="Q5" s="16">
        <v>286</v>
      </c>
    </row>
    <row r="10" spans="2:17" ht="18" x14ac:dyDescent="0.35">
      <c r="B10" s="13" t="s">
        <v>547</v>
      </c>
    </row>
    <row r="12" spans="2:17" ht="15.6" x14ac:dyDescent="0.3">
      <c r="C12" s="28" t="s">
        <v>550</v>
      </c>
      <c r="D12" s="28"/>
      <c r="E12" s="28"/>
      <c r="F12" s="28"/>
    </row>
    <row r="13" spans="2:17" x14ac:dyDescent="0.25">
      <c r="C13" s="15" t="s">
        <v>562</v>
      </c>
      <c r="D13" t="s">
        <v>13</v>
      </c>
      <c r="E13" t="s">
        <v>14</v>
      </c>
      <c r="F13" t="s">
        <v>15</v>
      </c>
    </row>
    <row r="14" spans="2:17" x14ac:dyDescent="0.25">
      <c r="C14" s="15" t="s">
        <v>13</v>
      </c>
      <c r="D14" s="14">
        <v>59</v>
      </c>
      <c r="E14" s="14">
        <v>1</v>
      </c>
      <c r="F14">
        <v>0</v>
      </c>
    </row>
    <row r="15" spans="2:17" x14ac:dyDescent="0.25">
      <c r="C15" s="15" t="s">
        <v>14</v>
      </c>
      <c r="D15" s="14">
        <v>1</v>
      </c>
      <c r="E15" s="14">
        <v>86</v>
      </c>
      <c r="F15">
        <v>0</v>
      </c>
    </row>
    <row r="16" spans="2:17" x14ac:dyDescent="0.25">
      <c r="C16" s="15" t="s">
        <v>15</v>
      </c>
      <c r="D16" s="14">
        <v>0</v>
      </c>
      <c r="E16" s="14">
        <v>0</v>
      </c>
      <c r="F16">
        <v>50</v>
      </c>
    </row>
    <row r="18" spans="3:6" ht="15.6" x14ac:dyDescent="0.3">
      <c r="C18" s="28" t="s">
        <v>551</v>
      </c>
      <c r="D18" s="28"/>
      <c r="E18" s="28"/>
      <c r="F18" s="28"/>
    </row>
    <row r="19" spans="3:6" x14ac:dyDescent="0.25">
      <c r="C19" t="s">
        <v>552</v>
      </c>
      <c r="D19" t="s">
        <v>558</v>
      </c>
      <c r="E19" t="s">
        <v>560</v>
      </c>
      <c r="F19" t="s">
        <v>561</v>
      </c>
    </row>
    <row r="20" spans="3:6" x14ac:dyDescent="0.25">
      <c r="C20" s="15" t="s">
        <v>13</v>
      </c>
      <c r="D20">
        <f>SUM($D$14:$F$14)</f>
        <v>60</v>
      </c>
      <c r="E20">
        <f>SUM($D$14:$F$14) - $D$14</f>
        <v>1</v>
      </c>
      <c r="F20">
        <f>IF($D$20=0,"Undefined",$E$20*100 / $D$20)</f>
        <v>1.6666666666666667</v>
      </c>
    </row>
    <row r="21" spans="3:6" x14ac:dyDescent="0.25">
      <c r="C21" s="15" t="s">
        <v>14</v>
      </c>
      <c r="D21">
        <f>SUM($D$15:$F$15)</f>
        <v>87</v>
      </c>
      <c r="E21">
        <f>SUM($D$15:$F$15) - $E$15</f>
        <v>1</v>
      </c>
      <c r="F21">
        <f>IF($D$21=0,"Undefined",$E$21*100 / $D$21)</f>
        <v>1.1494252873563218</v>
      </c>
    </row>
    <row r="22" spans="3:6" x14ac:dyDescent="0.25">
      <c r="C22" s="15" t="s">
        <v>15</v>
      </c>
      <c r="D22">
        <f>SUM($D$16:$F$16)</f>
        <v>50</v>
      </c>
      <c r="E22">
        <f>SUM($D$16:$F$16) - $F$16</f>
        <v>0</v>
      </c>
      <c r="F22">
        <f>IF($D$22=0,"Undefined",$E$22*100 / $D$22)</f>
        <v>0</v>
      </c>
    </row>
    <row r="23" spans="3:6" x14ac:dyDescent="0.25">
      <c r="C23" s="15" t="s">
        <v>553</v>
      </c>
      <c r="D23">
        <f>SUM($D$20:$D$22)</f>
        <v>197</v>
      </c>
      <c r="E23">
        <f>SUM($E$20:$E$22)</f>
        <v>2</v>
      </c>
      <c r="F23">
        <f>IF($D$23=0,"Undefined",$E$23*100 / $D$23)</f>
        <v>1.015228426395939</v>
      </c>
    </row>
    <row r="25" spans="3:6" ht="15.6" x14ac:dyDescent="0.3">
      <c r="C25" s="28" t="s">
        <v>554</v>
      </c>
      <c r="D25" s="28"/>
    </row>
    <row r="26" spans="3:6" x14ac:dyDescent="0.25">
      <c r="C26" t="s">
        <v>555</v>
      </c>
      <c r="D26" t="s">
        <v>559</v>
      </c>
    </row>
    <row r="27" spans="3:6" x14ac:dyDescent="0.25">
      <c r="C27" t="s">
        <v>556</v>
      </c>
      <c r="D27">
        <v>195</v>
      </c>
    </row>
    <row r="28" spans="3:6" x14ac:dyDescent="0.25">
      <c r="C28" t="s">
        <v>557</v>
      </c>
      <c r="D28">
        <v>98.984771573604064</v>
      </c>
    </row>
  </sheetData>
  <mergeCells count="15">
    <mergeCell ref="C12:F12"/>
    <mergeCell ref="C18:F18"/>
    <mergeCell ref="C25:D25"/>
    <mergeCell ref="B4:C4"/>
    <mergeCell ref="D4:E4"/>
    <mergeCell ref="F4:G4"/>
    <mergeCell ref="B3:K3"/>
    <mergeCell ref="N3:Q3"/>
    <mergeCell ref="H4:I4"/>
    <mergeCell ref="J4:K4"/>
    <mergeCell ref="B5:C5"/>
    <mergeCell ref="D5:E5"/>
    <mergeCell ref="F5:G5"/>
    <mergeCell ref="H5:I5"/>
    <mergeCell ref="J5:K5"/>
  </mergeCells>
  <hyperlinks>
    <hyperlink ref="B4" location="'CT_BestTree'!$B$10:$B$10" display="Best Pruned Tree Rules (Using Validation Data)" xr:uid="{73B38417-8A86-40BB-9B17-8CD435CF0344}"/>
    <hyperlink ref="D4" location="'CT_FullTree'!$B$10:$B$10" display="Fully Grown Tree Rules (Using Training Data)" xr:uid="{AB73FC14-69AC-44CD-A926-0365AA7B1A28}"/>
    <hyperlink ref="F4" location="'CT_MinErrorTree'!$B$10:$B$10" display="Min Error Tree Rules (Using Validation Data)" xr:uid="{CB13ABB2-210B-42A6-BCA2-A8BB5CC94B3C}"/>
    <hyperlink ref="H4" location="'CT_Output'!$B$10:$B$10" display="Inputs" xr:uid="{39953A58-7783-4408-BBD0-23F0260DA3DA}"/>
    <hyperlink ref="J4" location="'CT_Output'!$B$67:$B$67" display="Feature Importance" xr:uid="{38B83A86-2E0F-49DB-B71F-2AA8E46D38F5}"/>
    <hyperlink ref="B5" location="'CT_Stored'!$B$10:$B$10" display="PMML Model" xr:uid="{1DE297BB-79F7-4A40-AA2E-D92754783617}"/>
    <hyperlink ref="D5" location="'CT_TrainingScore'!$B$10:$B$10" display="Training: Classification Summary" xr:uid="{253FC085-0F1A-4144-B443-2520BD9A03AD}"/>
    <hyperlink ref="F5" location="'CT_ValidationScore'!$B$10:$B$10" display="Validation: Classification Summary" xr:uid="{B13F2D94-8DD1-4CC5-A0EC-EDDDD6B86543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6685-F2AB-4F47-906F-85831D1BB3CB}">
  <dimension ref="B1:Q28"/>
  <sheetViews>
    <sheetView showGridLines="0" workbookViewId="0">
      <selection activeCell="D28" sqref="D28"/>
    </sheetView>
  </sheetViews>
  <sheetFormatPr defaultRowHeight="13.2" x14ac:dyDescent="0.25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4" max="14" width="24.33203125" bestFit="1" customWidth="1"/>
  </cols>
  <sheetData>
    <row r="1" spans="2:17" ht="18" x14ac:dyDescent="0.35">
      <c r="B1" s="12" t="s">
        <v>549</v>
      </c>
      <c r="N1" t="s">
        <v>618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128</v>
      </c>
      <c r="O5" s="16">
        <v>151</v>
      </c>
      <c r="P5" s="16">
        <v>7</v>
      </c>
      <c r="Q5" s="16">
        <v>286</v>
      </c>
    </row>
    <row r="10" spans="2:17" ht="18" x14ac:dyDescent="0.35">
      <c r="B10" s="13" t="s">
        <v>548</v>
      </c>
    </row>
    <row r="12" spans="2:17" ht="15.6" x14ac:dyDescent="0.3">
      <c r="C12" s="28" t="s">
        <v>550</v>
      </c>
      <c r="D12" s="28"/>
      <c r="E12" s="28"/>
      <c r="F12" s="28"/>
    </row>
    <row r="13" spans="2:17" x14ac:dyDescent="0.25">
      <c r="C13" s="15" t="s">
        <v>562</v>
      </c>
      <c r="D13" t="s">
        <v>13</v>
      </c>
      <c r="E13" t="s">
        <v>14</v>
      </c>
      <c r="F13" t="s">
        <v>15</v>
      </c>
    </row>
    <row r="14" spans="2:17" x14ac:dyDescent="0.25">
      <c r="C14" s="15" t="s">
        <v>13</v>
      </c>
      <c r="D14" s="14">
        <v>33</v>
      </c>
      <c r="E14" s="14">
        <v>2</v>
      </c>
      <c r="F14">
        <v>0</v>
      </c>
    </row>
    <row r="15" spans="2:17" x14ac:dyDescent="0.25">
      <c r="C15" s="15" t="s">
        <v>14</v>
      </c>
      <c r="D15" s="14">
        <v>3</v>
      </c>
      <c r="E15" s="14">
        <v>50</v>
      </c>
      <c r="F15">
        <v>2</v>
      </c>
    </row>
    <row r="16" spans="2:17" x14ac:dyDescent="0.25">
      <c r="C16" s="15" t="s">
        <v>15</v>
      </c>
      <c r="D16" s="14">
        <v>0</v>
      </c>
      <c r="E16" s="14">
        <v>2</v>
      </c>
      <c r="F16">
        <v>40</v>
      </c>
    </row>
    <row r="18" spans="3:6" ht="15.6" x14ac:dyDescent="0.3">
      <c r="C18" s="28" t="s">
        <v>551</v>
      </c>
      <c r="D18" s="28"/>
      <c r="E18" s="28"/>
      <c r="F18" s="28"/>
    </row>
    <row r="19" spans="3:6" x14ac:dyDescent="0.25">
      <c r="C19" t="s">
        <v>552</v>
      </c>
      <c r="D19" t="s">
        <v>558</v>
      </c>
      <c r="E19" t="s">
        <v>560</v>
      </c>
      <c r="F19" t="s">
        <v>561</v>
      </c>
    </row>
    <row r="20" spans="3:6" x14ac:dyDescent="0.25">
      <c r="C20" s="15" t="s">
        <v>13</v>
      </c>
      <c r="D20">
        <f>SUM($D$14:$F$14)</f>
        <v>35</v>
      </c>
      <c r="E20">
        <f>SUM($D$14:$F$14) - $D$14</f>
        <v>2</v>
      </c>
      <c r="F20">
        <f>IF($D$20=0,"Undefined",$E$20*100 / $D$20)</f>
        <v>5.7142857142857144</v>
      </c>
    </row>
    <row r="21" spans="3:6" x14ac:dyDescent="0.25">
      <c r="C21" s="15" t="s">
        <v>14</v>
      </c>
      <c r="D21">
        <f>SUM($D$15:$F$15)</f>
        <v>55</v>
      </c>
      <c r="E21">
        <f>SUM($D$15:$F$15) - $E$15</f>
        <v>5</v>
      </c>
      <c r="F21">
        <f>IF($D$21=0,"Undefined",$E$21*100 / $D$21)</f>
        <v>9.0909090909090917</v>
      </c>
    </row>
    <row r="22" spans="3:6" x14ac:dyDescent="0.25">
      <c r="C22" s="15" t="s">
        <v>15</v>
      </c>
      <c r="D22">
        <f>SUM($D$16:$F$16)</f>
        <v>42</v>
      </c>
      <c r="E22">
        <f>SUM($D$16:$F$16) - $F$16</f>
        <v>2</v>
      </c>
      <c r="F22">
        <f>IF($D$22=0,"Undefined",$E$22*100 / $D$22)</f>
        <v>4.7619047619047619</v>
      </c>
    </row>
    <row r="23" spans="3:6" x14ac:dyDescent="0.25">
      <c r="C23" s="15" t="s">
        <v>553</v>
      </c>
      <c r="D23">
        <f>SUM($D$20:$D$22)</f>
        <v>132</v>
      </c>
      <c r="E23">
        <f>SUM($E$20:$E$22)</f>
        <v>9</v>
      </c>
      <c r="F23">
        <f>IF($D$23=0,"Undefined",$E$23*100 / $D$23)</f>
        <v>6.8181818181818183</v>
      </c>
    </row>
    <row r="25" spans="3:6" ht="15.6" x14ac:dyDescent="0.3">
      <c r="C25" s="28" t="s">
        <v>554</v>
      </c>
      <c r="D25" s="28"/>
    </row>
    <row r="26" spans="3:6" x14ac:dyDescent="0.25">
      <c r="C26" t="s">
        <v>555</v>
      </c>
      <c r="D26" t="s">
        <v>559</v>
      </c>
    </row>
    <row r="27" spans="3:6" x14ac:dyDescent="0.25">
      <c r="C27" t="s">
        <v>556</v>
      </c>
      <c r="D27">
        <v>123</v>
      </c>
    </row>
    <row r="28" spans="3:6" x14ac:dyDescent="0.25">
      <c r="C28" t="s">
        <v>557</v>
      </c>
      <c r="D28">
        <v>93.181818181818159</v>
      </c>
    </row>
  </sheetData>
  <mergeCells count="15">
    <mergeCell ref="C12:F12"/>
    <mergeCell ref="C18:F18"/>
    <mergeCell ref="C25:D25"/>
    <mergeCell ref="B4:C4"/>
    <mergeCell ref="D4:E4"/>
    <mergeCell ref="F4:G4"/>
    <mergeCell ref="B3:K3"/>
    <mergeCell ref="N3:Q3"/>
    <mergeCell ref="H4:I4"/>
    <mergeCell ref="J4:K4"/>
    <mergeCell ref="B5:C5"/>
    <mergeCell ref="D5:E5"/>
    <mergeCell ref="F5:G5"/>
    <mergeCell ref="H5:I5"/>
    <mergeCell ref="J5:K5"/>
  </mergeCells>
  <hyperlinks>
    <hyperlink ref="B4" location="'CT_BestTree'!$B$10:$B$10" display="Best Pruned Tree Rules (Using Validation Data)" xr:uid="{83CB6DFE-B789-40BD-916F-9BBAFFBBC9B1}"/>
    <hyperlink ref="D4" location="'CT_FullTree'!$B$10:$B$10" display="Fully Grown Tree Rules (Using Training Data)" xr:uid="{13A1F9B6-80A1-4E7F-A26B-C63A354F0F72}"/>
    <hyperlink ref="F4" location="'CT_MinErrorTree'!$B$10:$B$10" display="Min Error Tree Rules (Using Validation Data)" xr:uid="{C59E1083-92DD-4B4C-A4A6-4868E7466EEF}"/>
    <hyperlink ref="H4" location="'CT_Output'!$B$10:$B$10" display="Inputs" xr:uid="{CAC41DD4-0EAB-4A36-BF2C-68CA5D4A9297}"/>
    <hyperlink ref="J4" location="'CT_Output'!$B$67:$B$67" display="Feature Importance" xr:uid="{1C67D467-6F37-4AA3-9AA1-D3202482F1CB}"/>
    <hyperlink ref="B5" location="'CT_Stored'!$B$10:$B$10" display="PMML Model" xr:uid="{C3E1144A-4081-4697-97FD-C6346BA1EA14}"/>
    <hyperlink ref="D5" location="'CT_TrainingScore'!$B$10:$B$10" display="Training: Classification Summary" xr:uid="{E8D9223B-EBB0-4C93-A7C7-0EC65E68ED2B}"/>
    <hyperlink ref="F5" location="'CT_ValidationScore'!$B$10:$B$10" display="Validation: Classification Summary" xr:uid="{10ECFFD5-58C9-40D9-B571-D27397EB6EE8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76AE8-E0F5-4ABF-8579-947F75273C81}">
  <dimension ref="B1:Q181"/>
  <sheetViews>
    <sheetView showGridLines="0" workbookViewId="0"/>
  </sheetViews>
  <sheetFormatPr defaultRowHeight="13.2" x14ac:dyDescent="0.25"/>
  <cols>
    <col min="14" max="14" width="24.33203125" bestFit="1" customWidth="1"/>
  </cols>
  <sheetData>
    <row r="1" spans="2:17" ht="18" x14ac:dyDescent="0.35">
      <c r="B1" s="12" t="s">
        <v>420</v>
      </c>
      <c r="N1" t="s">
        <v>618</v>
      </c>
    </row>
    <row r="3" spans="2:17" ht="15.6" x14ac:dyDescent="0.3">
      <c r="B3" s="28" t="s">
        <v>30</v>
      </c>
      <c r="C3" s="28"/>
      <c r="D3" s="28"/>
      <c r="E3" s="28"/>
      <c r="F3" s="28"/>
      <c r="G3" s="28"/>
      <c r="H3" s="28"/>
      <c r="I3" s="28"/>
      <c r="J3" s="28"/>
      <c r="K3" s="28"/>
      <c r="N3" s="42" t="s">
        <v>53</v>
      </c>
      <c r="O3" s="42"/>
      <c r="P3" s="42"/>
      <c r="Q3" s="42"/>
    </row>
    <row r="4" spans="2:17" ht="13.8" x14ac:dyDescent="0.3">
      <c r="B4" s="20" t="s">
        <v>543</v>
      </c>
      <c r="C4" s="20"/>
      <c r="D4" s="20" t="s">
        <v>544</v>
      </c>
      <c r="E4" s="20"/>
      <c r="F4" s="20" t="s">
        <v>545</v>
      </c>
      <c r="G4" s="20"/>
      <c r="H4" s="20" t="s">
        <v>31</v>
      </c>
      <c r="I4" s="20"/>
      <c r="J4" s="20" t="s">
        <v>546</v>
      </c>
      <c r="K4" s="20"/>
      <c r="N4" s="18" t="s">
        <v>54</v>
      </c>
      <c r="O4" s="18" t="s">
        <v>55</v>
      </c>
      <c r="P4" s="18" t="s">
        <v>56</v>
      </c>
      <c r="Q4" s="18" t="s">
        <v>57</v>
      </c>
    </row>
    <row r="5" spans="2:17" ht="13.8" x14ac:dyDescent="0.3">
      <c r="B5" s="20" t="s">
        <v>421</v>
      </c>
      <c r="C5" s="20"/>
      <c r="D5" s="20" t="s">
        <v>547</v>
      </c>
      <c r="E5" s="20"/>
      <c r="F5" s="20" t="s">
        <v>548</v>
      </c>
      <c r="G5" s="20"/>
      <c r="H5" s="43"/>
      <c r="I5" s="43"/>
      <c r="J5" s="43"/>
      <c r="K5" s="43"/>
      <c r="N5" s="16">
        <v>128</v>
      </c>
      <c r="O5" s="16">
        <v>151</v>
      </c>
      <c r="P5" s="16">
        <v>7</v>
      </c>
      <c r="Q5" s="16">
        <v>286</v>
      </c>
    </row>
    <row r="10" spans="2:17" ht="18" x14ac:dyDescent="0.35">
      <c r="B10" s="13" t="s">
        <v>421</v>
      </c>
    </row>
    <row r="12" spans="2:17" x14ac:dyDescent="0.25">
      <c r="B12" t="s">
        <v>422</v>
      </c>
    </row>
    <row r="13" spans="2:17" x14ac:dyDescent="0.25">
      <c r="B13" t="s">
        <v>423</v>
      </c>
    </row>
    <row r="14" spans="2:17" x14ac:dyDescent="0.25">
      <c r="B14" t="s">
        <v>424</v>
      </c>
    </row>
    <row r="15" spans="2:17" x14ac:dyDescent="0.25">
      <c r="B15" t="s">
        <v>425</v>
      </c>
    </row>
    <row r="16" spans="2:17" x14ac:dyDescent="0.25">
      <c r="B16" t="s">
        <v>617</v>
      </c>
    </row>
    <row r="17" spans="2:2" x14ac:dyDescent="0.25">
      <c r="B17" t="s">
        <v>426</v>
      </c>
    </row>
    <row r="18" spans="2:2" x14ac:dyDescent="0.25">
      <c r="B18" t="s">
        <v>427</v>
      </c>
    </row>
    <row r="19" spans="2:2" x14ac:dyDescent="0.25">
      <c r="B19" t="s">
        <v>428</v>
      </c>
    </row>
    <row r="20" spans="2:2" x14ac:dyDescent="0.25">
      <c r="B20" t="s">
        <v>429</v>
      </c>
    </row>
    <row r="21" spans="2:2" x14ac:dyDescent="0.25">
      <c r="B21" t="s">
        <v>430</v>
      </c>
    </row>
    <row r="22" spans="2:2" x14ac:dyDescent="0.25">
      <c r="B22" t="s">
        <v>431</v>
      </c>
    </row>
    <row r="23" spans="2:2" x14ac:dyDescent="0.25">
      <c r="B23" t="s">
        <v>432</v>
      </c>
    </row>
    <row r="24" spans="2:2" x14ac:dyDescent="0.25">
      <c r="B24" t="s">
        <v>433</v>
      </c>
    </row>
    <row r="25" spans="2:2" x14ac:dyDescent="0.25">
      <c r="B25" t="s">
        <v>434</v>
      </c>
    </row>
    <row r="26" spans="2:2" x14ac:dyDescent="0.25">
      <c r="B26" t="s">
        <v>435</v>
      </c>
    </row>
    <row r="27" spans="2:2" x14ac:dyDescent="0.25">
      <c r="B27" t="s">
        <v>436</v>
      </c>
    </row>
    <row r="28" spans="2:2" x14ac:dyDescent="0.25">
      <c r="B28" t="s">
        <v>437</v>
      </c>
    </row>
    <row r="29" spans="2:2" x14ac:dyDescent="0.25">
      <c r="B29" t="s">
        <v>438</v>
      </c>
    </row>
    <row r="30" spans="2:2" x14ac:dyDescent="0.25">
      <c r="B30" t="s">
        <v>439</v>
      </c>
    </row>
    <row r="31" spans="2:2" x14ac:dyDescent="0.25">
      <c r="B31" t="s">
        <v>440</v>
      </c>
    </row>
    <row r="32" spans="2:2" x14ac:dyDescent="0.25">
      <c r="B32" t="s">
        <v>441</v>
      </c>
    </row>
    <row r="33" spans="2:2" x14ac:dyDescent="0.25">
      <c r="B33" t="s">
        <v>442</v>
      </c>
    </row>
    <row r="34" spans="2:2" x14ac:dyDescent="0.25">
      <c r="B34" t="s">
        <v>443</v>
      </c>
    </row>
    <row r="35" spans="2:2" x14ac:dyDescent="0.25">
      <c r="B35" t="s">
        <v>444</v>
      </c>
    </row>
    <row r="36" spans="2:2" x14ac:dyDescent="0.25">
      <c r="B36" t="s">
        <v>445</v>
      </c>
    </row>
    <row r="37" spans="2:2" x14ac:dyDescent="0.25">
      <c r="B37" t="s">
        <v>446</v>
      </c>
    </row>
    <row r="38" spans="2:2" x14ac:dyDescent="0.25">
      <c r="B38" t="s">
        <v>447</v>
      </c>
    </row>
    <row r="39" spans="2:2" x14ac:dyDescent="0.25">
      <c r="B39" t="s">
        <v>448</v>
      </c>
    </row>
    <row r="40" spans="2:2" x14ac:dyDescent="0.25">
      <c r="B40" t="s">
        <v>449</v>
      </c>
    </row>
    <row r="41" spans="2:2" x14ac:dyDescent="0.25">
      <c r="B41" t="s">
        <v>450</v>
      </c>
    </row>
    <row r="42" spans="2:2" x14ac:dyDescent="0.25">
      <c r="B42" t="s">
        <v>451</v>
      </c>
    </row>
    <row r="43" spans="2:2" x14ac:dyDescent="0.25">
      <c r="B43" t="s">
        <v>452</v>
      </c>
    </row>
    <row r="44" spans="2:2" x14ac:dyDescent="0.25">
      <c r="B44" t="s">
        <v>453</v>
      </c>
    </row>
    <row r="45" spans="2:2" x14ac:dyDescent="0.25">
      <c r="B45" t="s">
        <v>454</v>
      </c>
    </row>
    <row r="46" spans="2:2" x14ac:dyDescent="0.25">
      <c r="B46" t="s">
        <v>455</v>
      </c>
    </row>
    <row r="47" spans="2:2" x14ac:dyDescent="0.25">
      <c r="B47" t="s">
        <v>456</v>
      </c>
    </row>
    <row r="48" spans="2:2" x14ac:dyDescent="0.25">
      <c r="B48" t="s">
        <v>457</v>
      </c>
    </row>
    <row r="49" spans="2:2" x14ac:dyDescent="0.25">
      <c r="B49" t="s">
        <v>458</v>
      </c>
    </row>
    <row r="50" spans="2:2" x14ac:dyDescent="0.25">
      <c r="B50" t="s">
        <v>459</v>
      </c>
    </row>
    <row r="51" spans="2:2" x14ac:dyDescent="0.25">
      <c r="B51" t="s">
        <v>454</v>
      </c>
    </row>
    <row r="52" spans="2:2" x14ac:dyDescent="0.25">
      <c r="B52" t="s">
        <v>455</v>
      </c>
    </row>
    <row r="53" spans="2:2" x14ac:dyDescent="0.25">
      <c r="B53" t="s">
        <v>460</v>
      </c>
    </row>
    <row r="54" spans="2:2" x14ac:dyDescent="0.25">
      <c r="B54" t="s">
        <v>461</v>
      </c>
    </row>
    <row r="55" spans="2:2" x14ac:dyDescent="0.25">
      <c r="B55" t="s">
        <v>462</v>
      </c>
    </row>
    <row r="56" spans="2:2" x14ac:dyDescent="0.25">
      <c r="B56" t="s">
        <v>463</v>
      </c>
    </row>
    <row r="57" spans="2:2" x14ac:dyDescent="0.25">
      <c r="B57" t="s">
        <v>454</v>
      </c>
    </row>
    <row r="58" spans="2:2" x14ac:dyDescent="0.25">
      <c r="B58" t="s">
        <v>455</v>
      </c>
    </row>
    <row r="59" spans="2:2" x14ac:dyDescent="0.25">
      <c r="B59" t="s">
        <v>464</v>
      </c>
    </row>
    <row r="60" spans="2:2" x14ac:dyDescent="0.25">
      <c r="B60" t="s">
        <v>465</v>
      </c>
    </row>
    <row r="61" spans="2:2" x14ac:dyDescent="0.25">
      <c r="B61" t="s">
        <v>466</v>
      </c>
    </row>
    <row r="62" spans="2:2" x14ac:dyDescent="0.25">
      <c r="B62" t="s">
        <v>467</v>
      </c>
    </row>
    <row r="63" spans="2:2" x14ac:dyDescent="0.25">
      <c r="B63" t="s">
        <v>454</v>
      </c>
    </row>
    <row r="64" spans="2:2" x14ac:dyDescent="0.25">
      <c r="B64" t="s">
        <v>455</v>
      </c>
    </row>
    <row r="65" spans="2:2" x14ac:dyDescent="0.25">
      <c r="B65" t="s">
        <v>468</v>
      </c>
    </row>
    <row r="66" spans="2:2" x14ac:dyDescent="0.25">
      <c r="B66" t="s">
        <v>469</v>
      </c>
    </row>
    <row r="67" spans="2:2" x14ac:dyDescent="0.25">
      <c r="B67" t="s">
        <v>470</v>
      </c>
    </row>
    <row r="68" spans="2:2" x14ac:dyDescent="0.25">
      <c r="B68" t="s">
        <v>471</v>
      </c>
    </row>
    <row r="69" spans="2:2" x14ac:dyDescent="0.25">
      <c r="B69" t="s">
        <v>454</v>
      </c>
    </row>
    <row r="70" spans="2:2" x14ac:dyDescent="0.25">
      <c r="B70" t="s">
        <v>455</v>
      </c>
    </row>
    <row r="71" spans="2:2" x14ac:dyDescent="0.25">
      <c r="B71" t="s">
        <v>472</v>
      </c>
    </row>
    <row r="72" spans="2:2" x14ac:dyDescent="0.25">
      <c r="B72" t="s">
        <v>473</v>
      </c>
    </row>
    <row r="73" spans="2:2" x14ac:dyDescent="0.25">
      <c r="B73" t="s">
        <v>474</v>
      </c>
    </row>
    <row r="74" spans="2:2" x14ac:dyDescent="0.25">
      <c r="B74" t="s">
        <v>475</v>
      </c>
    </row>
    <row r="75" spans="2:2" x14ac:dyDescent="0.25">
      <c r="B75" t="s">
        <v>476</v>
      </c>
    </row>
    <row r="76" spans="2:2" x14ac:dyDescent="0.25">
      <c r="B76" t="s">
        <v>477</v>
      </c>
    </row>
    <row r="77" spans="2:2" x14ac:dyDescent="0.25">
      <c r="B77" t="s">
        <v>478</v>
      </c>
    </row>
    <row r="78" spans="2:2" x14ac:dyDescent="0.25">
      <c r="B78" t="s">
        <v>479</v>
      </c>
    </row>
    <row r="79" spans="2:2" x14ac:dyDescent="0.25">
      <c r="B79" t="s">
        <v>480</v>
      </c>
    </row>
    <row r="80" spans="2:2" x14ac:dyDescent="0.25">
      <c r="B80" t="s">
        <v>481</v>
      </c>
    </row>
    <row r="81" spans="2:2" x14ac:dyDescent="0.25">
      <c r="B81" t="s">
        <v>482</v>
      </c>
    </row>
    <row r="82" spans="2:2" x14ac:dyDescent="0.25">
      <c r="B82" t="s">
        <v>483</v>
      </c>
    </row>
    <row r="83" spans="2:2" x14ac:dyDescent="0.25">
      <c r="B83" t="s">
        <v>484</v>
      </c>
    </row>
    <row r="84" spans="2:2" x14ac:dyDescent="0.25">
      <c r="B84" t="s">
        <v>485</v>
      </c>
    </row>
    <row r="85" spans="2:2" x14ac:dyDescent="0.25">
      <c r="B85" t="s">
        <v>486</v>
      </c>
    </row>
    <row r="86" spans="2:2" x14ac:dyDescent="0.25">
      <c r="B86" t="s">
        <v>487</v>
      </c>
    </row>
    <row r="87" spans="2:2" x14ac:dyDescent="0.25">
      <c r="B87" t="s">
        <v>488</v>
      </c>
    </row>
    <row r="88" spans="2:2" x14ac:dyDescent="0.25">
      <c r="B88" t="s">
        <v>489</v>
      </c>
    </row>
    <row r="89" spans="2:2" x14ac:dyDescent="0.25">
      <c r="B89" t="s">
        <v>490</v>
      </c>
    </row>
    <row r="90" spans="2:2" x14ac:dyDescent="0.25">
      <c r="B90" t="s">
        <v>491</v>
      </c>
    </row>
    <row r="91" spans="2:2" x14ac:dyDescent="0.25">
      <c r="B91" t="s">
        <v>492</v>
      </c>
    </row>
    <row r="92" spans="2:2" x14ac:dyDescent="0.25">
      <c r="B92" t="s">
        <v>493</v>
      </c>
    </row>
    <row r="93" spans="2:2" x14ac:dyDescent="0.25">
      <c r="B93" t="s">
        <v>494</v>
      </c>
    </row>
    <row r="94" spans="2:2" x14ac:dyDescent="0.25">
      <c r="B94" t="s">
        <v>495</v>
      </c>
    </row>
    <row r="95" spans="2:2" x14ac:dyDescent="0.25">
      <c r="B95" t="s">
        <v>496</v>
      </c>
    </row>
    <row r="96" spans="2:2" x14ac:dyDescent="0.25">
      <c r="B96" t="s">
        <v>497</v>
      </c>
    </row>
    <row r="97" spans="2:2" x14ac:dyDescent="0.25">
      <c r="B97" t="s">
        <v>498</v>
      </c>
    </row>
    <row r="98" spans="2:2" x14ac:dyDescent="0.25">
      <c r="B98" t="s">
        <v>499</v>
      </c>
    </row>
    <row r="99" spans="2:2" x14ac:dyDescent="0.25">
      <c r="B99" t="s">
        <v>500</v>
      </c>
    </row>
    <row r="100" spans="2:2" x14ac:dyDescent="0.25">
      <c r="B100" t="s">
        <v>501</v>
      </c>
    </row>
    <row r="101" spans="2:2" x14ac:dyDescent="0.25">
      <c r="B101" t="s">
        <v>502</v>
      </c>
    </row>
    <row r="102" spans="2:2" x14ac:dyDescent="0.25">
      <c r="B102" t="s">
        <v>503</v>
      </c>
    </row>
    <row r="103" spans="2:2" x14ac:dyDescent="0.25">
      <c r="B103" t="s">
        <v>504</v>
      </c>
    </row>
    <row r="104" spans="2:2" x14ac:dyDescent="0.25">
      <c r="B104" t="s">
        <v>505</v>
      </c>
    </row>
    <row r="105" spans="2:2" x14ac:dyDescent="0.25">
      <c r="B105" t="s">
        <v>506</v>
      </c>
    </row>
    <row r="106" spans="2:2" x14ac:dyDescent="0.25">
      <c r="B106" t="s">
        <v>507</v>
      </c>
    </row>
    <row r="107" spans="2:2" x14ac:dyDescent="0.25">
      <c r="B107" t="s">
        <v>503</v>
      </c>
    </row>
    <row r="108" spans="2:2" x14ac:dyDescent="0.25">
      <c r="B108" t="s">
        <v>508</v>
      </c>
    </row>
    <row r="109" spans="2:2" x14ac:dyDescent="0.25">
      <c r="B109" t="s">
        <v>505</v>
      </c>
    </row>
    <row r="110" spans="2:2" x14ac:dyDescent="0.25">
      <c r="B110" t="s">
        <v>509</v>
      </c>
    </row>
    <row r="111" spans="2:2" x14ac:dyDescent="0.25">
      <c r="B111" t="s">
        <v>510</v>
      </c>
    </row>
    <row r="112" spans="2:2" x14ac:dyDescent="0.25">
      <c r="B112" t="s">
        <v>503</v>
      </c>
    </row>
    <row r="113" spans="2:2" x14ac:dyDescent="0.25">
      <c r="B113" t="s">
        <v>511</v>
      </c>
    </row>
    <row r="114" spans="2:2" x14ac:dyDescent="0.25">
      <c r="B114" t="s">
        <v>505</v>
      </c>
    </row>
    <row r="115" spans="2:2" x14ac:dyDescent="0.25">
      <c r="B115" t="s">
        <v>512</v>
      </c>
    </row>
    <row r="116" spans="2:2" x14ac:dyDescent="0.25">
      <c r="B116" t="s">
        <v>513</v>
      </c>
    </row>
    <row r="117" spans="2:2" x14ac:dyDescent="0.25">
      <c r="B117" t="s">
        <v>514</v>
      </c>
    </row>
    <row r="118" spans="2:2" x14ac:dyDescent="0.25">
      <c r="B118" t="s">
        <v>503</v>
      </c>
    </row>
    <row r="119" spans="2:2" x14ac:dyDescent="0.25">
      <c r="B119" t="s">
        <v>508</v>
      </c>
    </row>
    <row r="120" spans="2:2" x14ac:dyDescent="0.25">
      <c r="B120" t="s">
        <v>515</v>
      </c>
    </row>
    <row r="121" spans="2:2" x14ac:dyDescent="0.25">
      <c r="B121" t="s">
        <v>512</v>
      </c>
    </row>
    <row r="122" spans="2:2" x14ac:dyDescent="0.25">
      <c r="B122" t="s">
        <v>512</v>
      </c>
    </row>
    <row r="123" spans="2:2" x14ac:dyDescent="0.25">
      <c r="B123" t="s">
        <v>516</v>
      </c>
    </row>
    <row r="124" spans="2:2" x14ac:dyDescent="0.25">
      <c r="B124" t="s">
        <v>517</v>
      </c>
    </row>
    <row r="125" spans="2:2" x14ac:dyDescent="0.25">
      <c r="B125" t="s">
        <v>503</v>
      </c>
    </row>
    <row r="126" spans="2:2" x14ac:dyDescent="0.25">
      <c r="B126" t="s">
        <v>518</v>
      </c>
    </row>
    <row r="127" spans="2:2" x14ac:dyDescent="0.25">
      <c r="B127" t="s">
        <v>515</v>
      </c>
    </row>
    <row r="128" spans="2:2" x14ac:dyDescent="0.25">
      <c r="B128" t="s">
        <v>512</v>
      </c>
    </row>
    <row r="129" spans="2:2" x14ac:dyDescent="0.25">
      <c r="B129" t="s">
        <v>512</v>
      </c>
    </row>
    <row r="130" spans="2:2" x14ac:dyDescent="0.25">
      <c r="B130" t="s">
        <v>519</v>
      </c>
    </row>
    <row r="131" spans="2:2" x14ac:dyDescent="0.25">
      <c r="B131" t="s">
        <v>520</v>
      </c>
    </row>
    <row r="132" spans="2:2" x14ac:dyDescent="0.25">
      <c r="B132" t="s">
        <v>498</v>
      </c>
    </row>
    <row r="133" spans="2:2" x14ac:dyDescent="0.25">
      <c r="B133" t="s">
        <v>521</v>
      </c>
    </row>
    <row r="134" spans="2:2" x14ac:dyDescent="0.25">
      <c r="B134" t="s">
        <v>522</v>
      </c>
    </row>
    <row r="135" spans="2:2" x14ac:dyDescent="0.25">
      <c r="B135" t="s">
        <v>523</v>
      </c>
    </row>
    <row r="136" spans="2:2" x14ac:dyDescent="0.25">
      <c r="B136" t="s">
        <v>524</v>
      </c>
    </row>
    <row r="137" spans="2:2" x14ac:dyDescent="0.25">
      <c r="B137" t="s">
        <v>503</v>
      </c>
    </row>
    <row r="138" spans="2:2" x14ac:dyDescent="0.25">
      <c r="B138" t="s">
        <v>511</v>
      </c>
    </row>
    <row r="139" spans="2:2" x14ac:dyDescent="0.25">
      <c r="B139" t="s">
        <v>522</v>
      </c>
    </row>
    <row r="140" spans="2:2" x14ac:dyDescent="0.25">
      <c r="B140" t="s">
        <v>512</v>
      </c>
    </row>
    <row r="141" spans="2:2" x14ac:dyDescent="0.25">
      <c r="B141" t="s">
        <v>525</v>
      </c>
    </row>
    <row r="142" spans="2:2" x14ac:dyDescent="0.25">
      <c r="B142" t="s">
        <v>526</v>
      </c>
    </row>
    <row r="143" spans="2:2" x14ac:dyDescent="0.25">
      <c r="B143" t="s">
        <v>498</v>
      </c>
    </row>
    <row r="144" spans="2:2" x14ac:dyDescent="0.25">
      <c r="B144" t="s">
        <v>521</v>
      </c>
    </row>
    <row r="145" spans="2:2" x14ac:dyDescent="0.25">
      <c r="B145" t="s">
        <v>515</v>
      </c>
    </row>
    <row r="146" spans="2:2" x14ac:dyDescent="0.25">
      <c r="B146" t="s">
        <v>512</v>
      </c>
    </row>
    <row r="147" spans="2:2" x14ac:dyDescent="0.25">
      <c r="B147" t="s">
        <v>512</v>
      </c>
    </row>
    <row r="148" spans="2:2" x14ac:dyDescent="0.25">
      <c r="B148" t="s">
        <v>512</v>
      </c>
    </row>
    <row r="149" spans="2:2" x14ac:dyDescent="0.25">
      <c r="B149" t="s">
        <v>527</v>
      </c>
    </row>
    <row r="150" spans="2:2" x14ac:dyDescent="0.25">
      <c r="B150" t="s">
        <v>528</v>
      </c>
    </row>
    <row r="151" spans="2:2" x14ac:dyDescent="0.25">
      <c r="B151" t="s">
        <v>529</v>
      </c>
    </row>
    <row r="152" spans="2:2" x14ac:dyDescent="0.25">
      <c r="B152" t="s">
        <v>530</v>
      </c>
    </row>
    <row r="153" spans="2:2" x14ac:dyDescent="0.25">
      <c r="B153" t="s">
        <v>531</v>
      </c>
    </row>
    <row r="154" spans="2:2" x14ac:dyDescent="0.25">
      <c r="B154" t="s">
        <v>532</v>
      </c>
    </row>
    <row r="155" spans="2:2" x14ac:dyDescent="0.25">
      <c r="B155" t="s">
        <v>533</v>
      </c>
    </row>
    <row r="156" spans="2:2" x14ac:dyDescent="0.25">
      <c r="B156" t="s">
        <v>503</v>
      </c>
    </row>
    <row r="157" spans="2:2" x14ac:dyDescent="0.25">
      <c r="B157" t="s">
        <v>508</v>
      </c>
    </row>
    <row r="158" spans="2:2" x14ac:dyDescent="0.25">
      <c r="B158" t="s">
        <v>531</v>
      </c>
    </row>
    <row r="159" spans="2:2" x14ac:dyDescent="0.25">
      <c r="B159" t="s">
        <v>534</v>
      </c>
    </row>
    <row r="160" spans="2:2" x14ac:dyDescent="0.25">
      <c r="B160" t="s">
        <v>535</v>
      </c>
    </row>
    <row r="161" spans="2:2" x14ac:dyDescent="0.25">
      <c r="B161" t="s">
        <v>503</v>
      </c>
    </row>
    <row r="162" spans="2:2" x14ac:dyDescent="0.25">
      <c r="B162" t="s">
        <v>508</v>
      </c>
    </row>
    <row r="163" spans="2:2" x14ac:dyDescent="0.25">
      <c r="B163" t="s">
        <v>515</v>
      </c>
    </row>
    <row r="164" spans="2:2" x14ac:dyDescent="0.25">
      <c r="B164" t="s">
        <v>512</v>
      </c>
    </row>
    <row r="165" spans="2:2" x14ac:dyDescent="0.25">
      <c r="B165" t="s">
        <v>536</v>
      </c>
    </row>
    <row r="166" spans="2:2" x14ac:dyDescent="0.25">
      <c r="B166" t="s">
        <v>537</v>
      </c>
    </row>
    <row r="167" spans="2:2" x14ac:dyDescent="0.25">
      <c r="B167" t="s">
        <v>503</v>
      </c>
    </row>
    <row r="168" spans="2:2" x14ac:dyDescent="0.25">
      <c r="B168" t="s">
        <v>511</v>
      </c>
    </row>
    <row r="169" spans="2:2" x14ac:dyDescent="0.25">
      <c r="B169" t="s">
        <v>531</v>
      </c>
    </row>
    <row r="170" spans="2:2" x14ac:dyDescent="0.25">
      <c r="B170" t="s">
        <v>512</v>
      </c>
    </row>
    <row r="171" spans="2:2" x14ac:dyDescent="0.25">
      <c r="B171" t="s">
        <v>512</v>
      </c>
    </row>
    <row r="172" spans="2:2" x14ac:dyDescent="0.25">
      <c r="B172" t="s">
        <v>538</v>
      </c>
    </row>
    <row r="173" spans="2:2" x14ac:dyDescent="0.25">
      <c r="B173" t="s">
        <v>539</v>
      </c>
    </row>
    <row r="174" spans="2:2" x14ac:dyDescent="0.25">
      <c r="B174" t="s">
        <v>529</v>
      </c>
    </row>
    <row r="175" spans="2:2" x14ac:dyDescent="0.25">
      <c r="B175" t="s">
        <v>540</v>
      </c>
    </row>
    <row r="176" spans="2:2" x14ac:dyDescent="0.25">
      <c r="B176" t="s">
        <v>515</v>
      </c>
    </row>
    <row r="177" spans="2:2" x14ac:dyDescent="0.25">
      <c r="B177" t="s">
        <v>512</v>
      </c>
    </row>
    <row r="178" spans="2:2" x14ac:dyDescent="0.25">
      <c r="B178" t="s">
        <v>512</v>
      </c>
    </row>
    <row r="179" spans="2:2" x14ac:dyDescent="0.25">
      <c r="B179" t="s">
        <v>512</v>
      </c>
    </row>
    <row r="180" spans="2:2" x14ac:dyDescent="0.25">
      <c r="B180" t="s">
        <v>541</v>
      </c>
    </row>
    <row r="181" spans="2:2" x14ac:dyDescent="0.25">
      <c r="B181" t="s">
        <v>542</v>
      </c>
    </row>
  </sheetData>
  <mergeCells count="12">
    <mergeCell ref="B5:C5"/>
    <mergeCell ref="D5:E5"/>
    <mergeCell ref="F5:G5"/>
    <mergeCell ref="H5:I5"/>
    <mergeCell ref="J5:K5"/>
    <mergeCell ref="B3:K3"/>
    <mergeCell ref="N3:Q3"/>
    <mergeCell ref="B4:C4"/>
    <mergeCell ref="D4:E4"/>
    <mergeCell ref="F4:G4"/>
    <mergeCell ref="H4:I4"/>
    <mergeCell ref="J4:K4"/>
  </mergeCells>
  <hyperlinks>
    <hyperlink ref="B4" location="'CT_BestTree'!$B$10:$B$10" display="Best Pruned Tree Rules (Using Validation Data)" xr:uid="{0FE4BE97-A9EA-40B4-B9D9-7FA3ACD8587F}"/>
    <hyperlink ref="D4" location="'CT_FullTree'!$B$10:$B$10" display="Fully Grown Tree Rules (Using Training Data)" xr:uid="{FE7CC69B-6430-46C5-BBEE-70235EFBF202}"/>
    <hyperlink ref="F4" location="'CT_MinErrorTree'!$B$10:$B$10" display="Min Error Tree Rules (Using Validation Data)" xr:uid="{BC6C290C-E61F-4E60-A0F8-9FAB4564CDE3}"/>
    <hyperlink ref="H4" location="'CT_Output'!$B$10:$B$10" display="Inputs" xr:uid="{7491ED0E-99C9-407F-8E07-9905E813F978}"/>
    <hyperlink ref="J4" location="'CT_Output'!$B$67:$B$67" display="Feature Importance" xr:uid="{06D3E127-7D92-4D9A-A394-882A9C205818}"/>
    <hyperlink ref="B5" location="'CT_Stored'!$B$10:$B$10" display="PMML Model" xr:uid="{E1BEE3C6-07E4-41D3-A84D-089BD4EDCC62}"/>
    <hyperlink ref="D5" location="'CT_TrainingScore'!$B$10:$B$10" display="Training: Classification Summary" xr:uid="{76F05DE0-4766-4E32-BEAE-730040B4815B}"/>
    <hyperlink ref="F5" location="'CT_ValidationScore'!$B$10:$B$10" display="Validation: Classification Summary" xr:uid="{CAEEF5BD-9418-4D56-B32A-EAB9F82B8C27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selection activeCell="G4" sqref="G4"/>
    </sheetView>
  </sheetViews>
  <sheetFormatPr defaultRowHeight="13.2" x14ac:dyDescent="0.25"/>
  <sheetData>
    <row r="1" spans="1:14" s="2" customFormat="1" ht="1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18</v>
      </c>
      <c r="N1" s="6" t="s">
        <v>12</v>
      </c>
    </row>
    <row r="2" spans="1:14" x14ac:dyDescent="0.25">
      <c r="A2" s="7" t="s">
        <v>21</v>
      </c>
      <c r="B2" s="8">
        <v>13.73</v>
      </c>
      <c r="C2" s="8">
        <v>4.3600000000000003</v>
      </c>
      <c r="D2" s="8">
        <v>2.2599999999999998</v>
      </c>
      <c r="E2" s="8">
        <v>22.5</v>
      </c>
      <c r="F2" s="8">
        <v>88</v>
      </c>
      <c r="G2" s="8">
        <v>1.28</v>
      </c>
      <c r="H2" s="8">
        <v>0.47</v>
      </c>
      <c r="I2" s="8">
        <v>0.52</v>
      </c>
      <c r="J2" s="8">
        <v>1.1499999999999999</v>
      </c>
      <c r="K2" s="8">
        <v>6.62</v>
      </c>
      <c r="L2" s="8">
        <v>0.78</v>
      </c>
      <c r="M2" s="8">
        <v>1.75</v>
      </c>
      <c r="N2" s="8">
        <v>520</v>
      </c>
    </row>
    <row r="3" spans="1:14" x14ac:dyDescent="0.25">
      <c r="A3" s="7" t="s">
        <v>21</v>
      </c>
      <c r="B3" s="8">
        <v>13.45</v>
      </c>
      <c r="C3" s="8">
        <v>3.7</v>
      </c>
      <c r="D3" s="8">
        <v>2.6</v>
      </c>
      <c r="E3" s="8">
        <v>23</v>
      </c>
      <c r="F3" s="8">
        <v>111</v>
      </c>
      <c r="G3" s="8">
        <v>1.7</v>
      </c>
      <c r="H3" s="8">
        <v>0.92</v>
      </c>
      <c r="I3" s="8">
        <v>0.43</v>
      </c>
      <c r="J3" s="8">
        <v>1.46</v>
      </c>
      <c r="K3" s="8">
        <v>10.68</v>
      </c>
      <c r="L3" s="8">
        <v>0.85</v>
      </c>
      <c r="M3" s="8">
        <v>1.56</v>
      </c>
      <c r="N3" s="8">
        <v>695</v>
      </c>
    </row>
    <row r="4" spans="1:14" x14ac:dyDescent="0.25">
      <c r="A4" s="7" t="s">
        <v>21</v>
      </c>
      <c r="B4" s="8">
        <v>12.82</v>
      </c>
      <c r="C4" s="8">
        <v>3.37</v>
      </c>
      <c r="D4" s="8">
        <v>2.2999999999999998</v>
      </c>
      <c r="E4" s="8">
        <v>19.5</v>
      </c>
      <c r="F4" s="8">
        <v>88</v>
      </c>
      <c r="G4" s="8">
        <v>1.48</v>
      </c>
      <c r="H4" s="8">
        <v>0.66</v>
      </c>
      <c r="I4" s="8">
        <v>0.4</v>
      </c>
      <c r="J4" s="8">
        <v>0.97</v>
      </c>
      <c r="K4" s="8">
        <v>10.26</v>
      </c>
      <c r="L4" s="8">
        <v>0.72</v>
      </c>
      <c r="M4" s="8">
        <v>1.75</v>
      </c>
      <c r="N4" s="8">
        <v>685</v>
      </c>
    </row>
    <row r="5" spans="1:14" x14ac:dyDescent="0.25">
      <c r="A5" s="7" t="s">
        <v>21</v>
      </c>
      <c r="B5" s="8">
        <v>12.52</v>
      </c>
      <c r="C5" s="8">
        <v>2.4300000000000002</v>
      </c>
      <c r="D5" s="8">
        <v>2.17</v>
      </c>
      <c r="E5" s="8">
        <v>21</v>
      </c>
      <c r="F5" s="8">
        <v>88</v>
      </c>
      <c r="G5" s="8">
        <v>2.5499999999999998</v>
      </c>
      <c r="H5" s="8">
        <v>2.27</v>
      </c>
      <c r="I5" s="8">
        <v>0.26</v>
      </c>
      <c r="J5" s="8">
        <v>1.22</v>
      </c>
      <c r="K5" s="8">
        <v>2</v>
      </c>
      <c r="L5" s="8">
        <v>0.9</v>
      </c>
      <c r="M5" s="8">
        <v>2.78</v>
      </c>
      <c r="N5" s="8">
        <v>325</v>
      </c>
    </row>
    <row r="6" spans="1:14" x14ac:dyDescent="0.25">
      <c r="A6" s="7" t="s">
        <v>21</v>
      </c>
      <c r="B6" s="8">
        <v>11.76</v>
      </c>
      <c r="C6" s="8">
        <v>2.68</v>
      </c>
      <c r="D6" s="8">
        <v>2.92</v>
      </c>
      <c r="E6" s="8">
        <v>20</v>
      </c>
      <c r="F6" s="8">
        <v>103</v>
      </c>
      <c r="G6" s="8">
        <v>1.75</v>
      </c>
      <c r="H6" s="8">
        <v>2.0299999999999998</v>
      </c>
      <c r="I6" s="8">
        <v>0.6</v>
      </c>
      <c r="J6" s="8">
        <v>1.05</v>
      </c>
      <c r="K6" s="8">
        <v>3.8</v>
      </c>
      <c r="L6" s="8">
        <v>1.23</v>
      </c>
      <c r="M6" s="8">
        <v>2.5</v>
      </c>
      <c r="N6" s="8">
        <v>607</v>
      </c>
    </row>
    <row r="7" spans="1:14" x14ac:dyDescent="0.25">
      <c r="A7" s="7" t="s">
        <v>21</v>
      </c>
      <c r="B7" s="8">
        <v>11.41</v>
      </c>
      <c r="C7" s="8">
        <v>0.74</v>
      </c>
      <c r="D7" s="8">
        <v>2.5</v>
      </c>
      <c r="E7" s="8">
        <v>21</v>
      </c>
      <c r="F7" s="8">
        <v>88</v>
      </c>
      <c r="G7" s="8">
        <v>2.48</v>
      </c>
      <c r="H7" s="8">
        <v>2.0099999999999998</v>
      </c>
      <c r="I7" s="8">
        <v>0.42</v>
      </c>
      <c r="J7" s="8">
        <v>1.44</v>
      </c>
      <c r="K7" s="8">
        <v>3.08</v>
      </c>
      <c r="L7" s="8">
        <v>1.1000000000000001</v>
      </c>
      <c r="M7" s="8">
        <v>2.31</v>
      </c>
      <c r="N7" s="8">
        <v>434</v>
      </c>
    </row>
    <row r="8" spans="1:14" x14ac:dyDescent="0.25">
      <c r="A8" s="7" t="s">
        <v>21</v>
      </c>
      <c r="B8" s="8">
        <v>12.08</v>
      </c>
      <c r="C8" s="8">
        <v>1.39</v>
      </c>
      <c r="D8" s="8">
        <v>2.5</v>
      </c>
      <c r="E8" s="8">
        <v>22.5</v>
      </c>
      <c r="F8" s="8">
        <v>84</v>
      </c>
      <c r="G8" s="8">
        <v>2.56</v>
      </c>
      <c r="H8" s="8">
        <v>2.29</v>
      </c>
      <c r="I8" s="8">
        <v>0.43</v>
      </c>
      <c r="J8" s="8">
        <v>1.04</v>
      </c>
      <c r="K8" s="8">
        <v>2.9</v>
      </c>
      <c r="L8" s="8">
        <v>0.93</v>
      </c>
      <c r="M8" s="8">
        <v>3.19</v>
      </c>
      <c r="N8" s="8">
        <v>385</v>
      </c>
    </row>
    <row r="9" spans="1:14" x14ac:dyDescent="0.25">
      <c r="A9" s="7" t="s">
        <v>21</v>
      </c>
      <c r="B9" s="8">
        <v>11.03</v>
      </c>
      <c r="C9" s="8">
        <v>1.51</v>
      </c>
      <c r="D9" s="8">
        <v>2.2000000000000002</v>
      </c>
      <c r="E9" s="8">
        <v>21.5</v>
      </c>
      <c r="F9" s="8">
        <v>85</v>
      </c>
      <c r="G9" s="8">
        <v>2.46</v>
      </c>
      <c r="H9" s="8">
        <v>2.17</v>
      </c>
      <c r="I9" s="8">
        <v>0.52</v>
      </c>
      <c r="J9" s="8">
        <v>2.0099999999999998</v>
      </c>
      <c r="K9" s="8">
        <v>1.9</v>
      </c>
      <c r="L9" s="8">
        <v>1.71</v>
      </c>
      <c r="M9" s="8">
        <v>2.87</v>
      </c>
      <c r="N9" s="8">
        <v>407</v>
      </c>
    </row>
    <row r="10" spans="1:14" x14ac:dyDescent="0.25">
      <c r="A10" s="7" t="s">
        <v>21</v>
      </c>
      <c r="B10" s="8">
        <v>11.82</v>
      </c>
      <c r="C10" s="8">
        <v>1.47</v>
      </c>
      <c r="D10" s="8">
        <v>1.99</v>
      </c>
      <c r="E10" s="8">
        <v>20.8</v>
      </c>
      <c r="F10" s="8">
        <v>86</v>
      </c>
      <c r="G10" s="8">
        <v>1.98</v>
      </c>
      <c r="H10" s="8">
        <v>1.6</v>
      </c>
      <c r="I10" s="8">
        <v>0.3</v>
      </c>
      <c r="J10" s="8">
        <v>1.53</v>
      </c>
      <c r="K10" s="8">
        <v>1.95</v>
      </c>
      <c r="L10" s="8">
        <v>0.95</v>
      </c>
      <c r="M10" s="8">
        <v>3.33</v>
      </c>
      <c r="N10" s="8">
        <v>495</v>
      </c>
    </row>
    <row r="11" spans="1:14" x14ac:dyDescent="0.25">
      <c r="A11" s="7" t="s">
        <v>21</v>
      </c>
      <c r="B11" s="8">
        <v>13.28</v>
      </c>
      <c r="C11" s="8">
        <v>1.64</v>
      </c>
      <c r="D11" s="8">
        <v>2.84</v>
      </c>
      <c r="E11" s="8">
        <v>15.5</v>
      </c>
      <c r="F11" s="8">
        <v>110</v>
      </c>
      <c r="G11" s="8">
        <v>2.6</v>
      </c>
      <c r="H11" s="8">
        <v>2.68</v>
      </c>
      <c r="I11" s="8">
        <v>0.34</v>
      </c>
      <c r="J11" s="8">
        <v>1.36</v>
      </c>
      <c r="K11" s="8">
        <v>4.5999999999999996</v>
      </c>
      <c r="L11" s="8">
        <v>1.0900000000000001</v>
      </c>
      <c r="M11" s="8">
        <v>2.78</v>
      </c>
      <c r="N11" s="8">
        <v>880</v>
      </c>
    </row>
    <row r="12" spans="1:14" x14ac:dyDescent="0.25">
      <c r="A12" s="7" t="s">
        <v>21</v>
      </c>
      <c r="B12" s="8">
        <v>13.05</v>
      </c>
      <c r="C12" s="8">
        <v>1.65</v>
      </c>
      <c r="D12" s="8">
        <v>2.5499999999999998</v>
      </c>
      <c r="E12" s="8">
        <v>18</v>
      </c>
      <c r="F12" s="8">
        <v>98</v>
      </c>
      <c r="G12" s="8">
        <v>2.4500000000000002</v>
      </c>
      <c r="H12" s="8">
        <v>2.4300000000000002</v>
      </c>
      <c r="I12" s="8">
        <v>0.28999999999999998</v>
      </c>
      <c r="J12" s="8">
        <v>1.44</v>
      </c>
      <c r="K12" s="8">
        <v>4.25</v>
      </c>
      <c r="L12" s="8">
        <v>1.1200000000000001</v>
      </c>
      <c r="M12" s="8">
        <v>2.5099999999999998</v>
      </c>
      <c r="N12" s="8">
        <v>1105</v>
      </c>
    </row>
    <row r="13" spans="1:14" x14ac:dyDescent="0.25">
      <c r="A13" s="7" t="s">
        <v>21</v>
      </c>
      <c r="B13" s="8">
        <v>13.07</v>
      </c>
      <c r="C13" s="8">
        <v>1.5</v>
      </c>
      <c r="D13" s="8">
        <v>2.1</v>
      </c>
      <c r="E13" s="8">
        <v>15.5</v>
      </c>
      <c r="F13" s="8">
        <v>98</v>
      </c>
      <c r="G13" s="8">
        <v>2.4</v>
      </c>
      <c r="H13" s="8">
        <v>2.64</v>
      </c>
      <c r="I13" s="8">
        <v>0.28000000000000003</v>
      </c>
      <c r="J13" s="8">
        <v>1.37</v>
      </c>
      <c r="K13" s="8">
        <v>3.7</v>
      </c>
      <c r="L13" s="8">
        <v>1.18</v>
      </c>
      <c r="M13" s="8">
        <v>2.69</v>
      </c>
      <c r="N13" s="8">
        <v>1020</v>
      </c>
    </row>
    <row r="14" spans="1:14" x14ac:dyDescent="0.25">
      <c r="A14" s="7" t="s">
        <v>21</v>
      </c>
      <c r="B14" s="8">
        <v>14.22</v>
      </c>
      <c r="C14" s="8">
        <v>3.99</v>
      </c>
      <c r="D14" s="8">
        <v>2.5099999999999998</v>
      </c>
      <c r="E14" s="8">
        <v>13.2</v>
      </c>
      <c r="F14" s="8">
        <v>128</v>
      </c>
      <c r="G14" s="8">
        <v>3</v>
      </c>
      <c r="H14" s="8">
        <v>3.04</v>
      </c>
      <c r="I14" s="8">
        <v>0.2</v>
      </c>
      <c r="J14" s="8">
        <v>2.08</v>
      </c>
      <c r="K14" s="8">
        <v>5.0999999999999996</v>
      </c>
      <c r="L14" s="8">
        <v>0.89</v>
      </c>
      <c r="M14" s="8">
        <v>3.53</v>
      </c>
      <c r="N14" s="8">
        <v>760</v>
      </c>
    </row>
    <row r="15" spans="1:14" x14ac:dyDescent="0.25">
      <c r="A15" s="7" t="s">
        <v>21</v>
      </c>
      <c r="B15" s="8">
        <v>13.56</v>
      </c>
      <c r="C15" s="8">
        <v>1.71</v>
      </c>
      <c r="D15" s="8">
        <v>2.31</v>
      </c>
      <c r="E15" s="8">
        <v>16.2</v>
      </c>
      <c r="F15" s="8">
        <v>117</v>
      </c>
      <c r="G15" s="8">
        <v>3.15</v>
      </c>
      <c r="H15" s="8">
        <v>3.29</v>
      </c>
      <c r="I15" s="8">
        <v>0.34</v>
      </c>
      <c r="J15" s="8">
        <v>2.34</v>
      </c>
      <c r="K15" s="8">
        <v>6.13</v>
      </c>
      <c r="L15" s="8">
        <v>0.95</v>
      </c>
      <c r="M15" s="8">
        <v>3.38</v>
      </c>
      <c r="N15" s="8">
        <v>795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611F3-E3C0-41E7-B78A-D4875C94D5AC}">
  <dimension ref="B1:CV47"/>
  <sheetViews>
    <sheetView showGridLines="0" topLeftCell="A23" workbookViewId="0">
      <selection activeCell="H37" sqref="H37"/>
    </sheetView>
  </sheetViews>
  <sheetFormatPr defaultRowHeight="13.2" x14ac:dyDescent="0.25"/>
  <cols>
    <col min="3" max="3" width="11.5546875" customWidth="1"/>
    <col min="5" max="5" width="17" customWidth="1"/>
    <col min="6" max="6" width="19.6640625" customWidth="1"/>
    <col min="7" max="7" width="13.88671875" customWidth="1"/>
    <col min="8" max="8" width="22.6640625" customWidth="1"/>
    <col min="9" max="9" width="20.33203125" customWidth="1"/>
    <col min="10" max="10" width="29.109375" bestFit="1" customWidth="1"/>
    <col min="11" max="11" width="19.88671875" customWidth="1"/>
    <col min="12" max="12" width="29.88671875" customWidth="1"/>
    <col min="13" max="13" width="25.33203125" customWidth="1"/>
    <col min="14" max="14" width="23.77734375" customWidth="1"/>
    <col min="15" max="15" width="14" customWidth="1"/>
    <col min="16" max="16" width="23.109375" customWidth="1"/>
    <col min="17" max="17" width="16.6640625" customWidth="1"/>
  </cols>
  <sheetData>
    <row r="1" spans="2:100" ht="18" x14ac:dyDescent="0.35">
      <c r="B1" s="12" t="s">
        <v>29</v>
      </c>
      <c r="N1" t="s">
        <v>782</v>
      </c>
      <c r="CV1" s="19" t="s">
        <v>783</v>
      </c>
    </row>
    <row r="3" spans="2:100" ht="15.6" x14ac:dyDescent="0.3">
      <c r="B3" s="21" t="s">
        <v>30</v>
      </c>
      <c r="C3" s="22"/>
      <c r="D3" s="22"/>
      <c r="E3" s="23"/>
      <c r="J3" s="21" t="s">
        <v>53</v>
      </c>
      <c r="K3" s="22"/>
      <c r="L3" s="22"/>
      <c r="M3" s="23"/>
    </row>
    <row r="4" spans="2:100" ht="13.8" x14ac:dyDescent="0.3">
      <c r="B4" s="20" t="s">
        <v>31</v>
      </c>
      <c r="C4" s="20"/>
      <c r="D4" s="20" t="s">
        <v>32</v>
      </c>
      <c r="E4" s="20"/>
      <c r="J4" s="18" t="s">
        <v>54</v>
      </c>
      <c r="K4" s="18" t="s">
        <v>55</v>
      </c>
      <c r="L4" s="18" t="s">
        <v>56</v>
      </c>
      <c r="M4" s="18" t="s">
        <v>57</v>
      </c>
    </row>
    <row r="5" spans="2:100" ht="13.8" x14ac:dyDescent="0.3">
      <c r="J5" s="16">
        <v>199</v>
      </c>
      <c r="K5" s="16">
        <v>1</v>
      </c>
      <c r="L5" s="16">
        <v>0</v>
      </c>
      <c r="M5" s="16">
        <v>200</v>
      </c>
    </row>
    <row r="10" spans="2:100" ht="18" x14ac:dyDescent="0.35">
      <c r="B10" s="13" t="s">
        <v>31</v>
      </c>
    </row>
    <row r="12" spans="2:100" ht="15.6" x14ac:dyDescent="0.3">
      <c r="C12" s="28" t="s">
        <v>33</v>
      </c>
      <c r="D12" s="28"/>
      <c r="E12" s="28"/>
      <c r="F12" s="28"/>
      <c r="G12" s="28"/>
      <c r="H12" s="28"/>
      <c r="I12" s="28"/>
    </row>
    <row r="13" spans="2:100" ht="13.8" x14ac:dyDescent="0.3">
      <c r="C13" s="24" t="s">
        <v>34</v>
      </c>
      <c r="D13" s="24"/>
      <c r="E13" s="25"/>
      <c r="F13" s="29" t="s">
        <v>48</v>
      </c>
      <c r="G13" s="29"/>
      <c r="H13" s="29"/>
      <c r="I13" s="29"/>
    </row>
    <row r="14" spans="2:100" ht="13.8" x14ac:dyDescent="0.3">
      <c r="C14" s="24" t="s">
        <v>35</v>
      </c>
      <c r="D14" s="24"/>
      <c r="E14" s="25"/>
      <c r="F14" s="29" t="s">
        <v>780</v>
      </c>
      <c r="G14" s="29"/>
      <c r="H14" s="29"/>
      <c r="I14" s="29"/>
    </row>
    <row r="15" spans="2:100" ht="13.8" x14ac:dyDescent="0.3">
      <c r="C15" s="24" t="s">
        <v>36</v>
      </c>
      <c r="D15" s="24"/>
      <c r="E15" s="25"/>
      <c r="F15" s="29" t="s">
        <v>781</v>
      </c>
      <c r="G15" s="29"/>
      <c r="H15" s="29"/>
      <c r="I15" s="29"/>
    </row>
    <row r="16" spans="2:100" ht="13.8" x14ac:dyDescent="0.3">
      <c r="C16" s="24" t="s">
        <v>37</v>
      </c>
      <c r="D16" s="24"/>
      <c r="E16" s="25"/>
      <c r="F16" s="27">
        <v>14</v>
      </c>
      <c r="G16" s="27"/>
      <c r="H16" s="27"/>
      <c r="I16" s="27"/>
    </row>
    <row r="18" spans="2:19" ht="15.6" x14ac:dyDescent="0.3">
      <c r="C18" s="28" t="s">
        <v>38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</row>
    <row r="19" spans="2:19" ht="13.8" x14ac:dyDescent="0.3">
      <c r="C19" s="24" t="s">
        <v>39</v>
      </c>
      <c r="D19" s="24"/>
      <c r="E19" s="25"/>
      <c r="F19" s="27">
        <v>14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</row>
    <row r="20" spans="2:19" ht="13.8" x14ac:dyDescent="0.3">
      <c r="C20" s="24" t="s">
        <v>40</v>
      </c>
      <c r="D20" s="24"/>
      <c r="E20" s="25"/>
      <c r="F20" s="16" t="s">
        <v>0</v>
      </c>
      <c r="G20" s="16" t="s">
        <v>1</v>
      </c>
      <c r="H20" s="16" t="s">
        <v>2</v>
      </c>
      <c r="I20" s="16" t="s">
        <v>3</v>
      </c>
      <c r="J20" s="16" t="s">
        <v>4</v>
      </c>
      <c r="K20" s="16" t="s">
        <v>5</v>
      </c>
      <c r="L20" s="16" t="s">
        <v>6</v>
      </c>
      <c r="M20" s="16" t="s">
        <v>7</v>
      </c>
      <c r="N20" s="16" t="s">
        <v>8</v>
      </c>
      <c r="O20" s="16" t="s">
        <v>9</v>
      </c>
      <c r="P20" s="16" t="s">
        <v>10</v>
      </c>
      <c r="Q20" s="16" t="s">
        <v>11</v>
      </c>
      <c r="R20" s="16" t="s">
        <v>18</v>
      </c>
      <c r="S20" s="16" t="s">
        <v>12</v>
      </c>
    </row>
    <row r="22" spans="2:19" ht="15.6" x14ac:dyDescent="0.3">
      <c r="C22" s="28" t="s">
        <v>41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spans="2:19" ht="13.8" x14ac:dyDescent="0.3">
      <c r="C23" s="24" t="s">
        <v>42</v>
      </c>
      <c r="D23" s="24"/>
      <c r="E23" s="25"/>
      <c r="F23" s="17" t="s">
        <v>0</v>
      </c>
      <c r="G23" s="17" t="s">
        <v>1</v>
      </c>
      <c r="H23" s="17" t="s">
        <v>2</v>
      </c>
      <c r="I23" s="17" t="s">
        <v>3</v>
      </c>
      <c r="J23" s="17" t="s">
        <v>4</v>
      </c>
      <c r="K23" s="17" t="s">
        <v>5</v>
      </c>
      <c r="L23" s="17" t="s">
        <v>6</v>
      </c>
      <c r="M23" s="17" t="s">
        <v>7</v>
      </c>
      <c r="N23" s="17" t="s">
        <v>8</v>
      </c>
      <c r="O23" s="17" t="s">
        <v>9</v>
      </c>
      <c r="P23" s="17" t="s">
        <v>10</v>
      </c>
      <c r="Q23" s="17" t="s">
        <v>11</v>
      </c>
      <c r="R23" s="17" t="s">
        <v>18</v>
      </c>
      <c r="S23" s="17" t="s">
        <v>12</v>
      </c>
    </row>
    <row r="24" spans="2:19" ht="13.8" x14ac:dyDescent="0.3">
      <c r="C24" s="24" t="s">
        <v>43</v>
      </c>
      <c r="D24" s="24"/>
      <c r="E24" s="25"/>
      <c r="F24" s="17" t="s">
        <v>50</v>
      </c>
      <c r="G24" s="17" t="s">
        <v>52</v>
      </c>
      <c r="H24" s="17" t="s">
        <v>52</v>
      </c>
      <c r="I24" s="17" t="s">
        <v>52</v>
      </c>
      <c r="J24" s="17" t="s">
        <v>52</v>
      </c>
      <c r="K24" s="17" t="s">
        <v>52</v>
      </c>
      <c r="L24" s="17" t="s">
        <v>52</v>
      </c>
      <c r="M24" s="17" t="s">
        <v>52</v>
      </c>
      <c r="N24" s="17" t="s">
        <v>52</v>
      </c>
      <c r="O24" s="17" t="s">
        <v>52</v>
      </c>
      <c r="P24" s="17" t="s">
        <v>52</v>
      </c>
      <c r="Q24" s="17" t="s">
        <v>52</v>
      </c>
      <c r="R24" s="17" t="s">
        <v>52</v>
      </c>
      <c r="S24" s="17" t="s">
        <v>52</v>
      </c>
    </row>
    <row r="25" spans="2:19" ht="13.8" x14ac:dyDescent="0.3">
      <c r="C25" s="24" t="s">
        <v>44</v>
      </c>
      <c r="D25" s="24"/>
      <c r="E25" s="25"/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</row>
    <row r="26" spans="2:19" ht="13.8" x14ac:dyDescent="0.3">
      <c r="C26" s="24" t="s">
        <v>45</v>
      </c>
      <c r="D26" s="24"/>
      <c r="E26" s="25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</row>
    <row r="27" spans="2:19" ht="13.8" x14ac:dyDescent="0.3">
      <c r="C27" s="24" t="s">
        <v>46</v>
      </c>
      <c r="D27" s="24"/>
      <c r="E27" s="25"/>
      <c r="F27" s="27">
        <v>14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</row>
    <row r="28" spans="2:19" ht="13.8" x14ac:dyDescent="0.3">
      <c r="C28" s="24" t="s">
        <v>47</v>
      </c>
      <c r="D28" s="24"/>
      <c r="E28" s="25"/>
      <c r="F28" s="27">
        <v>0</v>
      </c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</row>
    <row r="31" spans="2:19" ht="18" x14ac:dyDescent="0.35">
      <c r="B31" s="13" t="s">
        <v>32</v>
      </c>
    </row>
    <row r="33" spans="3:17" x14ac:dyDescent="0.25">
      <c r="C33" s="15" t="s">
        <v>60</v>
      </c>
      <c r="D33" t="s">
        <v>0</v>
      </c>
      <c r="E33" t="s">
        <v>61</v>
      </c>
      <c r="F33" t="s">
        <v>62</v>
      </c>
      <c r="G33" t="s">
        <v>63</v>
      </c>
      <c r="H33" t="s">
        <v>64</v>
      </c>
      <c r="I33" t="s">
        <v>65</v>
      </c>
      <c r="J33" t="s">
        <v>66</v>
      </c>
      <c r="K33" t="s">
        <v>67</v>
      </c>
      <c r="L33" t="s">
        <v>68</v>
      </c>
      <c r="M33" t="s">
        <v>69</v>
      </c>
      <c r="N33" t="s">
        <v>70</v>
      </c>
      <c r="O33" t="s">
        <v>71</v>
      </c>
      <c r="P33" t="s">
        <v>72</v>
      </c>
      <c r="Q33" t="s">
        <v>73</v>
      </c>
    </row>
    <row r="34" spans="3:17" x14ac:dyDescent="0.25">
      <c r="C34" s="15" t="s">
        <v>74</v>
      </c>
      <c r="D34" s="14" t="s">
        <v>21</v>
      </c>
      <c r="E34" s="14">
        <v>13.73</v>
      </c>
      <c r="F34" s="14">
        <v>4.3600000000000003</v>
      </c>
      <c r="G34" s="14">
        <v>2.2599999999999998</v>
      </c>
      <c r="H34" s="14">
        <v>22.5</v>
      </c>
      <c r="I34" s="14">
        <v>88</v>
      </c>
      <c r="J34" s="14">
        <v>1.28</v>
      </c>
      <c r="K34" s="14">
        <v>0.47</v>
      </c>
      <c r="L34" s="14">
        <v>0.52</v>
      </c>
      <c r="M34" s="14">
        <v>1.1499999999999999</v>
      </c>
      <c r="N34" s="14">
        <v>6.62</v>
      </c>
      <c r="O34" s="14">
        <v>0.78</v>
      </c>
      <c r="P34" s="14">
        <v>1.75</v>
      </c>
      <c r="Q34">
        <v>520</v>
      </c>
    </row>
    <row r="35" spans="3:17" x14ac:dyDescent="0.25">
      <c r="C35" s="15" t="s">
        <v>75</v>
      </c>
      <c r="D35" s="14" t="s">
        <v>21</v>
      </c>
      <c r="E35" s="14">
        <v>13.45</v>
      </c>
      <c r="F35" s="14">
        <v>3.7</v>
      </c>
      <c r="G35" s="14">
        <v>2.6</v>
      </c>
      <c r="H35" s="14">
        <v>23</v>
      </c>
      <c r="I35" s="14">
        <v>111</v>
      </c>
      <c r="J35" s="14">
        <v>1.7</v>
      </c>
      <c r="K35" s="14">
        <v>0.92</v>
      </c>
      <c r="L35" s="14">
        <v>0.43</v>
      </c>
      <c r="M35" s="14">
        <v>1.46</v>
      </c>
      <c r="N35" s="14">
        <v>10.68</v>
      </c>
      <c r="O35" s="14">
        <v>0.85</v>
      </c>
      <c r="P35" s="14">
        <v>1.56</v>
      </c>
      <c r="Q35">
        <v>695</v>
      </c>
    </row>
    <row r="36" spans="3:17" x14ac:dyDescent="0.25">
      <c r="C36" s="15" t="s">
        <v>76</v>
      </c>
      <c r="D36" s="14" t="s">
        <v>21</v>
      </c>
      <c r="E36" s="14">
        <v>12.82</v>
      </c>
      <c r="F36" s="14">
        <v>3.37</v>
      </c>
      <c r="G36" s="14">
        <v>2.2999999999999998</v>
      </c>
      <c r="H36" s="14">
        <v>19.5</v>
      </c>
      <c r="I36" s="14">
        <v>88</v>
      </c>
      <c r="J36" s="14">
        <v>1.48</v>
      </c>
      <c r="K36" s="14">
        <v>0.66</v>
      </c>
      <c r="L36" s="14">
        <v>0.4</v>
      </c>
      <c r="M36" s="14">
        <v>0.97</v>
      </c>
      <c r="N36" s="14">
        <v>10.26</v>
      </c>
      <c r="O36" s="14">
        <v>0.72</v>
      </c>
      <c r="P36" s="14">
        <v>1.75</v>
      </c>
      <c r="Q36">
        <v>685</v>
      </c>
    </row>
    <row r="37" spans="3:17" x14ac:dyDescent="0.25">
      <c r="C37" s="15" t="s">
        <v>77</v>
      </c>
      <c r="D37" s="14" t="s">
        <v>21</v>
      </c>
      <c r="E37" s="14">
        <v>12.52</v>
      </c>
      <c r="F37" s="14">
        <v>2.4300000000000002</v>
      </c>
      <c r="G37" s="14">
        <v>2.17</v>
      </c>
      <c r="H37" s="14">
        <v>21</v>
      </c>
      <c r="I37" s="14">
        <v>88</v>
      </c>
      <c r="J37" s="14">
        <v>2.5499999999999998</v>
      </c>
      <c r="K37" s="14">
        <v>2.27</v>
      </c>
      <c r="L37" s="14">
        <v>0.26</v>
      </c>
      <c r="M37" s="14">
        <v>1.22</v>
      </c>
      <c r="N37" s="14">
        <v>2</v>
      </c>
      <c r="O37" s="14">
        <v>0.9</v>
      </c>
      <c r="P37" s="14">
        <v>2.78</v>
      </c>
      <c r="Q37">
        <v>325</v>
      </c>
    </row>
    <row r="38" spans="3:17" x14ac:dyDescent="0.25">
      <c r="C38" s="15" t="s">
        <v>78</v>
      </c>
      <c r="D38" s="14" t="s">
        <v>21</v>
      </c>
      <c r="E38" s="14">
        <v>11.76</v>
      </c>
      <c r="F38" s="14">
        <v>2.68</v>
      </c>
      <c r="G38" s="14">
        <v>2.92</v>
      </c>
      <c r="H38" s="14">
        <v>20</v>
      </c>
      <c r="I38" s="14">
        <v>103</v>
      </c>
      <c r="J38" s="14">
        <v>1.75</v>
      </c>
      <c r="K38" s="14">
        <v>2.0299999999999998</v>
      </c>
      <c r="L38" s="14">
        <v>0.6</v>
      </c>
      <c r="M38" s="14">
        <v>1.05</v>
      </c>
      <c r="N38" s="14">
        <v>3.8</v>
      </c>
      <c r="O38" s="14">
        <v>1.23</v>
      </c>
      <c r="P38" s="14">
        <v>2.5</v>
      </c>
      <c r="Q38">
        <v>607</v>
      </c>
    </row>
    <row r="39" spans="3:17" x14ac:dyDescent="0.25">
      <c r="C39" s="15" t="s">
        <v>79</v>
      </c>
      <c r="D39" s="14" t="s">
        <v>21</v>
      </c>
      <c r="E39" s="14">
        <v>11.41</v>
      </c>
      <c r="F39" s="14">
        <v>0.74</v>
      </c>
      <c r="G39" s="14">
        <v>2.5</v>
      </c>
      <c r="H39" s="14">
        <v>21</v>
      </c>
      <c r="I39" s="14">
        <v>88</v>
      </c>
      <c r="J39" s="14">
        <v>2.48</v>
      </c>
      <c r="K39" s="14">
        <v>2.0099999999999998</v>
      </c>
      <c r="L39" s="14">
        <v>0.42</v>
      </c>
      <c r="M39" s="14">
        <v>1.44</v>
      </c>
      <c r="N39" s="14">
        <v>3.08</v>
      </c>
      <c r="O39" s="14">
        <v>1.1000000000000001</v>
      </c>
      <c r="P39" s="14">
        <v>2.31</v>
      </c>
      <c r="Q39">
        <v>434</v>
      </c>
    </row>
    <row r="40" spans="3:17" x14ac:dyDescent="0.25">
      <c r="C40" s="15" t="s">
        <v>80</v>
      </c>
      <c r="D40" s="14" t="s">
        <v>21</v>
      </c>
      <c r="E40" s="14">
        <v>12.08</v>
      </c>
      <c r="F40" s="14">
        <v>1.39</v>
      </c>
      <c r="G40" s="14">
        <v>2.5</v>
      </c>
      <c r="H40" s="14">
        <v>22.5</v>
      </c>
      <c r="I40" s="14">
        <v>84</v>
      </c>
      <c r="J40" s="14">
        <v>2.56</v>
      </c>
      <c r="K40" s="14">
        <v>2.29</v>
      </c>
      <c r="L40" s="14">
        <v>0.43</v>
      </c>
      <c r="M40" s="14">
        <v>1.04</v>
      </c>
      <c r="N40" s="14">
        <v>2.9</v>
      </c>
      <c r="O40" s="14">
        <v>0.93</v>
      </c>
      <c r="P40" s="14">
        <v>3.19</v>
      </c>
      <c r="Q40">
        <v>385</v>
      </c>
    </row>
    <row r="41" spans="3:17" x14ac:dyDescent="0.25">
      <c r="C41" s="15" t="s">
        <v>81</v>
      </c>
      <c r="D41" s="14" t="s">
        <v>21</v>
      </c>
      <c r="E41" s="14">
        <v>11.03</v>
      </c>
      <c r="F41" s="14">
        <v>1.51</v>
      </c>
      <c r="G41" s="14">
        <v>2.2000000000000002</v>
      </c>
      <c r="H41" s="14">
        <v>21.5</v>
      </c>
      <c r="I41" s="14">
        <v>85</v>
      </c>
      <c r="J41" s="14">
        <v>2.46</v>
      </c>
      <c r="K41" s="14">
        <v>2.17</v>
      </c>
      <c r="L41" s="14">
        <v>0.52</v>
      </c>
      <c r="M41" s="14">
        <v>2.0099999999999998</v>
      </c>
      <c r="N41" s="14">
        <v>1.9</v>
      </c>
      <c r="O41" s="14">
        <v>1.71</v>
      </c>
      <c r="P41" s="14">
        <v>2.87</v>
      </c>
      <c r="Q41">
        <v>407</v>
      </c>
    </row>
    <row r="42" spans="3:17" x14ac:dyDescent="0.25">
      <c r="C42" s="15" t="s">
        <v>82</v>
      </c>
      <c r="D42" s="14" t="s">
        <v>21</v>
      </c>
      <c r="E42" s="14">
        <v>11.82</v>
      </c>
      <c r="F42" s="14">
        <v>1.47</v>
      </c>
      <c r="G42" s="14">
        <v>1.99</v>
      </c>
      <c r="H42" s="14">
        <v>20.8</v>
      </c>
      <c r="I42" s="14">
        <v>86</v>
      </c>
      <c r="J42" s="14">
        <v>1.98</v>
      </c>
      <c r="K42" s="14">
        <v>1.6</v>
      </c>
      <c r="L42" s="14">
        <v>0.3</v>
      </c>
      <c r="M42" s="14">
        <v>1.53</v>
      </c>
      <c r="N42" s="14">
        <v>1.95</v>
      </c>
      <c r="O42" s="14">
        <v>0.95</v>
      </c>
      <c r="P42" s="14">
        <v>3.33</v>
      </c>
      <c r="Q42">
        <v>495</v>
      </c>
    </row>
    <row r="43" spans="3:17" x14ac:dyDescent="0.25">
      <c r="C43" s="15" t="s">
        <v>83</v>
      </c>
      <c r="D43" s="14" t="s">
        <v>21</v>
      </c>
      <c r="E43" s="14">
        <v>13.28</v>
      </c>
      <c r="F43" s="14">
        <v>1.64</v>
      </c>
      <c r="G43" s="14">
        <v>2.84</v>
      </c>
      <c r="H43" s="14">
        <v>15.5</v>
      </c>
      <c r="I43" s="14">
        <v>110</v>
      </c>
      <c r="J43" s="14">
        <v>2.6</v>
      </c>
      <c r="K43" s="14">
        <v>2.68</v>
      </c>
      <c r="L43" s="14">
        <v>0.34</v>
      </c>
      <c r="M43" s="14">
        <v>1.36</v>
      </c>
      <c r="N43" s="14">
        <v>4.5999999999999996</v>
      </c>
      <c r="O43" s="14">
        <v>1.0900000000000001</v>
      </c>
      <c r="P43" s="14">
        <v>2.78</v>
      </c>
      <c r="Q43">
        <v>880</v>
      </c>
    </row>
    <row r="44" spans="3:17" x14ac:dyDescent="0.25">
      <c r="C44" s="15" t="s">
        <v>84</v>
      </c>
      <c r="D44" s="14" t="s">
        <v>21</v>
      </c>
      <c r="E44" s="14">
        <v>13.05</v>
      </c>
      <c r="F44" s="14">
        <v>1.65</v>
      </c>
      <c r="G44" s="14">
        <v>2.5499999999999998</v>
      </c>
      <c r="H44" s="14">
        <v>18</v>
      </c>
      <c r="I44" s="14">
        <v>98</v>
      </c>
      <c r="J44" s="14">
        <v>2.4500000000000002</v>
      </c>
      <c r="K44" s="14">
        <v>2.4300000000000002</v>
      </c>
      <c r="L44" s="14">
        <v>0.28999999999999998</v>
      </c>
      <c r="M44" s="14">
        <v>1.44</v>
      </c>
      <c r="N44" s="14">
        <v>4.25</v>
      </c>
      <c r="O44" s="14">
        <v>1.1200000000000001</v>
      </c>
      <c r="P44" s="14">
        <v>2.5099999999999998</v>
      </c>
      <c r="Q44">
        <v>1105</v>
      </c>
    </row>
    <row r="45" spans="3:17" x14ac:dyDescent="0.25">
      <c r="C45" s="15" t="s">
        <v>85</v>
      </c>
      <c r="D45" s="14" t="s">
        <v>21</v>
      </c>
      <c r="E45" s="14">
        <v>13.07</v>
      </c>
      <c r="F45" s="14">
        <v>1.5</v>
      </c>
      <c r="G45" s="14">
        <v>2.1</v>
      </c>
      <c r="H45" s="14">
        <v>15.5</v>
      </c>
      <c r="I45" s="14">
        <v>98</v>
      </c>
      <c r="J45" s="14">
        <v>2.4</v>
      </c>
      <c r="K45" s="14">
        <v>2.64</v>
      </c>
      <c r="L45" s="14">
        <v>0.28000000000000003</v>
      </c>
      <c r="M45" s="14">
        <v>1.37</v>
      </c>
      <c r="N45" s="14">
        <v>3.7</v>
      </c>
      <c r="O45" s="14">
        <v>1.18</v>
      </c>
      <c r="P45" s="14">
        <v>2.69</v>
      </c>
      <c r="Q45">
        <v>1020</v>
      </c>
    </row>
    <row r="46" spans="3:17" x14ac:dyDescent="0.25">
      <c r="C46" s="15" t="s">
        <v>86</v>
      </c>
      <c r="D46" s="14" t="s">
        <v>21</v>
      </c>
      <c r="E46" s="14">
        <v>14.22</v>
      </c>
      <c r="F46" s="14">
        <v>3.99</v>
      </c>
      <c r="G46" s="14">
        <v>2.5099999999999998</v>
      </c>
      <c r="H46" s="14">
        <v>13.2</v>
      </c>
      <c r="I46" s="14">
        <v>128</v>
      </c>
      <c r="J46" s="14">
        <v>3</v>
      </c>
      <c r="K46" s="14">
        <v>3.04</v>
      </c>
      <c r="L46" s="14">
        <v>0.2</v>
      </c>
      <c r="M46" s="14">
        <v>2.08</v>
      </c>
      <c r="N46" s="14">
        <v>5.0999999999999996</v>
      </c>
      <c r="O46" s="14">
        <v>0.89</v>
      </c>
      <c r="P46" s="14">
        <v>3.53</v>
      </c>
      <c r="Q46">
        <v>760</v>
      </c>
    </row>
    <row r="47" spans="3:17" x14ac:dyDescent="0.25">
      <c r="C47" s="15" t="s">
        <v>87</v>
      </c>
      <c r="D47" s="14" t="s">
        <v>21</v>
      </c>
      <c r="E47" s="14">
        <v>13.56</v>
      </c>
      <c r="F47" s="14">
        <v>1.71</v>
      </c>
      <c r="G47" s="14">
        <v>2.31</v>
      </c>
      <c r="H47" s="14">
        <v>16.2</v>
      </c>
      <c r="I47" s="14">
        <v>117</v>
      </c>
      <c r="J47" s="14">
        <v>3.15</v>
      </c>
      <c r="K47" s="14">
        <v>3.29</v>
      </c>
      <c r="L47" s="14">
        <v>0.34</v>
      </c>
      <c r="M47" s="14">
        <v>2.34</v>
      </c>
      <c r="N47" s="14">
        <v>6.13</v>
      </c>
      <c r="O47" s="14">
        <v>0.95</v>
      </c>
      <c r="P47" s="14">
        <v>3.38</v>
      </c>
      <c r="Q47">
        <v>795</v>
      </c>
    </row>
  </sheetData>
  <mergeCells count="27">
    <mergeCell ref="F13:I13"/>
    <mergeCell ref="F14:I14"/>
    <mergeCell ref="F15:I15"/>
    <mergeCell ref="F16:I16"/>
    <mergeCell ref="C25:E25"/>
    <mergeCell ref="C26:E26"/>
    <mergeCell ref="C27:E27"/>
    <mergeCell ref="C28:E28"/>
    <mergeCell ref="F26:S26"/>
    <mergeCell ref="F27:S27"/>
    <mergeCell ref="F28:S28"/>
    <mergeCell ref="B4:C4"/>
    <mergeCell ref="D4:E4"/>
    <mergeCell ref="B3:E3"/>
    <mergeCell ref="J3:M3"/>
    <mergeCell ref="C24:E24"/>
    <mergeCell ref="C18:S18"/>
    <mergeCell ref="C19:E19"/>
    <mergeCell ref="C20:E20"/>
    <mergeCell ref="F19:S19"/>
    <mergeCell ref="C22:S22"/>
    <mergeCell ref="C23:E23"/>
    <mergeCell ref="C12:I12"/>
    <mergeCell ref="C13:E13"/>
    <mergeCell ref="C14:E14"/>
    <mergeCell ref="C15:E15"/>
    <mergeCell ref="C16:E16"/>
  </mergeCells>
  <hyperlinks>
    <hyperlink ref="B4" location="'Imputation1'!$B$10:$B$10" display="Inputs" xr:uid="{45416B30-02D1-409A-ABD3-EF0CDD4C2DA3}"/>
    <hyperlink ref="D4" location="'Imputation1'!$B$31:$B$31" display="Transformed Data" xr:uid="{C66079D9-B1F7-4DB9-890C-86805AB35277}"/>
  </hyperlinks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25D7-6E3A-4B2F-86C6-B0C25AD3ECB0}">
  <dimension ref="B1:R39"/>
  <sheetViews>
    <sheetView showGridLines="0" topLeftCell="A14" workbookViewId="0">
      <selection activeCell="Q15" sqref="Q15"/>
    </sheetView>
  </sheetViews>
  <sheetFormatPr defaultRowHeight="13.2" x14ac:dyDescent="0.25"/>
  <cols>
    <col min="3" max="3" width="11.5546875" customWidth="1"/>
    <col min="4" max="4" width="17.21875" customWidth="1"/>
    <col min="5" max="5" width="13.5546875" customWidth="1"/>
    <col min="6" max="6" width="14" bestFit="1" customWidth="1"/>
    <col min="7" max="7" width="16.33203125" bestFit="1" customWidth="1"/>
    <col min="8" max="8" width="10.6640625" bestFit="1" customWidth="1"/>
    <col min="9" max="9" width="18.88671875" bestFit="1" customWidth="1"/>
    <col min="10" max="10" width="17" bestFit="1" customWidth="1"/>
    <col min="11" max="11" width="18.88671875" bestFit="1" customWidth="1"/>
    <col min="12" max="12" width="16.109375" bestFit="1" customWidth="1"/>
    <col min="13" max="13" width="25.5546875" bestFit="1" customWidth="1"/>
    <col min="14" max="14" width="24.33203125" bestFit="1" customWidth="1"/>
    <col min="15" max="15" width="19.77734375" bestFit="1" customWidth="1"/>
    <col min="16" max="16" width="10.88671875" bestFit="1" customWidth="1"/>
    <col min="17" max="17" width="19.5546875" bestFit="1" customWidth="1"/>
    <col min="18" max="18" width="13.33203125" bestFit="1" customWidth="1"/>
  </cols>
  <sheetData>
    <row r="1" spans="2:14" ht="18" x14ac:dyDescent="0.35">
      <c r="B1" s="12" t="s">
        <v>849</v>
      </c>
      <c r="N1" t="s">
        <v>855</v>
      </c>
    </row>
    <row r="3" spans="2:14" ht="15.6" x14ac:dyDescent="0.3">
      <c r="B3" s="28" t="s">
        <v>30</v>
      </c>
      <c r="C3" s="28"/>
      <c r="D3" s="28"/>
      <c r="E3" s="28"/>
      <c r="J3" s="42" t="s">
        <v>53</v>
      </c>
      <c r="K3" s="42"/>
      <c r="L3" s="42"/>
      <c r="M3" s="42"/>
    </row>
    <row r="4" spans="2:14" ht="13.8" x14ac:dyDescent="0.3">
      <c r="B4" s="20" t="s">
        <v>31</v>
      </c>
      <c r="C4" s="20"/>
      <c r="D4" s="20" t="s">
        <v>850</v>
      </c>
      <c r="E4" s="20"/>
      <c r="J4" s="18" t="s">
        <v>54</v>
      </c>
      <c r="K4" s="18" t="s">
        <v>55</v>
      </c>
      <c r="L4" s="18" t="s">
        <v>56</v>
      </c>
      <c r="M4" s="18" t="s">
        <v>57</v>
      </c>
    </row>
    <row r="5" spans="2:14" ht="13.8" x14ac:dyDescent="0.3">
      <c r="J5" s="16">
        <v>430</v>
      </c>
      <c r="K5" s="16">
        <v>1</v>
      </c>
      <c r="L5" s="16">
        <v>1</v>
      </c>
      <c r="M5" s="16">
        <v>432</v>
      </c>
    </row>
    <row r="10" spans="2:14" ht="18" x14ac:dyDescent="0.35">
      <c r="B10" s="13" t="s">
        <v>31</v>
      </c>
    </row>
    <row r="12" spans="2:14" ht="15.6" x14ac:dyDescent="0.3">
      <c r="C12" s="28" t="s">
        <v>33</v>
      </c>
      <c r="D12" s="28"/>
      <c r="E12" s="28"/>
      <c r="F12" s="28"/>
      <c r="G12" s="28"/>
      <c r="H12" s="28"/>
      <c r="I12" s="28"/>
    </row>
    <row r="13" spans="2:14" ht="13.8" x14ac:dyDescent="0.3">
      <c r="C13" s="24" t="s">
        <v>34</v>
      </c>
      <c r="D13" s="24"/>
      <c r="E13" s="25"/>
      <c r="F13" s="29" t="s">
        <v>48</v>
      </c>
      <c r="G13" s="29"/>
      <c r="H13" s="29"/>
      <c r="I13" s="29"/>
    </row>
    <row r="14" spans="2:14" ht="13.8" x14ac:dyDescent="0.3">
      <c r="C14" s="24" t="s">
        <v>35</v>
      </c>
      <c r="D14" s="24"/>
      <c r="E14" s="25"/>
      <c r="F14" s="29" t="s">
        <v>853</v>
      </c>
      <c r="G14" s="29"/>
      <c r="H14" s="29"/>
      <c r="I14" s="29"/>
    </row>
    <row r="15" spans="2:14" ht="13.8" x14ac:dyDescent="0.3">
      <c r="C15" s="24" t="s">
        <v>36</v>
      </c>
      <c r="D15" s="24"/>
      <c r="E15" s="25"/>
      <c r="F15" s="29" t="s">
        <v>854</v>
      </c>
      <c r="G15" s="29"/>
      <c r="H15" s="29"/>
      <c r="I15" s="29"/>
    </row>
    <row r="16" spans="2:14" ht="13.8" x14ac:dyDescent="0.3">
      <c r="C16" s="24" t="s">
        <v>37</v>
      </c>
      <c r="D16" s="24"/>
      <c r="E16" s="25"/>
      <c r="F16" s="27">
        <v>14</v>
      </c>
      <c r="G16" s="27"/>
      <c r="H16" s="27"/>
      <c r="I16" s="27"/>
    </row>
    <row r="18" spans="2:18" ht="15.6" x14ac:dyDescent="0.3">
      <c r="C18" s="28" t="s">
        <v>38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</row>
    <row r="19" spans="2:18" ht="13.8" x14ac:dyDescent="0.3">
      <c r="C19" s="24" t="s">
        <v>581</v>
      </c>
      <c r="D19" s="24"/>
      <c r="E19" s="25"/>
      <c r="F19" s="27">
        <v>13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</row>
    <row r="20" spans="2:18" ht="13.8" x14ac:dyDescent="0.3">
      <c r="C20" s="24" t="s">
        <v>851</v>
      </c>
      <c r="D20" s="24"/>
      <c r="E20" s="25"/>
      <c r="F20" s="16" t="s">
        <v>61</v>
      </c>
      <c r="G20" s="16" t="s">
        <v>62</v>
      </c>
      <c r="H20" s="16" t="s">
        <v>63</v>
      </c>
      <c r="I20" s="16" t="s">
        <v>64</v>
      </c>
      <c r="J20" s="16" t="s">
        <v>65</v>
      </c>
      <c r="K20" s="16" t="s">
        <v>66</v>
      </c>
      <c r="L20" s="16" t="s">
        <v>67</v>
      </c>
      <c r="M20" s="16" t="s">
        <v>68</v>
      </c>
      <c r="N20" s="16" t="s">
        <v>69</v>
      </c>
      <c r="O20" s="16" t="s">
        <v>70</v>
      </c>
      <c r="P20" s="16" t="s">
        <v>71</v>
      </c>
      <c r="Q20" s="16" t="s">
        <v>72</v>
      </c>
      <c r="R20" s="16" t="s">
        <v>73</v>
      </c>
    </row>
    <row r="21" spans="2:18" ht="13.8" x14ac:dyDescent="0.3">
      <c r="C21" s="24" t="s">
        <v>852</v>
      </c>
      <c r="D21" s="24"/>
      <c r="E21" s="25"/>
      <c r="F21" s="16" t="s">
        <v>61</v>
      </c>
      <c r="G21" s="16" t="s">
        <v>62</v>
      </c>
      <c r="H21" s="16" t="s">
        <v>63</v>
      </c>
      <c r="I21" s="16" t="s">
        <v>64</v>
      </c>
      <c r="J21" s="16" t="s">
        <v>65</v>
      </c>
      <c r="K21" s="16" t="s">
        <v>66</v>
      </c>
      <c r="L21" s="16" t="s">
        <v>67</v>
      </c>
      <c r="M21" s="16" t="s">
        <v>68</v>
      </c>
      <c r="N21" s="16" t="s">
        <v>69</v>
      </c>
      <c r="O21" s="16" t="s">
        <v>70</v>
      </c>
      <c r="P21" s="16" t="s">
        <v>71</v>
      </c>
      <c r="Q21" s="16" t="s">
        <v>72</v>
      </c>
      <c r="R21" s="16" t="s">
        <v>73</v>
      </c>
    </row>
    <row r="23" spans="2:18" ht="18" x14ac:dyDescent="0.35">
      <c r="B23" s="13" t="s">
        <v>850</v>
      </c>
    </row>
    <row r="25" spans="2:18" x14ac:dyDescent="0.25">
      <c r="C25" s="15" t="s">
        <v>60</v>
      </c>
      <c r="D25" t="s">
        <v>856</v>
      </c>
      <c r="E25" t="s">
        <v>857</v>
      </c>
      <c r="F25" t="s">
        <v>858</v>
      </c>
      <c r="G25" t="s">
        <v>859</v>
      </c>
    </row>
    <row r="26" spans="2:18" x14ac:dyDescent="0.25">
      <c r="C26" s="15" t="s">
        <v>74</v>
      </c>
      <c r="D26" s="14" t="s">
        <v>15</v>
      </c>
      <c r="E26" s="14">
        <v>0</v>
      </c>
      <c r="F26" s="14">
        <v>0</v>
      </c>
      <c r="G26">
        <v>1</v>
      </c>
    </row>
    <row r="27" spans="2:18" x14ac:dyDescent="0.25">
      <c r="C27" s="15" t="s">
        <v>75</v>
      </c>
      <c r="D27" s="14" t="s">
        <v>15</v>
      </c>
      <c r="E27" s="14">
        <v>0</v>
      </c>
      <c r="F27" s="14">
        <v>0</v>
      </c>
      <c r="G27">
        <v>1</v>
      </c>
    </row>
    <row r="28" spans="2:18" x14ac:dyDescent="0.25">
      <c r="C28" s="15" t="s">
        <v>76</v>
      </c>
      <c r="D28" s="14" t="s">
        <v>15</v>
      </c>
      <c r="E28" s="14">
        <v>0</v>
      </c>
      <c r="F28" s="14">
        <v>0</v>
      </c>
      <c r="G28">
        <v>1</v>
      </c>
    </row>
    <row r="29" spans="2:18" x14ac:dyDescent="0.25">
      <c r="C29" s="15" t="s">
        <v>77</v>
      </c>
      <c r="D29" s="14" t="s">
        <v>14</v>
      </c>
      <c r="E29" s="14">
        <v>0</v>
      </c>
      <c r="F29" s="14">
        <v>1</v>
      </c>
      <c r="G29">
        <v>0</v>
      </c>
    </row>
    <row r="30" spans="2:18" x14ac:dyDescent="0.25">
      <c r="C30" s="15" t="s">
        <v>78</v>
      </c>
      <c r="D30" s="14" t="s">
        <v>14</v>
      </c>
      <c r="E30" s="14">
        <v>0</v>
      </c>
      <c r="F30" s="14">
        <v>1</v>
      </c>
      <c r="G30">
        <v>0</v>
      </c>
    </row>
    <row r="31" spans="2:18" x14ac:dyDescent="0.25">
      <c r="C31" s="15" t="s">
        <v>79</v>
      </c>
      <c r="D31" s="14" t="s">
        <v>14</v>
      </c>
      <c r="E31" s="14">
        <v>0</v>
      </c>
      <c r="F31" s="14">
        <v>1</v>
      </c>
      <c r="G31">
        <v>0</v>
      </c>
    </row>
    <row r="32" spans="2:18" x14ac:dyDescent="0.25">
      <c r="C32" s="15" t="s">
        <v>80</v>
      </c>
      <c r="D32" s="14" t="s">
        <v>14</v>
      </c>
      <c r="E32" s="14">
        <v>0</v>
      </c>
      <c r="F32" s="14">
        <v>1</v>
      </c>
      <c r="G32">
        <v>0</v>
      </c>
    </row>
    <row r="33" spans="3:7" x14ac:dyDescent="0.25">
      <c r="C33" s="15" t="s">
        <v>81</v>
      </c>
      <c r="D33" s="14" t="s">
        <v>14</v>
      </c>
      <c r="E33" s="14">
        <v>0</v>
      </c>
      <c r="F33" s="14">
        <v>1</v>
      </c>
      <c r="G33">
        <v>0</v>
      </c>
    </row>
    <row r="34" spans="3:7" x14ac:dyDescent="0.25">
      <c r="C34" s="15" t="s">
        <v>82</v>
      </c>
      <c r="D34" s="14" t="s">
        <v>14</v>
      </c>
      <c r="E34" s="14">
        <v>0</v>
      </c>
      <c r="F34" s="14">
        <v>1</v>
      </c>
      <c r="G34">
        <v>0</v>
      </c>
    </row>
    <row r="35" spans="3:7" x14ac:dyDescent="0.25">
      <c r="C35" s="15" t="s">
        <v>83</v>
      </c>
      <c r="D35" s="14" t="s">
        <v>13</v>
      </c>
      <c r="E35" s="14">
        <v>1</v>
      </c>
      <c r="F35" s="14">
        <v>0</v>
      </c>
      <c r="G35">
        <v>0</v>
      </c>
    </row>
    <row r="36" spans="3:7" x14ac:dyDescent="0.25">
      <c r="C36" s="15" t="s">
        <v>84</v>
      </c>
      <c r="D36" s="14" t="s">
        <v>13</v>
      </c>
      <c r="E36" s="14">
        <v>1</v>
      </c>
      <c r="F36" s="14">
        <v>0</v>
      </c>
      <c r="G36">
        <v>0</v>
      </c>
    </row>
    <row r="37" spans="3:7" x14ac:dyDescent="0.25">
      <c r="C37" s="15" t="s">
        <v>85</v>
      </c>
      <c r="D37" s="14" t="s">
        <v>13</v>
      </c>
      <c r="E37" s="14">
        <v>1</v>
      </c>
      <c r="F37" s="14">
        <v>0</v>
      </c>
      <c r="G37">
        <v>0</v>
      </c>
    </row>
    <row r="38" spans="3:7" x14ac:dyDescent="0.25">
      <c r="C38" s="15" t="s">
        <v>86</v>
      </c>
      <c r="D38" s="14" t="s">
        <v>13</v>
      </c>
      <c r="E38" s="14">
        <v>1</v>
      </c>
      <c r="F38" s="14">
        <v>0</v>
      </c>
      <c r="G38">
        <v>0</v>
      </c>
    </row>
    <row r="39" spans="3:7" x14ac:dyDescent="0.25">
      <c r="C39" s="15" t="s">
        <v>87</v>
      </c>
      <c r="D39" s="14" t="s">
        <v>13</v>
      </c>
      <c r="E39" s="14">
        <v>1</v>
      </c>
      <c r="F39" s="14">
        <v>0</v>
      </c>
      <c r="G39">
        <v>0</v>
      </c>
    </row>
  </sheetData>
  <mergeCells count="18">
    <mergeCell ref="C21:E21"/>
    <mergeCell ref="F19:R19"/>
    <mergeCell ref="B4:C4"/>
    <mergeCell ref="D4:E4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B3:E3"/>
    <mergeCell ref="J3:M3"/>
    <mergeCell ref="C18:R18"/>
    <mergeCell ref="C19:E19"/>
    <mergeCell ref="C20:E20"/>
  </mergeCells>
  <hyperlinks>
    <hyperlink ref="B4" location="'Scoring_DecisionTree'!$B$10:$B$10" display="Inputs" xr:uid="{FF36B495-A945-4975-8751-A9346CD880D3}"/>
    <hyperlink ref="D4" location="'Scoring_DecisionTree'!$B$23:$B$23" display="Scoring" xr:uid="{F61A5ACE-B511-4C94-9641-807C31B167E6}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Description</vt:lpstr>
      <vt:lpstr>Data</vt:lpstr>
      <vt:lpstr>Imputation</vt:lpstr>
      <vt:lpstr>STDPartition5</vt:lpstr>
      <vt:lpstr>CT_Output5</vt:lpstr>
      <vt:lpstr>CT_FullTree5</vt:lpstr>
      <vt:lpstr>CT_BestTree5</vt:lpstr>
      <vt:lpstr>CT_MinErrorTree5</vt:lpstr>
      <vt:lpstr>CT_TrainingScore5</vt:lpstr>
      <vt:lpstr>CT_ValidationScore5</vt:lpstr>
      <vt:lpstr>CT_Stored5</vt:lpstr>
      <vt:lpstr>STDPartition4</vt:lpstr>
      <vt:lpstr>CT_Output4</vt:lpstr>
      <vt:lpstr>CT_FullTree4</vt:lpstr>
      <vt:lpstr>CT_BestTree4</vt:lpstr>
      <vt:lpstr>CT_MinErrorTree4</vt:lpstr>
      <vt:lpstr>CT_TrainingScore4</vt:lpstr>
      <vt:lpstr>CT_ValidationScore4</vt:lpstr>
      <vt:lpstr>CT_Stored4</vt:lpstr>
      <vt:lpstr>STDPartition3</vt:lpstr>
      <vt:lpstr>CT_Output3</vt:lpstr>
      <vt:lpstr>CT_FullTree3</vt:lpstr>
      <vt:lpstr>CT_BestTree3</vt:lpstr>
      <vt:lpstr>CT_MinErrorTree3</vt:lpstr>
      <vt:lpstr>CT_TrainingScore3</vt:lpstr>
      <vt:lpstr>CT_ValidationScore3</vt:lpstr>
      <vt:lpstr>CT_Stored3</vt:lpstr>
      <vt:lpstr>STDPartition2</vt:lpstr>
      <vt:lpstr>CT_Output2</vt:lpstr>
      <vt:lpstr>CT_FullTree2</vt:lpstr>
      <vt:lpstr>CT_BestTree2</vt:lpstr>
      <vt:lpstr>CT_MinErrorTree2</vt:lpstr>
      <vt:lpstr>CT_TrainingScore2</vt:lpstr>
      <vt:lpstr>CT_ValidationScore2</vt:lpstr>
      <vt:lpstr>CT_Stored2</vt:lpstr>
      <vt:lpstr>STDPartition1</vt:lpstr>
      <vt:lpstr>CT_Output1</vt:lpstr>
      <vt:lpstr>CT_FullTree1</vt:lpstr>
      <vt:lpstr>CT_BestTree1</vt:lpstr>
      <vt:lpstr>CT_MinErrorTree1</vt:lpstr>
      <vt:lpstr>CT_TrainingScore1</vt:lpstr>
      <vt:lpstr>CT_ValidationScore1</vt:lpstr>
      <vt:lpstr>CT_Stored1</vt:lpstr>
      <vt:lpstr>STDPartition</vt:lpstr>
      <vt:lpstr>CT_Output</vt:lpstr>
      <vt:lpstr>CT_FullTree</vt:lpstr>
      <vt:lpstr>CT_BestTree</vt:lpstr>
      <vt:lpstr>CT_MinErrorTree</vt:lpstr>
      <vt:lpstr>CT_TrainingScore</vt:lpstr>
      <vt:lpstr>CT_ValidationScore</vt:lpstr>
      <vt:lpstr>CT_Stored</vt:lpstr>
      <vt:lpstr>New Data</vt:lpstr>
      <vt:lpstr>Imputation1</vt:lpstr>
      <vt:lpstr>Scoring_DecisionTree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sharma</dc:creator>
  <cp:lastModifiedBy>MOHAMMED IMTIYAZ</cp:lastModifiedBy>
  <dcterms:created xsi:type="dcterms:W3CDTF">2002-07-25T09:29:14Z</dcterms:created>
  <dcterms:modified xsi:type="dcterms:W3CDTF">2025-02-25T21:04:12Z</dcterms:modified>
</cp:coreProperties>
</file>